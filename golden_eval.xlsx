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10308"/>
  <workbookPr dateCompatibility="0" defaultThemeVersion="202300"/>
  <mc:AlternateContent xmlns:mc="http://schemas.openxmlformats.org/markup-compatibility/2006">
    <mc:Choice Requires="x15">
      <x15ac:absPath xmlns:x15ac="http://schemas.microsoft.com/office/spreadsheetml/2010/11/ac" url="/Users/michael/Arrow/"/>
    </mc:Choice>
  </mc:AlternateContent>
  <xr:revisionPtr revIDLastSave="0" documentId="13_ncr:9_{22F0E553-7B5B-FC4D-B92E-8F9D657AA830}" xr6:coauthVersionLast="47" xr6:coauthVersionMax="47" xr10:uidLastSave="{00000000-0000-0000-0000-000000000000}"/>
  <bookViews>
    <workbookView xWindow="3680" yWindow="1500" windowWidth="33400" windowHeight="18780" xr2:uid="{5004B749-B906-A54F-8913-A91208417080}"/>
  </bookViews>
  <sheets>
    <sheet name="manual_audit_entry_v1" sheetId="1" r:id="rId1"/>
    <sheet name="researchanddevelopment" sheetId="2" r:id="rId2"/>
    <sheet name="restatements" sheetId="3" r:id="rId3"/>
  </sheets>
  <calcPr calcId="191029"/>
  <extLs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purl.oclc.org/ooxml/spreadsheetml/main">
  <c r="I48" i="2" l="1"/>
  <c r="AC48" i="2" s="1"/>
  <c r="G48" i="2"/>
  <c r="F48" i="2"/>
  <c r="E48" i="2"/>
  <c r="D48" i="2"/>
  <c r="I47" i="2"/>
  <c r="AB47" i="2" s="1"/>
  <c r="AC47" i="2" s="1"/>
  <c r="G47" i="2"/>
  <c r="F47" i="2"/>
  <c r="E47" i="2"/>
  <c r="D47" i="2"/>
  <c r="I46" i="2"/>
  <c r="AA46" i="2" s="1"/>
  <c r="AB46" i="2" s="1"/>
  <c r="AC46" i="2" s="1"/>
  <c r="G46" i="2"/>
  <c r="F46" i="2"/>
  <c r="E46" i="2"/>
  <c r="D46" i="2"/>
  <c r="I45" i="2"/>
  <c r="Z45" i="2" s="1"/>
  <c r="AA45" i="2" s="1"/>
  <c r="AB45" i="2" s="1"/>
  <c r="AC45" i="2" s="1"/>
  <c r="G45" i="2"/>
  <c r="F45" i="2"/>
  <c r="E45" i="2"/>
  <c r="D45" i="2"/>
  <c r="I44" i="2"/>
  <c r="Y44" i="2" s="1"/>
  <c r="Z44" i="2" s="1"/>
  <c r="AA44" i="2" s="1"/>
  <c r="AB44" i="2" s="1"/>
  <c r="AC44" i="2" s="1"/>
  <c r="G44" i="2"/>
  <c r="F44" i="2"/>
  <c r="E44" i="2"/>
  <c r="D44" i="2"/>
  <c r="I43" i="2"/>
  <c r="X43" i="2" s="1"/>
  <c r="Y43" i="2" s="1"/>
  <c r="Z43" i="2" s="1"/>
  <c r="AA43" i="2" s="1"/>
  <c r="AB43" i="2" s="1"/>
  <c r="AC43" i="2" s="1"/>
  <c r="G43" i="2"/>
  <c r="F43" i="2"/>
  <c r="E43" i="2"/>
  <c r="D43" i="2"/>
  <c r="I42" i="2"/>
  <c r="W42" i="2" s="1"/>
  <c r="X42" i="2" s="1"/>
  <c r="Y42" i="2" s="1"/>
  <c r="Z42" i="2" s="1"/>
  <c r="AA42" i="2" s="1"/>
  <c r="AB42" i="2" s="1"/>
  <c r="AC42" i="2" s="1"/>
  <c r="G42" i="2"/>
  <c r="F42" i="2"/>
  <c r="E42" i="2"/>
  <c r="D42" i="2"/>
  <c r="I41" i="2"/>
  <c r="V41" i="2" s="1"/>
  <c r="W41" i="2" s="1"/>
  <c r="X41" i="2" s="1"/>
  <c r="Y41" i="2" s="1"/>
  <c r="Z41" i="2" s="1"/>
  <c r="AA41" i="2" s="1"/>
  <c r="AB41" i="2" s="1"/>
  <c r="AC41" i="2" s="1"/>
  <c r="G41" i="2"/>
  <c r="F41" i="2"/>
  <c r="E41" i="2"/>
  <c r="D41" i="2"/>
  <c r="I40" i="2"/>
  <c r="U40" i="2" s="1"/>
  <c r="V40" i="2" s="1"/>
  <c r="W40" i="2" s="1"/>
  <c r="X40" i="2" s="1"/>
  <c r="Y40" i="2" s="1"/>
  <c r="Z40" i="2" s="1"/>
  <c r="AA40" i="2" s="1"/>
  <c r="AB40" i="2" s="1"/>
  <c r="AC40" i="2" s="1"/>
  <c r="G40" i="2"/>
  <c r="F40" i="2"/>
  <c r="E40" i="2"/>
  <c r="D40" i="2"/>
  <c r="I39" i="2"/>
  <c r="T39" i="2" s="1"/>
  <c r="U39" i="2" s="1"/>
  <c r="V39" i="2" s="1"/>
  <c r="W39" i="2" s="1"/>
  <c r="X39" i="2" s="1"/>
  <c r="Y39" i="2" s="1"/>
  <c r="Z39" i="2" s="1"/>
  <c r="AA39" i="2" s="1"/>
  <c r="AB39" i="2" s="1"/>
  <c r="AC39" i="2" s="1"/>
  <c r="G39" i="2"/>
  <c r="F39" i="2"/>
  <c r="E39" i="2"/>
  <c r="D39" i="2"/>
  <c r="I38" i="2"/>
  <c r="S38" i="2" s="1"/>
  <c r="T38" i="2" s="1"/>
  <c r="U38" i="2" s="1"/>
  <c r="V38" i="2" s="1"/>
  <c r="W38" i="2" s="1"/>
  <c r="X38" i="2" s="1"/>
  <c r="Y38" i="2" s="1"/>
  <c r="Z38" i="2" s="1"/>
  <c r="AA38" i="2" s="1"/>
  <c r="AB38" i="2" s="1"/>
  <c r="AC38" i="2" s="1"/>
  <c r="G38" i="2"/>
  <c r="F38" i="2"/>
  <c r="E38" i="2"/>
  <c r="D38" i="2"/>
  <c r="S37" i="2"/>
  <c r="T37" i="2" s="1"/>
  <c r="U37" i="2" s="1"/>
  <c r="V37" i="2" s="1"/>
  <c r="W37" i="2" s="1"/>
  <c r="X37" i="2" s="1"/>
  <c r="Y37" i="2" s="1"/>
  <c r="Z37" i="2" s="1"/>
  <c r="AA37" i="2" s="1"/>
  <c r="AB37" i="2" s="1"/>
  <c r="AC37" i="2" s="1"/>
  <c r="R37" i="2"/>
  <c r="I37" i="2"/>
  <c r="I36" i="2"/>
  <c r="Q36" i="2" s="1"/>
  <c r="R36" i="2" s="1"/>
  <c r="S36" i="2" s="1"/>
  <c r="T36" i="2" s="1"/>
  <c r="U36" i="2" s="1"/>
  <c r="V36" i="2" s="1"/>
  <c r="W36" i="2" s="1"/>
  <c r="X36" i="2" s="1"/>
  <c r="Y36" i="2" s="1"/>
  <c r="Z36" i="2" s="1"/>
  <c r="AA36" i="2" s="1"/>
  <c r="AB36" i="2" s="1"/>
  <c r="AC36" i="2" s="1"/>
  <c r="G36" i="2"/>
  <c r="I35" i="2"/>
  <c r="P35" i="2" s="1"/>
  <c r="Q35" i="2" s="1"/>
  <c r="R35" i="2" s="1"/>
  <c r="S35" i="2" s="1"/>
  <c r="T35" i="2" s="1"/>
  <c r="U35" i="2" s="1"/>
  <c r="V35" i="2" s="1"/>
  <c r="W35" i="2" s="1"/>
  <c r="X35" i="2" s="1"/>
  <c r="Y35" i="2" s="1"/>
  <c r="Z35" i="2" s="1"/>
  <c r="AA35" i="2" s="1"/>
  <c r="AB35" i="2" s="1"/>
  <c r="AC35" i="2" s="1"/>
  <c r="G35" i="2"/>
  <c r="I34" i="2"/>
  <c r="O34" i="2" s="1"/>
  <c r="P34" i="2" s="1"/>
  <c r="Q34" i="2" s="1"/>
  <c r="R34" i="2" s="1"/>
  <c r="S34" i="2" s="1"/>
  <c r="T34" i="2" s="1"/>
  <c r="U34" i="2" s="1"/>
  <c r="V34" i="2" s="1"/>
  <c r="W34" i="2" s="1"/>
  <c r="X34" i="2" s="1"/>
  <c r="Y34" i="2" s="1"/>
  <c r="Z34" i="2" s="1"/>
  <c r="AA34" i="2" s="1"/>
  <c r="AB34" i="2" s="1"/>
  <c r="AC34" i="2" s="1"/>
  <c r="G34" i="2"/>
  <c r="I33" i="2"/>
  <c r="G33" i="2"/>
  <c r="I32" i="2"/>
  <c r="M32" i="2" s="1"/>
  <c r="N32" i="2" s="1"/>
  <c r="O32" i="2" s="1"/>
  <c r="P32" i="2" s="1"/>
  <c r="Q32" i="2" s="1"/>
  <c r="R32" i="2" s="1"/>
  <c r="S32" i="2" s="1"/>
  <c r="T32" i="2" s="1"/>
  <c r="U32" i="2" s="1"/>
  <c r="V32" i="2" s="1"/>
  <c r="W32" i="2" s="1"/>
  <c r="X32" i="2" s="1"/>
  <c r="Y32" i="2" s="1"/>
  <c r="Z32" i="2" s="1"/>
  <c r="AA32" i="2" s="1"/>
  <c r="AB32" i="2" s="1"/>
  <c r="AC32" i="2" s="1"/>
  <c r="G32" i="2"/>
  <c r="I31" i="2"/>
  <c r="L31" i="2" s="1"/>
  <c r="M31" i="2" s="1"/>
  <c r="N31" i="2" s="1"/>
  <c r="O31" i="2" s="1"/>
  <c r="P31" i="2" s="1"/>
  <c r="Q31" i="2" s="1"/>
  <c r="R31" i="2" s="1"/>
  <c r="S31" i="2" s="1"/>
  <c r="T31" i="2" s="1"/>
  <c r="U31" i="2" s="1"/>
  <c r="V31" i="2" s="1"/>
  <c r="W31" i="2" s="1"/>
  <c r="X31" i="2" s="1"/>
  <c r="Y31" i="2" s="1"/>
  <c r="Z31" i="2" s="1"/>
  <c r="AA31" i="2" s="1"/>
  <c r="AB31" i="2" s="1"/>
  <c r="AC31" i="2" s="1"/>
  <c r="G31" i="2"/>
  <c r="I30" i="2"/>
  <c r="K30" i="2" s="1"/>
  <c r="L30" i="2" s="1"/>
  <c r="M30" i="2" s="1"/>
  <c r="N30" i="2" s="1"/>
  <c r="O30" i="2" s="1"/>
  <c r="P30" i="2" s="1"/>
  <c r="Q30" i="2" s="1"/>
  <c r="R30" i="2" s="1"/>
  <c r="S30" i="2" s="1"/>
  <c r="T30" i="2" s="1"/>
  <c r="U30" i="2" s="1"/>
  <c r="V30" i="2" s="1"/>
  <c r="W30" i="2" s="1"/>
  <c r="X30" i="2" s="1"/>
  <c r="Y30" i="2" s="1"/>
  <c r="Z30" i="2" s="1"/>
  <c r="AA30" i="2" s="1"/>
  <c r="AB30" i="2" s="1"/>
  <c r="AC30" i="2" s="1"/>
  <c r="G30" i="2"/>
  <c r="I29" i="2"/>
  <c r="G29" i="2"/>
  <c r="I152" i="2"/>
  <c r="AC152" i="2" s="1"/>
  <c r="G152" i="2"/>
  <c r="F152" i="2"/>
  <c r="E152" i="2"/>
  <c r="D152" i="2"/>
  <c r="I151" i="2"/>
  <c r="AB151" i="2" s="1"/>
  <c r="AC151" i="2" s="1"/>
  <c r="G151" i="2"/>
  <c r="F151" i="2"/>
  <c r="E151" i="2"/>
  <c r="D151" i="2"/>
  <c r="I150" i="2"/>
  <c r="AA150" i="2" s="1"/>
  <c r="AB150" i="2" s="1"/>
  <c r="AC150" i="2" s="1"/>
  <c r="G150" i="2"/>
  <c r="F150" i="2"/>
  <c r="E150" i="2"/>
  <c r="D150" i="2"/>
  <c r="I149" i="2"/>
  <c r="Z149" i="2" s="1"/>
  <c r="AA149" i="2" s="1"/>
  <c r="AB149" i="2" s="1"/>
  <c r="AC149" i="2" s="1"/>
  <c r="G149" i="2"/>
  <c r="F149" i="2"/>
  <c r="E149" i="2"/>
  <c r="D149" i="2"/>
  <c r="I148" i="2"/>
  <c r="Y148" i="2" s="1"/>
  <c r="Z148" i="2" s="1"/>
  <c r="AA148" i="2" s="1"/>
  <c r="AB148" i="2" s="1"/>
  <c r="AC148" i="2" s="1"/>
  <c r="G148" i="2"/>
  <c r="F148" i="2"/>
  <c r="E148" i="2"/>
  <c r="D148" i="2"/>
  <c r="I147" i="2"/>
  <c r="X147" i="2" s="1"/>
  <c r="Y147" i="2" s="1"/>
  <c r="Z147" i="2" s="1"/>
  <c r="AA147" i="2" s="1"/>
  <c r="AB147" i="2" s="1"/>
  <c r="AC147" i="2" s="1"/>
  <c r="G147" i="2"/>
  <c r="F147" i="2"/>
  <c r="E147" i="2"/>
  <c r="D147" i="2"/>
  <c r="I146" i="2"/>
  <c r="W146" i="2" s="1"/>
  <c r="X146" i="2" s="1"/>
  <c r="Y146" i="2" s="1"/>
  <c r="Z146" i="2" s="1"/>
  <c r="AA146" i="2" s="1"/>
  <c r="AB146" i="2" s="1"/>
  <c r="AC146" i="2" s="1"/>
  <c r="G146" i="2"/>
  <c r="F146" i="2"/>
  <c r="E146" i="2"/>
  <c r="D146" i="2"/>
  <c r="I145" i="2"/>
  <c r="V145" i="2" s="1"/>
  <c r="W145" i="2" s="1"/>
  <c r="X145" i="2" s="1"/>
  <c r="Y145" i="2" s="1"/>
  <c r="Z145" i="2" s="1"/>
  <c r="AA145" i="2" s="1"/>
  <c r="AB145" i="2" s="1"/>
  <c r="AC145" i="2" s="1"/>
  <c r="G145" i="2"/>
  <c r="F145" i="2"/>
  <c r="E145" i="2"/>
  <c r="D145" i="2"/>
  <c r="I144" i="2"/>
  <c r="U144" i="2" s="1"/>
  <c r="V144" i="2" s="1"/>
  <c r="W144" i="2" s="1"/>
  <c r="X144" i="2" s="1"/>
  <c r="Y144" i="2" s="1"/>
  <c r="Z144" i="2" s="1"/>
  <c r="AA144" i="2" s="1"/>
  <c r="AB144" i="2" s="1"/>
  <c r="AC144" i="2" s="1"/>
  <c r="G144" i="2"/>
  <c r="F144" i="2"/>
  <c r="E144" i="2"/>
  <c r="D144" i="2"/>
  <c r="I143" i="2"/>
  <c r="T143" i="2" s="1"/>
  <c r="U143" i="2" s="1"/>
  <c r="V143" i="2" s="1"/>
  <c r="W143" i="2" s="1"/>
  <c r="X143" i="2" s="1"/>
  <c r="Y143" i="2" s="1"/>
  <c r="Z143" i="2" s="1"/>
  <c r="AA143" i="2" s="1"/>
  <c r="AB143" i="2" s="1"/>
  <c r="AC143" i="2" s="1"/>
  <c r="G143" i="2"/>
  <c r="F143" i="2"/>
  <c r="E143" i="2"/>
  <c r="D143" i="2"/>
  <c r="I142" i="2"/>
  <c r="S142" i="2" s="1"/>
  <c r="T142" i="2" s="1"/>
  <c r="U142" i="2" s="1"/>
  <c r="V142" i="2" s="1"/>
  <c r="W142" i="2" s="1"/>
  <c r="X142" i="2" s="1"/>
  <c r="Y142" i="2" s="1"/>
  <c r="Z142" i="2" s="1"/>
  <c r="AA142" i="2" s="1"/>
  <c r="AB142" i="2" s="1"/>
  <c r="AC142" i="2" s="1"/>
  <c r="G142" i="2"/>
  <c r="F142" i="2"/>
  <c r="E142" i="2"/>
  <c r="D142" i="2"/>
  <c r="I141" i="2"/>
  <c r="R141" i="2" s="1"/>
  <c r="S141" i="2" s="1"/>
  <c r="T141" i="2" s="1"/>
  <c r="U141" i="2" s="1"/>
  <c r="V141" i="2" s="1"/>
  <c r="W141" i="2" s="1"/>
  <c r="X141" i="2" s="1"/>
  <c r="Y141" i="2" s="1"/>
  <c r="Z141" i="2" s="1"/>
  <c r="AA141" i="2" s="1"/>
  <c r="AB141" i="2" s="1"/>
  <c r="AC141" i="2" s="1"/>
  <c r="I140" i="2"/>
  <c r="Q140" i="2" s="1"/>
  <c r="R140" i="2" s="1"/>
  <c r="S140" i="2" s="1"/>
  <c r="T140" i="2" s="1"/>
  <c r="U140" i="2" s="1"/>
  <c r="V140" i="2" s="1"/>
  <c r="W140" i="2" s="1"/>
  <c r="X140" i="2" s="1"/>
  <c r="Y140" i="2" s="1"/>
  <c r="Z140" i="2" s="1"/>
  <c r="AA140" i="2" s="1"/>
  <c r="AB140" i="2" s="1"/>
  <c r="AC140" i="2" s="1"/>
  <c r="G140" i="2"/>
  <c r="I139" i="2"/>
  <c r="P139" i="2" s="1"/>
  <c r="Q139" i="2" s="1"/>
  <c r="R139" i="2" s="1"/>
  <c r="S139" i="2" s="1"/>
  <c r="T139" i="2" s="1"/>
  <c r="U139" i="2" s="1"/>
  <c r="V139" i="2" s="1"/>
  <c r="W139" i="2" s="1"/>
  <c r="X139" i="2" s="1"/>
  <c r="Y139" i="2" s="1"/>
  <c r="Z139" i="2" s="1"/>
  <c r="AA139" i="2" s="1"/>
  <c r="AB139" i="2" s="1"/>
  <c r="AC139" i="2" s="1"/>
  <c r="G139" i="2"/>
  <c r="I138" i="2"/>
  <c r="O138" i="2" s="1"/>
  <c r="P138" i="2" s="1"/>
  <c r="Q138" i="2" s="1"/>
  <c r="R138" i="2" s="1"/>
  <c r="S138" i="2" s="1"/>
  <c r="T138" i="2" s="1"/>
  <c r="U138" i="2" s="1"/>
  <c r="V138" i="2" s="1"/>
  <c r="W138" i="2" s="1"/>
  <c r="X138" i="2" s="1"/>
  <c r="Y138" i="2" s="1"/>
  <c r="Z138" i="2" s="1"/>
  <c r="AA138" i="2" s="1"/>
  <c r="AB138" i="2" s="1"/>
  <c r="AC138" i="2" s="1"/>
  <c r="G138" i="2"/>
  <c r="I137" i="2"/>
  <c r="G137" i="2"/>
  <c r="I136" i="2"/>
  <c r="M136" i="2" s="1"/>
  <c r="N136" i="2" s="1"/>
  <c r="O136" i="2" s="1"/>
  <c r="P136" i="2" s="1"/>
  <c r="Q136" i="2" s="1"/>
  <c r="R136" i="2" s="1"/>
  <c r="S136" i="2" s="1"/>
  <c r="T136" i="2" s="1"/>
  <c r="U136" i="2" s="1"/>
  <c r="V136" i="2" s="1"/>
  <c r="W136" i="2" s="1"/>
  <c r="X136" i="2" s="1"/>
  <c r="Y136" i="2" s="1"/>
  <c r="Z136" i="2" s="1"/>
  <c r="AA136" i="2" s="1"/>
  <c r="AB136" i="2" s="1"/>
  <c r="AC136" i="2" s="1"/>
  <c r="G136" i="2"/>
  <c r="I135" i="2"/>
  <c r="L135" i="2" s="1"/>
  <c r="M135" i="2" s="1"/>
  <c r="N135" i="2" s="1"/>
  <c r="O135" i="2" s="1"/>
  <c r="P135" i="2" s="1"/>
  <c r="Q135" i="2" s="1"/>
  <c r="R135" i="2" s="1"/>
  <c r="S135" i="2" s="1"/>
  <c r="T135" i="2" s="1"/>
  <c r="U135" i="2" s="1"/>
  <c r="V135" i="2" s="1"/>
  <c r="W135" i="2" s="1"/>
  <c r="X135" i="2" s="1"/>
  <c r="Y135" i="2" s="1"/>
  <c r="Z135" i="2" s="1"/>
  <c r="AA135" i="2" s="1"/>
  <c r="AB135" i="2" s="1"/>
  <c r="AC135" i="2" s="1"/>
  <c r="G135" i="2"/>
  <c r="I134" i="2"/>
  <c r="K134" i="2" s="1"/>
  <c r="L134" i="2" s="1"/>
  <c r="M134" i="2" s="1"/>
  <c r="N134" i="2" s="1"/>
  <c r="O134" i="2" s="1"/>
  <c r="P134" i="2" s="1"/>
  <c r="Q134" i="2" s="1"/>
  <c r="R134" i="2" s="1"/>
  <c r="S134" i="2" s="1"/>
  <c r="T134" i="2" s="1"/>
  <c r="U134" i="2" s="1"/>
  <c r="V134" i="2" s="1"/>
  <c r="W134" i="2" s="1"/>
  <c r="X134" i="2" s="1"/>
  <c r="Y134" i="2" s="1"/>
  <c r="Z134" i="2" s="1"/>
  <c r="AA134" i="2" s="1"/>
  <c r="AB134" i="2" s="1"/>
  <c r="AC134" i="2" s="1"/>
  <c r="G134" i="2"/>
  <c r="I133" i="2"/>
  <c r="AE133" i="2" s="1"/>
  <c r="AG133" i="2" s="1"/>
  <c r="G133" i="2"/>
  <c r="I211" i="2"/>
  <c r="AC211" i="2" s="1"/>
  <c r="G211" i="2"/>
  <c r="F211" i="2"/>
  <c r="E211" i="2"/>
  <c r="D211" i="2"/>
  <c r="I210" i="2"/>
  <c r="AB210" i="2" s="1"/>
  <c r="AC210" i="2" s="1"/>
  <c r="G210" i="2"/>
  <c r="F210" i="2"/>
  <c r="E210" i="2"/>
  <c r="D210" i="2"/>
  <c r="I209" i="2"/>
  <c r="AA209" i="2" s="1"/>
  <c r="AB209" i="2" s="1"/>
  <c r="AC209" i="2" s="1"/>
  <c r="G209" i="2"/>
  <c r="F209" i="2"/>
  <c r="E209" i="2"/>
  <c r="D209" i="2"/>
  <c r="I208" i="2"/>
  <c r="Z208" i="2" s="1"/>
  <c r="AA208" i="2" s="1"/>
  <c r="AB208" i="2" s="1"/>
  <c r="AC208" i="2" s="1"/>
  <c r="G208" i="2"/>
  <c r="F208" i="2"/>
  <c r="E208" i="2"/>
  <c r="D208" i="2"/>
  <c r="I207" i="2"/>
  <c r="Y207" i="2" s="1"/>
  <c r="Z207" i="2" s="1"/>
  <c r="AA207" i="2" s="1"/>
  <c r="AB207" i="2" s="1"/>
  <c r="AC207" i="2" s="1"/>
  <c r="G207" i="2"/>
  <c r="F207" i="2"/>
  <c r="E207" i="2"/>
  <c r="D207" i="2"/>
  <c r="I206" i="2"/>
  <c r="X206" i="2" s="1"/>
  <c r="Y206" i="2" s="1"/>
  <c r="Z206" i="2" s="1"/>
  <c r="AA206" i="2" s="1"/>
  <c r="AB206" i="2" s="1"/>
  <c r="AC206" i="2" s="1"/>
  <c r="G206" i="2"/>
  <c r="F206" i="2"/>
  <c r="E206" i="2"/>
  <c r="D206" i="2"/>
  <c r="I205" i="2"/>
  <c r="W205" i="2" s="1"/>
  <c r="X205" i="2" s="1"/>
  <c r="Y205" i="2" s="1"/>
  <c r="Z205" i="2" s="1"/>
  <c r="AA205" i="2" s="1"/>
  <c r="AB205" i="2" s="1"/>
  <c r="AC205" i="2" s="1"/>
  <c r="G205" i="2"/>
  <c r="F205" i="2"/>
  <c r="E205" i="2"/>
  <c r="D205" i="2"/>
  <c r="I204" i="2"/>
  <c r="V204" i="2" s="1"/>
  <c r="W204" i="2" s="1"/>
  <c r="X204" i="2" s="1"/>
  <c r="Y204" i="2" s="1"/>
  <c r="Z204" i="2" s="1"/>
  <c r="AA204" i="2" s="1"/>
  <c r="AB204" i="2" s="1"/>
  <c r="AC204" i="2" s="1"/>
  <c r="G204" i="2"/>
  <c r="F204" i="2"/>
  <c r="E204" i="2"/>
  <c r="D204" i="2"/>
  <c r="I203" i="2"/>
  <c r="U203" i="2" s="1"/>
  <c r="V203" i="2" s="1"/>
  <c r="W203" i="2" s="1"/>
  <c r="X203" i="2" s="1"/>
  <c r="Y203" i="2" s="1"/>
  <c r="Z203" i="2" s="1"/>
  <c r="AA203" i="2" s="1"/>
  <c r="AB203" i="2" s="1"/>
  <c r="AC203" i="2" s="1"/>
  <c r="G203" i="2"/>
  <c r="F203" i="2"/>
  <c r="E203" i="2"/>
  <c r="D203" i="2"/>
  <c r="I202" i="2"/>
  <c r="T202" i="2" s="1"/>
  <c r="U202" i="2" s="1"/>
  <c r="V202" i="2" s="1"/>
  <c r="W202" i="2" s="1"/>
  <c r="X202" i="2" s="1"/>
  <c r="Y202" i="2" s="1"/>
  <c r="Z202" i="2" s="1"/>
  <c r="AA202" i="2" s="1"/>
  <c r="AB202" i="2" s="1"/>
  <c r="AC202" i="2" s="1"/>
  <c r="G202" i="2"/>
  <c r="F202" i="2"/>
  <c r="E202" i="2"/>
  <c r="D202" i="2"/>
  <c r="I201" i="2"/>
  <c r="S201" i="2" s="1"/>
  <c r="T201" i="2" s="1"/>
  <c r="U201" i="2" s="1"/>
  <c r="V201" i="2" s="1"/>
  <c r="W201" i="2" s="1"/>
  <c r="X201" i="2" s="1"/>
  <c r="Y201" i="2" s="1"/>
  <c r="Z201" i="2" s="1"/>
  <c r="AA201" i="2" s="1"/>
  <c r="AB201" i="2" s="1"/>
  <c r="AC201" i="2" s="1"/>
  <c r="G201" i="2"/>
  <c r="F201" i="2"/>
  <c r="E201" i="2"/>
  <c r="D201" i="2"/>
  <c r="I200" i="2"/>
  <c r="R200" i="2" s="1"/>
  <c r="S200" i="2" s="1"/>
  <c r="T200" i="2" s="1"/>
  <c r="U200" i="2" s="1"/>
  <c r="V200" i="2" s="1"/>
  <c r="W200" i="2" s="1"/>
  <c r="X200" i="2" s="1"/>
  <c r="Y200" i="2" s="1"/>
  <c r="Z200" i="2" s="1"/>
  <c r="AA200" i="2" s="1"/>
  <c r="AB200" i="2" s="1"/>
  <c r="AC200" i="2" s="1"/>
  <c r="I199" i="2"/>
  <c r="Q199" i="2" s="1"/>
  <c r="R199" i="2" s="1"/>
  <c r="S199" i="2" s="1"/>
  <c r="T199" i="2" s="1"/>
  <c r="U199" i="2" s="1"/>
  <c r="V199" i="2" s="1"/>
  <c r="W199" i="2" s="1"/>
  <c r="X199" i="2" s="1"/>
  <c r="Y199" i="2" s="1"/>
  <c r="Z199" i="2" s="1"/>
  <c r="AA199" i="2" s="1"/>
  <c r="AB199" i="2" s="1"/>
  <c r="AC199" i="2" s="1"/>
  <c r="G199" i="2"/>
  <c r="I198" i="2"/>
  <c r="P198" i="2" s="1"/>
  <c r="Q198" i="2" s="1"/>
  <c r="R198" i="2" s="1"/>
  <c r="S198" i="2" s="1"/>
  <c r="T198" i="2" s="1"/>
  <c r="U198" i="2" s="1"/>
  <c r="V198" i="2" s="1"/>
  <c r="W198" i="2" s="1"/>
  <c r="X198" i="2" s="1"/>
  <c r="Y198" i="2" s="1"/>
  <c r="Z198" i="2" s="1"/>
  <c r="AA198" i="2" s="1"/>
  <c r="AB198" i="2" s="1"/>
  <c r="AC198" i="2" s="1"/>
  <c r="G198" i="2"/>
  <c r="I197" i="2"/>
  <c r="O197" i="2" s="1"/>
  <c r="P197" i="2" s="1"/>
  <c r="Q197" i="2" s="1"/>
  <c r="R197" i="2" s="1"/>
  <c r="S197" i="2" s="1"/>
  <c r="T197" i="2" s="1"/>
  <c r="U197" i="2" s="1"/>
  <c r="V197" i="2" s="1"/>
  <c r="W197" i="2" s="1"/>
  <c r="X197" i="2" s="1"/>
  <c r="Y197" i="2" s="1"/>
  <c r="Z197" i="2" s="1"/>
  <c r="AA197" i="2" s="1"/>
  <c r="AB197" i="2" s="1"/>
  <c r="AC197" i="2" s="1"/>
  <c r="G197" i="2"/>
  <c r="I196" i="2"/>
  <c r="N196" i="2" s="1"/>
  <c r="O196" i="2" s="1"/>
  <c r="P196" i="2" s="1"/>
  <c r="Q196" i="2" s="1"/>
  <c r="R196" i="2" s="1"/>
  <c r="S196" i="2" s="1"/>
  <c r="T196" i="2" s="1"/>
  <c r="U196" i="2" s="1"/>
  <c r="V196" i="2" s="1"/>
  <c r="W196" i="2" s="1"/>
  <c r="X196" i="2" s="1"/>
  <c r="Y196" i="2" s="1"/>
  <c r="Z196" i="2" s="1"/>
  <c r="AA196" i="2" s="1"/>
  <c r="AB196" i="2" s="1"/>
  <c r="AC196" i="2" s="1"/>
  <c r="G196" i="2"/>
  <c r="I195" i="2"/>
  <c r="M195" i="2" s="1"/>
  <c r="N195" i="2" s="1"/>
  <c r="O195" i="2" s="1"/>
  <c r="P195" i="2" s="1"/>
  <c r="Q195" i="2" s="1"/>
  <c r="R195" i="2" s="1"/>
  <c r="S195" i="2" s="1"/>
  <c r="T195" i="2" s="1"/>
  <c r="U195" i="2" s="1"/>
  <c r="V195" i="2" s="1"/>
  <c r="W195" i="2" s="1"/>
  <c r="X195" i="2" s="1"/>
  <c r="Y195" i="2" s="1"/>
  <c r="Z195" i="2" s="1"/>
  <c r="AA195" i="2" s="1"/>
  <c r="AB195" i="2" s="1"/>
  <c r="AC195" i="2" s="1"/>
  <c r="G195" i="2"/>
  <c r="I194" i="2"/>
  <c r="L194" i="2" s="1"/>
  <c r="M194" i="2" s="1"/>
  <c r="N194" i="2" s="1"/>
  <c r="O194" i="2" s="1"/>
  <c r="P194" i="2" s="1"/>
  <c r="Q194" i="2" s="1"/>
  <c r="R194" i="2" s="1"/>
  <c r="S194" i="2" s="1"/>
  <c r="T194" i="2" s="1"/>
  <c r="U194" i="2" s="1"/>
  <c r="V194" i="2" s="1"/>
  <c r="W194" i="2" s="1"/>
  <c r="X194" i="2" s="1"/>
  <c r="Y194" i="2" s="1"/>
  <c r="Z194" i="2" s="1"/>
  <c r="AA194" i="2" s="1"/>
  <c r="AB194" i="2" s="1"/>
  <c r="AC194" i="2" s="1"/>
  <c r="G194" i="2"/>
  <c r="I193" i="2"/>
  <c r="K193" i="2" s="1"/>
  <c r="L193" i="2" s="1"/>
  <c r="M193" i="2" s="1"/>
  <c r="N193" i="2" s="1"/>
  <c r="O193" i="2" s="1"/>
  <c r="P193" i="2" s="1"/>
  <c r="Q193" i="2" s="1"/>
  <c r="R193" i="2" s="1"/>
  <c r="S193" i="2" s="1"/>
  <c r="T193" i="2" s="1"/>
  <c r="U193" i="2" s="1"/>
  <c r="V193" i="2" s="1"/>
  <c r="W193" i="2" s="1"/>
  <c r="X193" i="2" s="1"/>
  <c r="Y193" i="2" s="1"/>
  <c r="Z193" i="2" s="1"/>
  <c r="AA193" i="2" s="1"/>
  <c r="AB193" i="2" s="1"/>
  <c r="AC193" i="2" s="1"/>
  <c r="G193" i="2"/>
  <c r="I192" i="2"/>
  <c r="G192" i="2"/>
  <c r="I111" i="2"/>
  <c r="AC111" i="2" s="1"/>
  <c r="G111" i="2"/>
  <c r="F111" i="2"/>
  <c r="E111" i="2"/>
  <c r="D111" i="2"/>
  <c r="I110" i="2"/>
  <c r="AB110" i="2" s="1"/>
  <c r="AC110" i="2" s="1"/>
  <c r="G110" i="2"/>
  <c r="F110" i="2"/>
  <c r="E110" i="2"/>
  <c r="D110" i="2"/>
  <c r="I109" i="2"/>
  <c r="AA109" i="2" s="1"/>
  <c r="AB109" i="2" s="1"/>
  <c r="AC109" i="2" s="1"/>
  <c r="G109" i="2"/>
  <c r="F109" i="2"/>
  <c r="E109" i="2"/>
  <c r="D109" i="2"/>
  <c r="I108" i="2"/>
  <c r="Z108" i="2" s="1"/>
  <c r="AA108" i="2" s="1"/>
  <c r="AB108" i="2" s="1"/>
  <c r="AC108" i="2" s="1"/>
  <c r="G108" i="2"/>
  <c r="F108" i="2"/>
  <c r="E108" i="2"/>
  <c r="D108" i="2"/>
  <c r="I107" i="2"/>
  <c r="Y107" i="2" s="1"/>
  <c r="Z107" i="2" s="1"/>
  <c r="AA107" i="2" s="1"/>
  <c r="AB107" i="2" s="1"/>
  <c r="AC107" i="2" s="1"/>
  <c r="G107" i="2"/>
  <c r="F107" i="2"/>
  <c r="E107" i="2"/>
  <c r="D107" i="2"/>
  <c r="I106" i="2"/>
  <c r="X106" i="2" s="1"/>
  <c r="Y106" i="2" s="1"/>
  <c r="Z106" i="2" s="1"/>
  <c r="AA106" i="2" s="1"/>
  <c r="AB106" i="2" s="1"/>
  <c r="AC106" i="2" s="1"/>
  <c r="G106" i="2"/>
  <c r="F106" i="2"/>
  <c r="E106" i="2"/>
  <c r="D106" i="2"/>
  <c r="I105" i="2"/>
  <c r="W105" i="2" s="1"/>
  <c r="X105" i="2" s="1"/>
  <c r="Y105" i="2" s="1"/>
  <c r="Z105" i="2" s="1"/>
  <c r="AA105" i="2" s="1"/>
  <c r="AB105" i="2" s="1"/>
  <c r="AC105" i="2" s="1"/>
  <c r="G105" i="2"/>
  <c r="F105" i="2"/>
  <c r="E105" i="2"/>
  <c r="D105" i="2"/>
  <c r="I104" i="2"/>
  <c r="V104" i="2" s="1"/>
  <c r="W104" i="2" s="1"/>
  <c r="X104" i="2" s="1"/>
  <c r="Y104" i="2" s="1"/>
  <c r="Z104" i="2" s="1"/>
  <c r="AA104" i="2" s="1"/>
  <c r="AB104" i="2" s="1"/>
  <c r="AC104" i="2" s="1"/>
  <c r="G104" i="2"/>
  <c r="F104" i="2"/>
  <c r="E104" i="2"/>
  <c r="D104" i="2"/>
  <c r="I103" i="2"/>
  <c r="U103" i="2" s="1"/>
  <c r="V103" i="2" s="1"/>
  <c r="W103" i="2" s="1"/>
  <c r="X103" i="2" s="1"/>
  <c r="Y103" i="2" s="1"/>
  <c r="Z103" i="2" s="1"/>
  <c r="AA103" i="2" s="1"/>
  <c r="AB103" i="2" s="1"/>
  <c r="AC103" i="2" s="1"/>
  <c r="G103" i="2"/>
  <c r="F103" i="2"/>
  <c r="E103" i="2"/>
  <c r="D103" i="2"/>
  <c r="I102" i="2"/>
  <c r="T102" i="2" s="1"/>
  <c r="U102" i="2" s="1"/>
  <c r="V102" i="2" s="1"/>
  <c r="W102" i="2" s="1"/>
  <c r="X102" i="2" s="1"/>
  <c r="Y102" i="2" s="1"/>
  <c r="Z102" i="2" s="1"/>
  <c r="AA102" i="2" s="1"/>
  <c r="AB102" i="2" s="1"/>
  <c r="AC102" i="2" s="1"/>
  <c r="G102" i="2"/>
  <c r="F102" i="2"/>
  <c r="E102" i="2"/>
  <c r="D102" i="2"/>
  <c r="I101" i="2"/>
  <c r="S101" i="2" s="1"/>
  <c r="T101" i="2" s="1"/>
  <c r="U101" i="2" s="1"/>
  <c r="V101" i="2" s="1"/>
  <c r="W101" i="2" s="1"/>
  <c r="X101" i="2" s="1"/>
  <c r="Y101" i="2" s="1"/>
  <c r="Z101" i="2" s="1"/>
  <c r="AA101" i="2" s="1"/>
  <c r="AB101" i="2" s="1"/>
  <c r="AC101" i="2" s="1"/>
  <c r="G101" i="2"/>
  <c r="F101" i="2"/>
  <c r="E101" i="2"/>
  <c r="D101" i="2"/>
  <c r="I100" i="2"/>
  <c r="R100" i="2" s="1"/>
  <c r="S100" i="2" s="1"/>
  <c r="T100" i="2" s="1"/>
  <c r="U100" i="2" s="1"/>
  <c r="V100" i="2" s="1"/>
  <c r="W100" i="2" s="1"/>
  <c r="X100" i="2" s="1"/>
  <c r="Y100" i="2" s="1"/>
  <c r="Z100" i="2" s="1"/>
  <c r="AA100" i="2" s="1"/>
  <c r="AB100" i="2" s="1"/>
  <c r="AC100" i="2" s="1"/>
  <c r="I99" i="2"/>
  <c r="Q99" i="2" s="1"/>
  <c r="R99" i="2" s="1"/>
  <c r="S99" i="2" s="1"/>
  <c r="T99" i="2" s="1"/>
  <c r="U99" i="2" s="1"/>
  <c r="V99" i="2" s="1"/>
  <c r="W99" i="2" s="1"/>
  <c r="X99" i="2" s="1"/>
  <c r="Y99" i="2" s="1"/>
  <c r="Z99" i="2" s="1"/>
  <c r="AA99" i="2" s="1"/>
  <c r="AB99" i="2" s="1"/>
  <c r="AC99" i="2" s="1"/>
  <c r="G99" i="2"/>
  <c r="I98" i="2"/>
  <c r="P98" i="2" s="1"/>
  <c r="Q98" i="2" s="1"/>
  <c r="R98" i="2" s="1"/>
  <c r="S98" i="2" s="1"/>
  <c r="T98" i="2" s="1"/>
  <c r="U98" i="2" s="1"/>
  <c r="V98" i="2" s="1"/>
  <c r="W98" i="2" s="1"/>
  <c r="X98" i="2" s="1"/>
  <c r="Y98" i="2" s="1"/>
  <c r="Z98" i="2" s="1"/>
  <c r="AA98" i="2" s="1"/>
  <c r="AB98" i="2" s="1"/>
  <c r="AC98" i="2" s="1"/>
  <c r="G98" i="2"/>
  <c r="I97" i="2"/>
  <c r="O97" i="2" s="1"/>
  <c r="P97" i="2" s="1"/>
  <c r="Q97" i="2" s="1"/>
  <c r="R97" i="2" s="1"/>
  <c r="S97" i="2" s="1"/>
  <c r="T97" i="2" s="1"/>
  <c r="U97" i="2" s="1"/>
  <c r="V97" i="2" s="1"/>
  <c r="W97" i="2" s="1"/>
  <c r="X97" i="2" s="1"/>
  <c r="Y97" i="2" s="1"/>
  <c r="Z97" i="2" s="1"/>
  <c r="AA97" i="2" s="1"/>
  <c r="AB97" i="2" s="1"/>
  <c r="AC97" i="2" s="1"/>
  <c r="G97" i="2"/>
  <c r="I96" i="2"/>
  <c r="N96" i="2" s="1"/>
  <c r="O96" i="2" s="1"/>
  <c r="P96" i="2" s="1"/>
  <c r="Q96" i="2" s="1"/>
  <c r="R96" i="2" s="1"/>
  <c r="S96" i="2" s="1"/>
  <c r="T96" i="2" s="1"/>
  <c r="U96" i="2" s="1"/>
  <c r="V96" i="2" s="1"/>
  <c r="W96" i="2" s="1"/>
  <c r="X96" i="2" s="1"/>
  <c r="Y96" i="2" s="1"/>
  <c r="Z96" i="2" s="1"/>
  <c r="AA96" i="2" s="1"/>
  <c r="AB96" i="2" s="1"/>
  <c r="AC96" i="2" s="1"/>
  <c r="G96" i="2"/>
  <c r="I95" i="2"/>
  <c r="M95" i="2" s="1"/>
  <c r="N95" i="2" s="1"/>
  <c r="O95" i="2" s="1"/>
  <c r="P95" i="2" s="1"/>
  <c r="Q95" i="2" s="1"/>
  <c r="R95" i="2" s="1"/>
  <c r="S95" i="2" s="1"/>
  <c r="T95" i="2" s="1"/>
  <c r="U95" i="2" s="1"/>
  <c r="V95" i="2" s="1"/>
  <c r="W95" i="2" s="1"/>
  <c r="X95" i="2" s="1"/>
  <c r="Y95" i="2" s="1"/>
  <c r="Z95" i="2" s="1"/>
  <c r="AA95" i="2" s="1"/>
  <c r="AB95" i="2" s="1"/>
  <c r="AC95" i="2" s="1"/>
  <c r="G95" i="2"/>
  <c r="I94" i="2"/>
  <c r="L94" i="2" s="1"/>
  <c r="M94" i="2" s="1"/>
  <c r="N94" i="2" s="1"/>
  <c r="O94" i="2" s="1"/>
  <c r="P94" i="2" s="1"/>
  <c r="Q94" i="2" s="1"/>
  <c r="R94" i="2" s="1"/>
  <c r="S94" i="2" s="1"/>
  <c r="T94" i="2" s="1"/>
  <c r="U94" i="2" s="1"/>
  <c r="V94" i="2" s="1"/>
  <c r="W94" i="2" s="1"/>
  <c r="X94" i="2" s="1"/>
  <c r="Y94" i="2" s="1"/>
  <c r="Z94" i="2" s="1"/>
  <c r="AA94" i="2" s="1"/>
  <c r="AB94" i="2" s="1"/>
  <c r="AC94" i="2" s="1"/>
  <c r="G94" i="2"/>
  <c r="I93" i="2"/>
  <c r="K93" i="2" s="1"/>
  <c r="L93" i="2" s="1"/>
  <c r="M93" i="2" s="1"/>
  <c r="N93" i="2" s="1"/>
  <c r="O93" i="2" s="1"/>
  <c r="P93" i="2" s="1"/>
  <c r="Q93" i="2" s="1"/>
  <c r="R93" i="2" s="1"/>
  <c r="S93" i="2" s="1"/>
  <c r="T93" i="2" s="1"/>
  <c r="U93" i="2" s="1"/>
  <c r="V93" i="2" s="1"/>
  <c r="W93" i="2" s="1"/>
  <c r="X93" i="2" s="1"/>
  <c r="Y93" i="2" s="1"/>
  <c r="Z93" i="2" s="1"/>
  <c r="AA93" i="2" s="1"/>
  <c r="AB93" i="2" s="1"/>
  <c r="AC93" i="2" s="1"/>
  <c r="G93" i="2"/>
  <c r="I92" i="2"/>
  <c r="G92" i="2"/>
  <c r="I24" i="2"/>
  <c r="AC24" i="2" s="1"/>
  <c r="I23" i="2"/>
  <c r="AB23" i="2" s="1"/>
  <c r="AC23" i="2" s="1"/>
  <c r="I22" i="2"/>
  <c r="AA22" i="2" s="1"/>
  <c r="AB22" i="2" s="1"/>
  <c r="AC22" i="2" s="1"/>
  <c r="I21" i="2"/>
  <c r="Z21" i="2" s="1"/>
  <c r="AA21" i="2" s="1"/>
  <c r="AB21" i="2" s="1"/>
  <c r="AC21" i="2" s="1"/>
  <c r="I20" i="2"/>
  <c r="Y20" i="2" s="1"/>
  <c r="Z20" i="2" s="1"/>
  <c r="AA20" i="2" s="1"/>
  <c r="AB20" i="2" s="1"/>
  <c r="AC20" i="2" s="1"/>
  <c r="I19" i="2"/>
  <c r="X19" i="2" s="1"/>
  <c r="Y19" i="2" s="1"/>
  <c r="Z19" i="2" s="1"/>
  <c r="AA19" i="2" s="1"/>
  <c r="AB19" i="2" s="1"/>
  <c r="AC19" i="2" s="1"/>
  <c r="I18" i="2"/>
  <c r="W18" i="2" s="1"/>
  <c r="X18" i="2" s="1"/>
  <c r="Y18" i="2" s="1"/>
  <c r="Z18" i="2" s="1"/>
  <c r="AA18" i="2" s="1"/>
  <c r="AB18" i="2" s="1"/>
  <c r="AC18" i="2" s="1"/>
  <c r="I17" i="2"/>
  <c r="V17" i="2" s="1"/>
  <c r="W17" i="2" s="1"/>
  <c r="X17" i="2" s="1"/>
  <c r="Y17" i="2" s="1"/>
  <c r="Z17" i="2" s="1"/>
  <c r="AA17" i="2" s="1"/>
  <c r="AB17" i="2" s="1"/>
  <c r="AC17" i="2" s="1"/>
  <c r="I16" i="2"/>
  <c r="U16" i="2" s="1"/>
  <c r="V16" i="2" s="1"/>
  <c r="W16" i="2" s="1"/>
  <c r="X16" i="2" s="1"/>
  <c r="Y16" i="2" s="1"/>
  <c r="Z16" i="2" s="1"/>
  <c r="AA16" i="2" s="1"/>
  <c r="AB16" i="2" s="1"/>
  <c r="AC16" i="2" s="1"/>
  <c r="I15" i="2"/>
  <c r="T15" i="2" s="1"/>
  <c r="U15" i="2" s="1"/>
  <c r="V15" i="2" s="1"/>
  <c r="W15" i="2" s="1"/>
  <c r="X15" i="2" s="1"/>
  <c r="Y15" i="2" s="1"/>
  <c r="Z15" i="2" s="1"/>
  <c r="AA15" i="2" s="1"/>
  <c r="AB15" i="2" s="1"/>
  <c r="AC15" i="2" s="1"/>
  <c r="I14" i="2"/>
  <c r="I13" i="2"/>
  <c r="R13" i="2" s="1"/>
  <c r="S13" i="2" s="1"/>
  <c r="T13" i="2" s="1"/>
  <c r="U13" i="2" s="1"/>
  <c r="V13" i="2" s="1"/>
  <c r="W13" i="2" s="1"/>
  <c r="X13" i="2" s="1"/>
  <c r="Y13" i="2" s="1"/>
  <c r="Z13" i="2" s="1"/>
  <c r="AA13" i="2" s="1"/>
  <c r="AB13" i="2" s="1"/>
  <c r="AC13" i="2" s="1"/>
  <c r="I12" i="2"/>
  <c r="I11" i="2"/>
  <c r="P11" i="2" s="1"/>
  <c r="Q11" i="2" s="1"/>
  <c r="R11" i="2" s="1"/>
  <c r="S11" i="2" s="1"/>
  <c r="T11" i="2" s="1"/>
  <c r="U11" i="2" s="1"/>
  <c r="V11" i="2" s="1"/>
  <c r="W11" i="2" s="1"/>
  <c r="X11" i="2" s="1"/>
  <c r="Y11" i="2" s="1"/>
  <c r="Z11" i="2" s="1"/>
  <c r="AA11" i="2" s="1"/>
  <c r="AB11" i="2" s="1"/>
  <c r="AC11" i="2" s="1"/>
  <c r="I10" i="2"/>
  <c r="O10" i="2" s="1"/>
  <c r="P10" i="2" s="1"/>
  <c r="Q10" i="2" s="1"/>
  <c r="R10" i="2" s="1"/>
  <c r="S10" i="2" s="1"/>
  <c r="T10" i="2" s="1"/>
  <c r="U10" i="2" s="1"/>
  <c r="V10" i="2" s="1"/>
  <c r="W10" i="2" s="1"/>
  <c r="X10" i="2" s="1"/>
  <c r="Y10" i="2" s="1"/>
  <c r="Z10" i="2" s="1"/>
  <c r="AA10" i="2" s="1"/>
  <c r="AB10" i="2" s="1"/>
  <c r="AC10" i="2" s="1"/>
  <c r="I9" i="2"/>
  <c r="N9" i="2" s="1"/>
  <c r="O9" i="2" s="1"/>
  <c r="P9" i="2" s="1"/>
  <c r="Q9" i="2" s="1"/>
  <c r="R9" i="2" s="1"/>
  <c r="S9" i="2" s="1"/>
  <c r="T9" i="2" s="1"/>
  <c r="U9" i="2" s="1"/>
  <c r="V9" i="2" s="1"/>
  <c r="W9" i="2" s="1"/>
  <c r="X9" i="2" s="1"/>
  <c r="Y9" i="2" s="1"/>
  <c r="Z9" i="2" s="1"/>
  <c r="AA9" i="2" s="1"/>
  <c r="AB9" i="2" s="1"/>
  <c r="AC9" i="2" s="1"/>
  <c r="I8" i="2"/>
  <c r="M8" i="2" s="1"/>
  <c r="N8" i="2" s="1"/>
  <c r="I7" i="2"/>
  <c r="L7" i="2" s="1"/>
  <c r="I6" i="2"/>
  <c r="K6" i="2" s="1"/>
  <c r="I5" i="2"/>
  <c r="J5" i="2" s="1"/>
  <c r="K5" i="2" s="1"/>
  <c r="L5" i="2" s="1"/>
  <c r="M5" i="2" s="1"/>
  <c r="N5" i="2" s="1"/>
  <c r="O5" i="2" s="1"/>
  <c r="P5" i="2" s="1"/>
  <c r="Q5" i="2" s="1"/>
  <c r="R5" i="2" s="1"/>
  <c r="S5" i="2" s="1"/>
  <c r="T5" i="2" s="1"/>
  <c r="U5" i="2" s="1"/>
  <c r="V5" i="2" s="1"/>
  <c r="W5" i="2" s="1"/>
  <c r="X5" i="2" s="1"/>
  <c r="Y5" i="2" s="1"/>
  <c r="Z5" i="2" s="1"/>
  <c r="AA5" i="2" s="1"/>
  <c r="AB5" i="2" s="1"/>
  <c r="AC5" i="2" s="1"/>
  <c r="G12" i="2"/>
  <c r="G11" i="2"/>
  <c r="G10" i="2"/>
  <c r="G9" i="2"/>
  <c r="G8" i="2"/>
  <c r="G7" i="2"/>
  <c r="G6" i="2"/>
  <c r="G5" i="2"/>
  <c r="BY62" i="1"/>
  <c r="BY63" i="1"/>
  <c r="BY64" i="1"/>
  <c r="BY65" i="1"/>
  <c r="BY66" i="1"/>
  <c r="BY67" i="1"/>
  <c r="BY68" i="1"/>
  <c r="BY69" i="1"/>
  <c r="BY70" i="1"/>
  <c r="BY71" i="1"/>
  <c r="BY72" i="1"/>
  <c r="BY73" i="1"/>
  <c r="BX73" i="1"/>
  <c r="BX72" i="1"/>
  <c r="BX71" i="1"/>
  <c r="BX70" i="1"/>
  <c r="BX69" i="1"/>
  <c r="BX68" i="1"/>
  <c r="BX67" i="1"/>
  <c r="BX66" i="1"/>
  <c r="BX65" i="1"/>
  <c r="BX64" i="1"/>
  <c r="BX63" i="1"/>
  <c r="BX62" i="1"/>
  <c r="BX61" i="1"/>
  <c r="BX60" i="1"/>
  <c r="G15" i="2"/>
  <c r="G16" i="2"/>
  <c r="G17" i="2"/>
  <c r="G18" i="2"/>
  <c r="G19" i="2"/>
  <c r="G20" i="2"/>
  <c r="G21" i="2"/>
  <c r="G22" i="2"/>
  <c r="G23" i="2"/>
  <c r="G24" i="2"/>
  <c r="G14" i="2"/>
  <c r="G253" i="2"/>
  <c r="G254" i="2"/>
  <c r="G255" i="2"/>
  <c r="G256" i="2"/>
  <c r="G257" i="2"/>
  <c r="G258" i="2"/>
  <c r="G259" i="2"/>
  <c r="G260" i="2"/>
  <c r="G261" i="2"/>
  <c r="G262" i="2"/>
  <c r="G252" i="2"/>
  <c r="G236" i="2"/>
  <c r="G237" i="2"/>
  <c r="G238" i="2"/>
  <c r="G239" i="2"/>
  <c r="G240" i="2"/>
  <c r="G241" i="2"/>
  <c r="G242" i="2"/>
  <c r="G243" i="2"/>
  <c r="G244" i="2"/>
  <c r="G245" i="2"/>
  <c r="G235" i="2"/>
  <c r="G219" i="2"/>
  <c r="G220" i="2"/>
  <c r="G221" i="2"/>
  <c r="G222" i="2"/>
  <c r="G223" i="2"/>
  <c r="G224" i="2"/>
  <c r="G225" i="2"/>
  <c r="G226" i="2"/>
  <c r="G227" i="2"/>
  <c r="G228" i="2"/>
  <c r="G218" i="2"/>
  <c r="G178" i="2"/>
  <c r="G179" i="2"/>
  <c r="G180" i="2"/>
  <c r="G181" i="2"/>
  <c r="G182" i="2"/>
  <c r="G183" i="2"/>
  <c r="G184" i="2"/>
  <c r="G185" i="2"/>
  <c r="G186" i="2"/>
  <c r="G187" i="2"/>
  <c r="G177" i="2"/>
  <c r="G161" i="2"/>
  <c r="G162" i="2"/>
  <c r="G163" i="2"/>
  <c r="G164" i="2"/>
  <c r="G165" i="2"/>
  <c r="G166" i="2"/>
  <c r="G167" i="2"/>
  <c r="G168" i="2"/>
  <c r="G169" i="2"/>
  <c r="G170" i="2"/>
  <c r="G160" i="2"/>
  <c r="G119" i="2"/>
  <c r="G120" i="2"/>
  <c r="G121" i="2"/>
  <c r="G122" i="2"/>
  <c r="G123" i="2"/>
  <c r="G124" i="2"/>
  <c r="G125" i="2"/>
  <c r="G126" i="2"/>
  <c r="G127" i="2"/>
  <c r="G128" i="2"/>
  <c r="G118" i="2"/>
  <c r="G61" i="2"/>
  <c r="G62" i="2"/>
  <c r="G63" i="2"/>
  <c r="G64" i="2"/>
  <c r="G65" i="2"/>
  <c r="G66" i="2"/>
  <c r="G67" i="2"/>
  <c r="G68" i="2"/>
  <c r="G69" i="2"/>
  <c r="G70" i="2"/>
  <c r="G60" i="2"/>
  <c r="AC262" i="2"/>
  <c r="AB262" i="2"/>
  <c r="AA262" i="2"/>
  <c r="Z262" i="2"/>
  <c r="Y262" i="2"/>
  <c r="X262" i="2"/>
  <c r="W262" i="2"/>
  <c r="V262" i="2"/>
  <c r="U262" i="2"/>
  <c r="T262" i="2"/>
  <c r="S262" i="2"/>
  <c r="R262" i="2"/>
  <c r="Q262" i="2"/>
  <c r="P262" i="2"/>
  <c r="O262" i="2"/>
  <c r="N262" i="2"/>
  <c r="M262" i="2"/>
  <c r="L262" i="2"/>
  <c r="K262" i="2"/>
  <c r="J262" i="2"/>
  <c r="F262" i="2"/>
  <c r="E262" i="2"/>
  <c r="D262" i="2"/>
  <c r="AC261" i="2"/>
  <c r="AB261" i="2"/>
  <c r="AA261" i="2"/>
  <c r="Z261" i="2"/>
  <c r="Y261" i="2"/>
  <c r="X261" i="2"/>
  <c r="W261" i="2"/>
  <c r="V261" i="2"/>
  <c r="U261" i="2"/>
  <c r="T261" i="2"/>
  <c r="S261" i="2"/>
  <c r="R261" i="2"/>
  <c r="Q261" i="2"/>
  <c r="P261" i="2"/>
  <c r="O261" i="2"/>
  <c r="N261" i="2"/>
  <c r="M261" i="2"/>
  <c r="L261" i="2"/>
  <c r="K261" i="2"/>
  <c r="J261" i="2"/>
  <c r="F261" i="2"/>
  <c r="E261" i="2"/>
  <c r="D261" i="2"/>
  <c r="AC260" i="2"/>
  <c r="AB260" i="2"/>
  <c r="AA260" i="2"/>
  <c r="Z260" i="2"/>
  <c r="Y260" i="2"/>
  <c r="X260" i="2"/>
  <c r="W260" i="2"/>
  <c r="V260" i="2"/>
  <c r="U260" i="2"/>
  <c r="T260" i="2"/>
  <c r="S260" i="2"/>
  <c r="R260" i="2"/>
  <c r="Q260" i="2"/>
  <c r="P260" i="2"/>
  <c r="O260" i="2"/>
  <c r="N260" i="2"/>
  <c r="M260" i="2"/>
  <c r="L260" i="2"/>
  <c r="K260" i="2"/>
  <c r="J260" i="2"/>
  <c r="F260" i="2"/>
  <c r="E260" i="2"/>
  <c r="D260" i="2"/>
  <c r="AC259" i="2"/>
  <c r="AB259" i="2"/>
  <c r="AA259" i="2"/>
  <c r="Z259" i="2"/>
  <c r="Y259" i="2"/>
  <c r="X259" i="2"/>
  <c r="W259" i="2"/>
  <c r="V259" i="2"/>
  <c r="U259" i="2"/>
  <c r="T259" i="2"/>
  <c r="S259" i="2"/>
  <c r="R259" i="2"/>
  <c r="Q259" i="2"/>
  <c r="P259" i="2"/>
  <c r="O259" i="2"/>
  <c r="N259" i="2"/>
  <c r="M259" i="2"/>
  <c r="L259" i="2"/>
  <c r="K259" i="2"/>
  <c r="J259" i="2"/>
  <c r="F259" i="2"/>
  <c r="E259" i="2"/>
  <c r="D259" i="2"/>
  <c r="AC258" i="2"/>
  <c r="AB258" i="2"/>
  <c r="AA258" i="2"/>
  <c r="Z258" i="2"/>
  <c r="Y258" i="2"/>
  <c r="X258" i="2"/>
  <c r="W258" i="2"/>
  <c r="V258" i="2"/>
  <c r="U258" i="2"/>
  <c r="T258" i="2"/>
  <c r="S258" i="2"/>
  <c r="R258" i="2"/>
  <c r="Q258" i="2"/>
  <c r="P258" i="2"/>
  <c r="O258" i="2"/>
  <c r="N258" i="2"/>
  <c r="M258" i="2"/>
  <c r="L258" i="2"/>
  <c r="K258" i="2"/>
  <c r="J258" i="2"/>
  <c r="F258" i="2"/>
  <c r="E258" i="2"/>
  <c r="D258" i="2"/>
  <c r="AB257" i="2"/>
  <c r="AA257" i="2"/>
  <c r="Z257" i="2"/>
  <c r="Y257" i="2"/>
  <c r="X257" i="2"/>
  <c r="W257" i="2"/>
  <c r="V257" i="2"/>
  <c r="U257" i="2"/>
  <c r="T257" i="2"/>
  <c r="S257" i="2"/>
  <c r="R257" i="2"/>
  <c r="Q257" i="2"/>
  <c r="P257" i="2"/>
  <c r="O257" i="2"/>
  <c r="N257" i="2"/>
  <c r="M257" i="2"/>
  <c r="L257" i="2"/>
  <c r="K257" i="2"/>
  <c r="J257" i="2"/>
  <c r="F257" i="2"/>
  <c r="E257" i="2"/>
  <c r="D257" i="2"/>
  <c r="AA256" i="2"/>
  <c r="Z256" i="2"/>
  <c r="Y256" i="2"/>
  <c r="X256" i="2"/>
  <c r="W256" i="2"/>
  <c r="V256" i="2"/>
  <c r="U256" i="2"/>
  <c r="T256" i="2"/>
  <c r="S256" i="2"/>
  <c r="R256" i="2"/>
  <c r="Q256" i="2"/>
  <c r="P256" i="2"/>
  <c r="O256" i="2"/>
  <c r="N256" i="2"/>
  <c r="M256" i="2"/>
  <c r="L256" i="2"/>
  <c r="K256" i="2"/>
  <c r="J256" i="2"/>
  <c r="F256" i="2"/>
  <c r="E256" i="2"/>
  <c r="D256" i="2"/>
  <c r="Z255" i="2"/>
  <c r="Y255" i="2"/>
  <c r="X255" i="2"/>
  <c r="W255" i="2"/>
  <c r="V255" i="2"/>
  <c r="U255" i="2"/>
  <c r="T255" i="2"/>
  <c r="S255" i="2"/>
  <c r="R255" i="2"/>
  <c r="Q255" i="2"/>
  <c r="P255" i="2"/>
  <c r="O255" i="2"/>
  <c r="N255" i="2"/>
  <c r="M255" i="2"/>
  <c r="L255" i="2"/>
  <c r="K255" i="2"/>
  <c r="J255" i="2"/>
  <c r="F255" i="2"/>
  <c r="E255" i="2"/>
  <c r="D255" i="2"/>
  <c r="Y254" i="2"/>
  <c r="X254" i="2"/>
  <c r="W254" i="2"/>
  <c r="V254" i="2"/>
  <c r="U254" i="2"/>
  <c r="T254" i="2"/>
  <c r="S254" i="2"/>
  <c r="R254" i="2"/>
  <c r="Q254" i="2"/>
  <c r="P254" i="2"/>
  <c r="O254" i="2"/>
  <c r="N254" i="2"/>
  <c r="M254" i="2"/>
  <c r="L254" i="2"/>
  <c r="K254" i="2"/>
  <c r="J254" i="2"/>
  <c r="F254" i="2"/>
  <c r="E254" i="2"/>
  <c r="D254" i="2"/>
  <c r="X253" i="2"/>
  <c r="W253" i="2"/>
  <c r="V253" i="2"/>
  <c r="U253" i="2"/>
  <c r="T253" i="2"/>
  <c r="S253" i="2"/>
  <c r="R253" i="2"/>
  <c r="Q253" i="2"/>
  <c r="P253" i="2"/>
  <c r="O253" i="2"/>
  <c r="N253" i="2"/>
  <c r="M253" i="2"/>
  <c r="L253" i="2"/>
  <c r="K253" i="2"/>
  <c r="J253" i="2"/>
  <c r="F253" i="2"/>
  <c r="E253" i="2"/>
  <c r="D253" i="2"/>
  <c r="W252" i="2"/>
  <c r="V252" i="2"/>
  <c r="U252" i="2"/>
  <c r="T252" i="2"/>
  <c r="S252" i="2"/>
  <c r="R252" i="2"/>
  <c r="Q252" i="2"/>
  <c r="P252" i="2"/>
  <c r="O252" i="2"/>
  <c r="N252" i="2"/>
  <c r="M252" i="2"/>
  <c r="L252" i="2"/>
  <c r="K252" i="2"/>
  <c r="J252" i="2"/>
  <c r="F252" i="2"/>
  <c r="E252" i="2"/>
  <c r="D252" i="2"/>
  <c r="V251" i="2"/>
  <c r="U251" i="2"/>
  <c r="T251" i="2"/>
  <c r="S251" i="2"/>
  <c r="R251" i="2"/>
  <c r="Q251" i="2"/>
  <c r="P251" i="2"/>
  <c r="O251" i="2"/>
  <c r="N251" i="2"/>
  <c r="M251" i="2"/>
  <c r="L251" i="2"/>
  <c r="K251" i="2"/>
  <c r="J251" i="2"/>
  <c r="AC245" i="2"/>
  <c r="AB245" i="2"/>
  <c r="AA245" i="2"/>
  <c r="Z245" i="2"/>
  <c r="Y245" i="2"/>
  <c r="X245" i="2"/>
  <c r="W245" i="2"/>
  <c r="V245" i="2"/>
  <c r="U245" i="2"/>
  <c r="T245" i="2"/>
  <c r="S245" i="2"/>
  <c r="R245" i="2"/>
  <c r="Q245" i="2"/>
  <c r="P245" i="2"/>
  <c r="O245" i="2"/>
  <c r="N245" i="2"/>
  <c r="M245" i="2"/>
  <c r="L245" i="2"/>
  <c r="K245" i="2"/>
  <c r="J245" i="2"/>
  <c r="F245" i="2"/>
  <c r="E245" i="2"/>
  <c r="D245" i="2"/>
  <c r="AC244" i="2"/>
  <c r="AB244" i="2"/>
  <c r="AA244" i="2"/>
  <c r="Z244" i="2"/>
  <c r="Y244" i="2"/>
  <c r="X244" i="2"/>
  <c r="W244" i="2"/>
  <c r="V244" i="2"/>
  <c r="U244" i="2"/>
  <c r="T244" i="2"/>
  <c r="S244" i="2"/>
  <c r="R244" i="2"/>
  <c r="Q244" i="2"/>
  <c r="P244" i="2"/>
  <c r="O244" i="2"/>
  <c r="N244" i="2"/>
  <c r="M244" i="2"/>
  <c r="L244" i="2"/>
  <c r="K244" i="2"/>
  <c r="J244" i="2"/>
  <c r="F244" i="2"/>
  <c r="E244" i="2"/>
  <c r="D244" i="2"/>
  <c r="AC243" i="2"/>
  <c r="AB243" i="2"/>
  <c r="AA243" i="2"/>
  <c r="Z243" i="2"/>
  <c r="Y243" i="2"/>
  <c r="X243" i="2"/>
  <c r="W243" i="2"/>
  <c r="V243" i="2"/>
  <c r="U243" i="2"/>
  <c r="T243" i="2"/>
  <c r="S243" i="2"/>
  <c r="R243" i="2"/>
  <c r="Q243" i="2"/>
  <c r="P243" i="2"/>
  <c r="O243" i="2"/>
  <c r="N243" i="2"/>
  <c r="M243" i="2"/>
  <c r="L243" i="2"/>
  <c r="K243" i="2"/>
  <c r="J243" i="2"/>
  <c r="F243" i="2"/>
  <c r="E243" i="2"/>
  <c r="D243" i="2"/>
  <c r="AC242" i="2"/>
  <c r="AB242" i="2"/>
  <c r="AA242" i="2"/>
  <c r="Z242" i="2"/>
  <c r="Y242" i="2"/>
  <c r="X242" i="2"/>
  <c r="W242" i="2"/>
  <c r="V242" i="2"/>
  <c r="U242" i="2"/>
  <c r="T242" i="2"/>
  <c r="S242" i="2"/>
  <c r="R242" i="2"/>
  <c r="Q242" i="2"/>
  <c r="P242" i="2"/>
  <c r="O242" i="2"/>
  <c r="N242" i="2"/>
  <c r="M242" i="2"/>
  <c r="L242" i="2"/>
  <c r="K242" i="2"/>
  <c r="J242" i="2"/>
  <c r="F242" i="2"/>
  <c r="E242" i="2"/>
  <c r="D242" i="2"/>
  <c r="AC241" i="2"/>
  <c r="AB241" i="2"/>
  <c r="AA241" i="2"/>
  <c r="Z241" i="2"/>
  <c r="Y241" i="2"/>
  <c r="X241" i="2"/>
  <c r="W241" i="2"/>
  <c r="V241" i="2"/>
  <c r="U241" i="2"/>
  <c r="T241" i="2"/>
  <c r="S241" i="2"/>
  <c r="R241" i="2"/>
  <c r="Q241" i="2"/>
  <c r="P241" i="2"/>
  <c r="O241" i="2"/>
  <c r="N241" i="2"/>
  <c r="M241" i="2"/>
  <c r="L241" i="2"/>
  <c r="K241" i="2"/>
  <c r="J241" i="2"/>
  <c r="F241" i="2"/>
  <c r="E241" i="2"/>
  <c r="D241" i="2"/>
  <c r="AB240" i="2"/>
  <c r="AA240" i="2"/>
  <c r="Z240" i="2"/>
  <c r="Y240" i="2"/>
  <c r="X240" i="2"/>
  <c r="W240" i="2"/>
  <c r="V240" i="2"/>
  <c r="U240" i="2"/>
  <c r="T240" i="2"/>
  <c r="S240" i="2"/>
  <c r="R240" i="2"/>
  <c r="Q240" i="2"/>
  <c r="P240" i="2"/>
  <c r="O240" i="2"/>
  <c r="N240" i="2"/>
  <c r="M240" i="2"/>
  <c r="L240" i="2"/>
  <c r="K240" i="2"/>
  <c r="J240" i="2"/>
  <c r="F240" i="2"/>
  <c r="E240" i="2"/>
  <c r="D240" i="2"/>
  <c r="AA239" i="2"/>
  <c r="Z239" i="2"/>
  <c r="Y239" i="2"/>
  <c r="X239" i="2"/>
  <c r="W239" i="2"/>
  <c r="V239" i="2"/>
  <c r="U239" i="2"/>
  <c r="T239" i="2"/>
  <c r="S239" i="2"/>
  <c r="R239" i="2"/>
  <c r="Q239" i="2"/>
  <c r="P239" i="2"/>
  <c r="O239" i="2"/>
  <c r="N239" i="2"/>
  <c r="M239" i="2"/>
  <c r="L239" i="2"/>
  <c r="K239" i="2"/>
  <c r="J239" i="2"/>
  <c r="F239" i="2"/>
  <c r="E239" i="2"/>
  <c r="D239" i="2"/>
  <c r="Z238" i="2"/>
  <c r="Y238" i="2"/>
  <c r="X238" i="2"/>
  <c r="W238" i="2"/>
  <c r="V238" i="2"/>
  <c r="U238" i="2"/>
  <c r="T238" i="2"/>
  <c r="S238" i="2"/>
  <c r="R238" i="2"/>
  <c r="Q238" i="2"/>
  <c r="P238" i="2"/>
  <c r="O238" i="2"/>
  <c r="N238" i="2"/>
  <c r="M238" i="2"/>
  <c r="L238" i="2"/>
  <c r="K238" i="2"/>
  <c r="J238" i="2"/>
  <c r="F238" i="2"/>
  <c r="E238" i="2"/>
  <c r="D238" i="2"/>
  <c r="Y237" i="2"/>
  <c r="X237" i="2"/>
  <c r="W237" i="2"/>
  <c r="V237" i="2"/>
  <c r="U237" i="2"/>
  <c r="T237" i="2"/>
  <c r="S237" i="2"/>
  <c r="R237" i="2"/>
  <c r="Q237" i="2"/>
  <c r="P237" i="2"/>
  <c r="O237" i="2"/>
  <c r="N237" i="2"/>
  <c r="M237" i="2"/>
  <c r="L237" i="2"/>
  <c r="K237" i="2"/>
  <c r="J237" i="2"/>
  <c r="F237" i="2"/>
  <c r="E237" i="2"/>
  <c r="D237" i="2"/>
  <c r="X236" i="2"/>
  <c r="W236" i="2"/>
  <c r="V236" i="2"/>
  <c r="U236" i="2"/>
  <c r="T236" i="2"/>
  <c r="S236" i="2"/>
  <c r="R236" i="2"/>
  <c r="Q236" i="2"/>
  <c r="P236" i="2"/>
  <c r="O236" i="2"/>
  <c r="N236" i="2"/>
  <c r="M236" i="2"/>
  <c r="L236" i="2"/>
  <c r="K236" i="2"/>
  <c r="J236" i="2"/>
  <c r="F236" i="2"/>
  <c r="E236" i="2"/>
  <c r="D236" i="2"/>
  <c r="W235" i="2"/>
  <c r="V235" i="2"/>
  <c r="U235" i="2"/>
  <c r="T235" i="2"/>
  <c r="S235" i="2"/>
  <c r="R235" i="2"/>
  <c r="Q235" i="2"/>
  <c r="P235" i="2"/>
  <c r="O235" i="2"/>
  <c r="N235" i="2"/>
  <c r="M235" i="2"/>
  <c r="L235" i="2"/>
  <c r="K235" i="2"/>
  <c r="J235" i="2"/>
  <c r="F235" i="2"/>
  <c r="E235" i="2"/>
  <c r="D235" i="2"/>
  <c r="V234" i="2"/>
  <c r="U234" i="2"/>
  <c r="T234" i="2"/>
  <c r="S234" i="2"/>
  <c r="R234" i="2"/>
  <c r="Q234" i="2"/>
  <c r="P234" i="2"/>
  <c r="O234" i="2"/>
  <c r="N234" i="2"/>
  <c r="M234" i="2"/>
  <c r="L234" i="2"/>
  <c r="K234" i="2"/>
  <c r="J234" i="2"/>
  <c r="AC228" i="2"/>
  <c r="AB228" i="2"/>
  <c r="AA228" i="2"/>
  <c r="Z228" i="2"/>
  <c r="Y228" i="2"/>
  <c r="X228" i="2"/>
  <c r="W228" i="2"/>
  <c r="V228" i="2"/>
  <c r="U228" i="2"/>
  <c r="T228" i="2"/>
  <c r="S228" i="2"/>
  <c r="R228" i="2"/>
  <c r="Q228" i="2"/>
  <c r="P228" i="2"/>
  <c r="O228" i="2"/>
  <c r="N228" i="2"/>
  <c r="M228" i="2"/>
  <c r="L228" i="2"/>
  <c r="K228" i="2"/>
  <c r="J228" i="2"/>
  <c r="F228" i="2"/>
  <c r="E228" i="2"/>
  <c r="D228" i="2"/>
  <c r="AC227" i="2"/>
  <c r="AB227" i="2"/>
  <c r="AA227" i="2"/>
  <c r="Z227" i="2"/>
  <c r="Y227" i="2"/>
  <c r="X227" i="2"/>
  <c r="W227" i="2"/>
  <c r="V227" i="2"/>
  <c r="U227" i="2"/>
  <c r="T227" i="2"/>
  <c r="S227" i="2"/>
  <c r="R227" i="2"/>
  <c r="Q227" i="2"/>
  <c r="P227" i="2"/>
  <c r="O227" i="2"/>
  <c r="N227" i="2"/>
  <c r="M227" i="2"/>
  <c r="L227" i="2"/>
  <c r="K227" i="2"/>
  <c r="J227" i="2"/>
  <c r="F227" i="2"/>
  <c r="E227" i="2"/>
  <c r="D227" i="2"/>
  <c r="AC226" i="2"/>
  <c r="AB226" i="2"/>
  <c r="AA226" i="2"/>
  <c r="Z226" i="2"/>
  <c r="Y226" i="2"/>
  <c r="X226" i="2"/>
  <c r="W226" i="2"/>
  <c r="V226" i="2"/>
  <c r="U226" i="2"/>
  <c r="T226" i="2"/>
  <c r="S226" i="2"/>
  <c r="R226" i="2"/>
  <c r="Q226" i="2"/>
  <c r="P226" i="2"/>
  <c r="O226" i="2"/>
  <c r="N226" i="2"/>
  <c r="M226" i="2"/>
  <c r="L226" i="2"/>
  <c r="K226" i="2"/>
  <c r="J226" i="2"/>
  <c r="F226" i="2"/>
  <c r="E226" i="2"/>
  <c r="D226" i="2"/>
  <c r="AC225" i="2"/>
  <c r="AB225" i="2"/>
  <c r="AA225" i="2"/>
  <c r="Z225" i="2"/>
  <c r="Y225" i="2"/>
  <c r="X225" i="2"/>
  <c r="W225" i="2"/>
  <c r="V225" i="2"/>
  <c r="U225" i="2"/>
  <c r="T225" i="2"/>
  <c r="S225" i="2"/>
  <c r="R225" i="2"/>
  <c r="Q225" i="2"/>
  <c r="P225" i="2"/>
  <c r="O225" i="2"/>
  <c r="N225" i="2"/>
  <c r="M225" i="2"/>
  <c r="L225" i="2"/>
  <c r="K225" i="2"/>
  <c r="J225" i="2"/>
  <c r="F225" i="2"/>
  <c r="E225" i="2"/>
  <c r="D225" i="2"/>
  <c r="AC224" i="2"/>
  <c r="AB224" i="2"/>
  <c r="AA224" i="2"/>
  <c r="Z224" i="2"/>
  <c r="Y224" i="2"/>
  <c r="X224" i="2"/>
  <c r="W224" i="2"/>
  <c r="V224" i="2"/>
  <c r="U224" i="2"/>
  <c r="T224" i="2"/>
  <c r="S224" i="2"/>
  <c r="R224" i="2"/>
  <c r="Q224" i="2"/>
  <c r="P224" i="2"/>
  <c r="O224" i="2"/>
  <c r="N224" i="2"/>
  <c r="M224" i="2"/>
  <c r="L224" i="2"/>
  <c r="K224" i="2"/>
  <c r="J224" i="2"/>
  <c r="F224" i="2"/>
  <c r="E224" i="2"/>
  <c r="D224" i="2"/>
  <c r="AB223" i="2"/>
  <c r="AA223" i="2"/>
  <c r="Z223" i="2"/>
  <c r="Y223" i="2"/>
  <c r="X223" i="2"/>
  <c r="W223" i="2"/>
  <c r="V223" i="2"/>
  <c r="U223" i="2"/>
  <c r="T223" i="2"/>
  <c r="S223" i="2"/>
  <c r="R223" i="2"/>
  <c r="Q223" i="2"/>
  <c r="P223" i="2"/>
  <c r="O223" i="2"/>
  <c r="N223" i="2"/>
  <c r="M223" i="2"/>
  <c r="L223" i="2"/>
  <c r="K223" i="2"/>
  <c r="J223" i="2"/>
  <c r="F223" i="2"/>
  <c r="E223" i="2"/>
  <c r="D223" i="2"/>
  <c r="AA222" i="2"/>
  <c r="Z222" i="2"/>
  <c r="Y222" i="2"/>
  <c r="X222" i="2"/>
  <c r="W222" i="2"/>
  <c r="V222" i="2"/>
  <c r="U222" i="2"/>
  <c r="T222" i="2"/>
  <c r="S222" i="2"/>
  <c r="R222" i="2"/>
  <c r="Q222" i="2"/>
  <c r="P222" i="2"/>
  <c r="O222" i="2"/>
  <c r="N222" i="2"/>
  <c r="M222" i="2"/>
  <c r="L222" i="2"/>
  <c r="K222" i="2"/>
  <c r="J222" i="2"/>
  <c r="F222" i="2"/>
  <c r="E222" i="2"/>
  <c r="D222" i="2"/>
  <c r="Z221" i="2"/>
  <c r="Y221" i="2"/>
  <c r="X221" i="2"/>
  <c r="W221" i="2"/>
  <c r="V221" i="2"/>
  <c r="U221" i="2"/>
  <c r="T221" i="2"/>
  <c r="S221" i="2"/>
  <c r="R221" i="2"/>
  <c r="Q221" i="2"/>
  <c r="P221" i="2"/>
  <c r="O221" i="2"/>
  <c r="N221" i="2"/>
  <c r="M221" i="2"/>
  <c r="L221" i="2"/>
  <c r="K221" i="2"/>
  <c r="J221" i="2"/>
  <c r="F221" i="2"/>
  <c r="E221" i="2"/>
  <c r="D221" i="2"/>
  <c r="Y220" i="2"/>
  <c r="X220" i="2"/>
  <c r="W220" i="2"/>
  <c r="V220" i="2"/>
  <c r="U220" i="2"/>
  <c r="T220" i="2"/>
  <c r="S220" i="2"/>
  <c r="R220" i="2"/>
  <c r="Q220" i="2"/>
  <c r="P220" i="2"/>
  <c r="O220" i="2"/>
  <c r="N220" i="2"/>
  <c r="M220" i="2"/>
  <c r="L220" i="2"/>
  <c r="K220" i="2"/>
  <c r="J220" i="2"/>
  <c r="F220" i="2"/>
  <c r="E220" i="2"/>
  <c r="D220" i="2"/>
  <c r="X219" i="2"/>
  <c r="W219" i="2"/>
  <c r="V219" i="2"/>
  <c r="U219" i="2"/>
  <c r="T219" i="2"/>
  <c r="S219" i="2"/>
  <c r="R219" i="2"/>
  <c r="Q219" i="2"/>
  <c r="P219" i="2"/>
  <c r="O219" i="2"/>
  <c r="N219" i="2"/>
  <c r="M219" i="2"/>
  <c r="L219" i="2"/>
  <c r="K219" i="2"/>
  <c r="J219" i="2"/>
  <c r="F219" i="2"/>
  <c r="E219" i="2"/>
  <c r="D219" i="2"/>
  <c r="W218" i="2"/>
  <c r="V218" i="2"/>
  <c r="U218" i="2"/>
  <c r="T218" i="2"/>
  <c r="S218" i="2"/>
  <c r="R218" i="2"/>
  <c r="Q218" i="2"/>
  <c r="P218" i="2"/>
  <c r="O218" i="2"/>
  <c r="N218" i="2"/>
  <c r="M218" i="2"/>
  <c r="L218" i="2"/>
  <c r="K218" i="2"/>
  <c r="J218" i="2"/>
  <c r="F218" i="2"/>
  <c r="E218" i="2"/>
  <c r="D218" i="2"/>
  <c r="V217" i="2"/>
  <c r="U217" i="2"/>
  <c r="T217" i="2"/>
  <c r="S217" i="2"/>
  <c r="R217" i="2"/>
  <c r="Q217" i="2"/>
  <c r="P217" i="2"/>
  <c r="O217" i="2"/>
  <c r="N217" i="2"/>
  <c r="M217" i="2"/>
  <c r="L217" i="2"/>
  <c r="K217" i="2"/>
  <c r="J217" i="2"/>
  <c r="AC187" i="2"/>
  <c r="AB187" i="2"/>
  <c r="AA187" i="2"/>
  <c r="Z187" i="2"/>
  <c r="Y187" i="2"/>
  <c r="X187" i="2"/>
  <c r="W187" i="2"/>
  <c r="V187" i="2"/>
  <c r="U187" i="2"/>
  <c r="T187" i="2"/>
  <c r="S187" i="2"/>
  <c r="R187" i="2"/>
  <c r="Q187" i="2"/>
  <c r="P187" i="2"/>
  <c r="O187" i="2"/>
  <c r="N187" i="2"/>
  <c r="M187" i="2"/>
  <c r="L187" i="2"/>
  <c r="K187" i="2"/>
  <c r="J187" i="2"/>
  <c r="F187" i="2"/>
  <c r="E187" i="2"/>
  <c r="D187" i="2"/>
  <c r="AC186" i="2"/>
  <c r="AB186" i="2"/>
  <c r="AA186" i="2"/>
  <c r="Z186" i="2"/>
  <c r="Y186" i="2"/>
  <c r="X186" i="2"/>
  <c r="W186" i="2"/>
  <c r="V186" i="2"/>
  <c r="U186" i="2"/>
  <c r="T186" i="2"/>
  <c r="S186" i="2"/>
  <c r="R186" i="2"/>
  <c r="Q186" i="2"/>
  <c r="P186" i="2"/>
  <c r="O186" i="2"/>
  <c r="N186" i="2"/>
  <c r="M186" i="2"/>
  <c r="L186" i="2"/>
  <c r="K186" i="2"/>
  <c r="J186" i="2"/>
  <c r="F186" i="2"/>
  <c r="E186" i="2"/>
  <c r="D186" i="2"/>
  <c r="AC185" i="2"/>
  <c r="AB185" i="2"/>
  <c r="AA185" i="2"/>
  <c r="Z185" i="2"/>
  <c r="Y185" i="2"/>
  <c r="X185" i="2"/>
  <c r="W185" i="2"/>
  <c r="V185" i="2"/>
  <c r="U185" i="2"/>
  <c r="T185" i="2"/>
  <c r="S185" i="2"/>
  <c r="R185" i="2"/>
  <c r="Q185" i="2"/>
  <c r="P185" i="2"/>
  <c r="O185" i="2"/>
  <c r="N185" i="2"/>
  <c r="M185" i="2"/>
  <c r="L185" i="2"/>
  <c r="K185" i="2"/>
  <c r="J185" i="2"/>
  <c r="F185" i="2"/>
  <c r="E185" i="2"/>
  <c r="D185" i="2"/>
  <c r="AC184" i="2"/>
  <c r="AB184" i="2"/>
  <c r="AA184" i="2"/>
  <c r="Z184" i="2"/>
  <c r="Y184" i="2"/>
  <c r="X184" i="2"/>
  <c r="W184" i="2"/>
  <c r="V184" i="2"/>
  <c r="U184" i="2"/>
  <c r="T184" i="2"/>
  <c r="S184" i="2"/>
  <c r="R184" i="2"/>
  <c r="Q184" i="2"/>
  <c r="P184" i="2"/>
  <c r="O184" i="2"/>
  <c r="N184" i="2"/>
  <c r="M184" i="2"/>
  <c r="L184" i="2"/>
  <c r="K184" i="2"/>
  <c r="J184" i="2"/>
  <c r="F184" i="2"/>
  <c r="E184" i="2"/>
  <c r="D184" i="2"/>
  <c r="AC183" i="2"/>
  <c r="AB183" i="2"/>
  <c r="AA183" i="2"/>
  <c r="Z183" i="2"/>
  <c r="Y183" i="2"/>
  <c r="X183" i="2"/>
  <c r="W183" i="2"/>
  <c r="V183" i="2"/>
  <c r="U183" i="2"/>
  <c r="T183" i="2"/>
  <c r="S183" i="2"/>
  <c r="R183" i="2"/>
  <c r="Q183" i="2"/>
  <c r="P183" i="2"/>
  <c r="O183" i="2"/>
  <c r="N183" i="2"/>
  <c r="M183" i="2"/>
  <c r="L183" i="2"/>
  <c r="K183" i="2"/>
  <c r="J183" i="2"/>
  <c r="F183" i="2"/>
  <c r="E183" i="2"/>
  <c r="D183" i="2"/>
  <c r="AB182" i="2"/>
  <c r="AA182" i="2"/>
  <c r="Z182" i="2"/>
  <c r="Y182" i="2"/>
  <c r="X182" i="2"/>
  <c r="W182" i="2"/>
  <c r="V182" i="2"/>
  <c r="U182" i="2"/>
  <c r="T182" i="2"/>
  <c r="S182" i="2"/>
  <c r="R182" i="2"/>
  <c r="Q182" i="2"/>
  <c r="P182" i="2"/>
  <c r="O182" i="2"/>
  <c r="N182" i="2"/>
  <c r="M182" i="2"/>
  <c r="L182" i="2"/>
  <c r="K182" i="2"/>
  <c r="J182" i="2"/>
  <c r="F182" i="2"/>
  <c r="E182" i="2"/>
  <c r="D182" i="2"/>
  <c r="AA181" i="2"/>
  <c r="Z181" i="2"/>
  <c r="Y181" i="2"/>
  <c r="X181" i="2"/>
  <c r="W181" i="2"/>
  <c r="V181" i="2"/>
  <c r="U181" i="2"/>
  <c r="T181" i="2"/>
  <c r="S181" i="2"/>
  <c r="R181" i="2"/>
  <c r="Q181" i="2"/>
  <c r="P181" i="2"/>
  <c r="O181" i="2"/>
  <c r="N181" i="2"/>
  <c r="M181" i="2"/>
  <c r="L181" i="2"/>
  <c r="K181" i="2"/>
  <c r="J181" i="2"/>
  <c r="F181" i="2"/>
  <c r="E181" i="2"/>
  <c r="D181" i="2"/>
  <c r="Z180" i="2"/>
  <c r="Y180" i="2"/>
  <c r="X180" i="2"/>
  <c r="W180" i="2"/>
  <c r="V180" i="2"/>
  <c r="U180" i="2"/>
  <c r="T180" i="2"/>
  <c r="S180" i="2"/>
  <c r="R180" i="2"/>
  <c r="Q180" i="2"/>
  <c r="P180" i="2"/>
  <c r="O180" i="2"/>
  <c r="N180" i="2"/>
  <c r="M180" i="2"/>
  <c r="L180" i="2"/>
  <c r="K180" i="2"/>
  <c r="J180" i="2"/>
  <c r="F180" i="2"/>
  <c r="E180" i="2"/>
  <c r="D180" i="2"/>
  <c r="Y179" i="2"/>
  <c r="X179" i="2"/>
  <c r="W179" i="2"/>
  <c r="V179" i="2"/>
  <c r="U179" i="2"/>
  <c r="T179" i="2"/>
  <c r="S179" i="2"/>
  <c r="R179" i="2"/>
  <c r="Q179" i="2"/>
  <c r="P179" i="2"/>
  <c r="O179" i="2"/>
  <c r="N179" i="2"/>
  <c r="M179" i="2"/>
  <c r="L179" i="2"/>
  <c r="K179" i="2"/>
  <c r="J179" i="2"/>
  <c r="F179" i="2"/>
  <c r="E179" i="2"/>
  <c r="D179" i="2"/>
  <c r="X178" i="2"/>
  <c r="W178" i="2"/>
  <c r="V178" i="2"/>
  <c r="U178" i="2"/>
  <c r="T178" i="2"/>
  <c r="S178" i="2"/>
  <c r="R178" i="2"/>
  <c r="Q178" i="2"/>
  <c r="P178" i="2"/>
  <c r="O178" i="2"/>
  <c r="N178" i="2"/>
  <c r="M178" i="2"/>
  <c r="L178" i="2"/>
  <c r="K178" i="2"/>
  <c r="J178" i="2"/>
  <c r="F178" i="2"/>
  <c r="E178" i="2"/>
  <c r="D178" i="2"/>
  <c r="W177" i="2"/>
  <c r="V177" i="2"/>
  <c r="U177" i="2"/>
  <c r="T177" i="2"/>
  <c r="S177" i="2"/>
  <c r="R177" i="2"/>
  <c r="Q177" i="2"/>
  <c r="P177" i="2"/>
  <c r="O177" i="2"/>
  <c r="N177" i="2"/>
  <c r="M177" i="2"/>
  <c r="L177" i="2"/>
  <c r="K177" i="2"/>
  <c r="J177" i="2"/>
  <c r="F177" i="2"/>
  <c r="E177" i="2"/>
  <c r="D177" i="2"/>
  <c r="V176" i="2"/>
  <c r="U176" i="2"/>
  <c r="T176" i="2"/>
  <c r="S176" i="2"/>
  <c r="R176" i="2"/>
  <c r="Q176" i="2"/>
  <c r="P176" i="2"/>
  <c r="O176" i="2"/>
  <c r="N176" i="2"/>
  <c r="M176" i="2"/>
  <c r="L176" i="2"/>
  <c r="K176" i="2"/>
  <c r="J176" i="2"/>
  <c r="AC170" i="2"/>
  <c r="AB170" i="2"/>
  <c r="AA170" i="2"/>
  <c r="Z170" i="2"/>
  <c r="Y170" i="2"/>
  <c r="X170" i="2"/>
  <c r="W170" i="2"/>
  <c r="V170" i="2"/>
  <c r="U170" i="2"/>
  <c r="T170" i="2"/>
  <c r="S170" i="2"/>
  <c r="R170" i="2"/>
  <c r="Q170" i="2"/>
  <c r="P170" i="2"/>
  <c r="O170" i="2"/>
  <c r="N170" i="2"/>
  <c r="M170" i="2"/>
  <c r="L170" i="2"/>
  <c r="K170" i="2"/>
  <c r="J170" i="2"/>
  <c r="F170" i="2"/>
  <c r="E170" i="2"/>
  <c r="D170" i="2"/>
  <c r="AC169" i="2"/>
  <c r="AB169" i="2"/>
  <c r="AA169" i="2"/>
  <c r="Z169" i="2"/>
  <c r="Y169" i="2"/>
  <c r="X169" i="2"/>
  <c r="W169" i="2"/>
  <c r="V169" i="2"/>
  <c r="U169" i="2"/>
  <c r="T169" i="2"/>
  <c r="S169" i="2"/>
  <c r="R169" i="2"/>
  <c r="Q169" i="2"/>
  <c r="P169" i="2"/>
  <c r="O169" i="2"/>
  <c r="N169" i="2"/>
  <c r="M169" i="2"/>
  <c r="L169" i="2"/>
  <c r="K169" i="2"/>
  <c r="J169" i="2"/>
  <c r="F169" i="2"/>
  <c r="E169" i="2"/>
  <c r="D169" i="2"/>
  <c r="AC168" i="2"/>
  <c r="AB168" i="2"/>
  <c r="AA168" i="2"/>
  <c r="Z168" i="2"/>
  <c r="Y168" i="2"/>
  <c r="X168" i="2"/>
  <c r="W168" i="2"/>
  <c r="V168" i="2"/>
  <c r="U168" i="2"/>
  <c r="T168" i="2"/>
  <c r="S168" i="2"/>
  <c r="R168" i="2"/>
  <c r="Q168" i="2"/>
  <c r="P168" i="2"/>
  <c r="O168" i="2"/>
  <c r="N168" i="2"/>
  <c r="M168" i="2"/>
  <c r="L168" i="2"/>
  <c r="K168" i="2"/>
  <c r="J168" i="2"/>
  <c r="F168" i="2"/>
  <c r="E168" i="2"/>
  <c r="D168" i="2"/>
  <c r="AC167" i="2"/>
  <c r="AB167" i="2"/>
  <c r="AA167" i="2"/>
  <c r="Z167" i="2"/>
  <c r="Y167" i="2"/>
  <c r="X167" i="2"/>
  <c r="W167" i="2"/>
  <c r="V167" i="2"/>
  <c r="U167" i="2"/>
  <c r="T167" i="2"/>
  <c r="S167" i="2"/>
  <c r="R167" i="2"/>
  <c r="Q167" i="2"/>
  <c r="P167" i="2"/>
  <c r="O167" i="2"/>
  <c r="N167" i="2"/>
  <c r="M167" i="2"/>
  <c r="L167" i="2"/>
  <c r="K167" i="2"/>
  <c r="J167" i="2"/>
  <c r="F167" i="2"/>
  <c r="E167" i="2"/>
  <c r="D167" i="2"/>
  <c r="AC166" i="2"/>
  <c r="AB166" i="2"/>
  <c r="AA166" i="2"/>
  <c r="Z166" i="2"/>
  <c r="Y166" i="2"/>
  <c r="X166" i="2"/>
  <c r="W166" i="2"/>
  <c r="V166" i="2"/>
  <c r="U166" i="2"/>
  <c r="T166" i="2"/>
  <c r="S166" i="2"/>
  <c r="R166" i="2"/>
  <c r="Q166" i="2"/>
  <c r="P166" i="2"/>
  <c r="O166" i="2"/>
  <c r="N166" i="2"/>
  <c r="M166" i="2"/>
  <c r="L166" i="2"/>
  <c r="K166" i="2"/>
  <c r="J166" i="2"/>
  <c r="F166" i="2"/>
  <c r="E166" i="2"/>
  <c r="D166" i="2"/>
  <c r="AB165" i="2"/>
  <c r="AA165" i="2"/>
  <c r="Z165" i="2"/>
  <c r="Y165" i="2"/>
  <c r="X165" i="2"/>
  <c r="W165" i="2"/>
  <c r="V165" i="2"/>
  <c r="U165" i="2"/>
  <c r="T165" i="2"/>
  <c r="S165" i="2"/>
  <c r="R165" i="2"/>
  <c r="Q165" i="2"/>
  <c r="P165" i="2"/>
  <c r="O165" i="2"/>
  <c r="N165" i="2"/>
  <c r="M165" i="2"/>
  <c r="L165" i="2"/>
  <c r="K165" i="2"/>
  <c r="J165" i="2"/>
  <c r="F165" i="2"/>
  <c r="E165" i="2"/>
  <c r="D165" i="2"/>
  <c r="AA164" i="2"/>
  <c r="Z164" i="2"/>
  <c r="Y164" i="2"/>
  <c r="X164" i="2"/>
  <c r="W164" i="2"/>
  <c r="V164" i="2"/>
  <c r="U164" i="2"/>
  <c r="T164" i="2"/>
  <c r="S164" i="2"/>
  <c r="R164" i="2"/>
  <c r="Q164" i="2"/>
  <c r="P164" i="2"/>
  <c r="O164" i="2"/>
  <c r="N164" i="2"/>
  <c r="M164" i="2"/>
  <c r="L164" i="2"/>
  <c r="K164" i="2"/>
  <c r="J164" i="2"/>
  <c r="F164" i="2"/>
  <c r="E164" i="2"/>
  <c r="D164" i="2"/>
  <c r="Z163" i="2"/>
  <c r="Y163" i="2"/>
  <c r="X163" i="2"/>
  <c r="W163" i="2"/>
  <c r="V163" i="2"/>
  <c r="U163" i="2"/>
  <c r="T163" i="2"/>
  <c r="S163" i="2"/>
  <c r="R163" i="2"/>
  <c r="Q163" i="2"/>
  <c r="P163" i="2"/>
  <c r="O163" i="2"/>
  <c r="N163" i="2"/>
  <c r="M163" i="2"/>
  <c r="L163" i="2"/>
  <c r="K163" i="2"/>
  <c r="J163" i="2"/>
  <c r="F163" i="2"/>
  <c r="E163" i="2"/>
  <c r="D163" i="2"/>
  <c r="Y162" i="2"/>
  <c r="X162" i="2"/>
  <c r="W162" i="2"/>
  <c r="V162" i="2"/>
  <c r="U162" i="2"/>
  <c r="T162" i="2"/>
  <c r="S162" i="2"/>
  <c r="R162" i="2"/>
  <c r="Q162" i="2"/>
  <c r="P162" i="2"/>
  <c r="O162" i="2"/>
  <c r="N162" i="2"/>
  <c r="M162" i="2"/>
  <c r="L162" i="2"/>
  <c r="K162" i="2"/>
  <c r="J162" i="2"/>
  <c r="F162" i="2"/>
  <c r="E162" i="2"/>
  <c r="D162" i="2"/>
  <c r="X161" i="2"/>
  <c r="W161" i="2"/>
  <c r="V161" i="2"/>
  <c r="U161" i="2"/>
  <c r="T161" i="2"/>
  <c r="S161" i="2"/>
  <c r="R161" i="2"/>
  <c r="Q161" i="2"/>
  <c r="P161" i="2"/>
  <c r="O161" i="2"/>
  <c r="N161" i="2"/>
  <c r="M161" i="2"/>
  <c r="L161" i="2"/>
  <c r="K161" i="2"/>
  <c r="J161" i="2"/>
  <c r="F161" i="2"/>
  <c r="E161" i="2"/>
  <c r="D161" i="2"/>
  <c r="W160" i="2"/>
  <c r="V160" i="2"/>
  <c r="U160" i="2"/>
  <c r="T160" i="2"/>
  <c r="S160" i="2"/>
  <c r="R160" i="2"/>
  <c r="Q160" i="2"/>
  <c r="P160" i="2"/>
  <c r="O160" i="2"/>
  <c r="N160" i="2"/>
  <c r="M160" i="2"/>
  <c r="L160" i="2"/>
  <c r="K160" i="2"/>
  <c r="J160" i="2"/>
  <c r="F160" i="2"/>
  <c r="E160" i="2"/>
  <c r="D160" i="2"/>
  <c r="V159" i="2"/>
  <c r="U159" i="2"/>
  <c r="T159" i="2"/>
  <c r="S159" i="2"/>
  <c r="R159" i="2"/>
  <c r="Q159" i="2"/>
  <c r="P159" i="2"/>
  <c r="O159" i="2"/>
  <c r="N159" i="2"/>
  <c r="M159" i="2"/>
  <c r="L159" i="2"/>
  <c r="K159" i="2"/>
  <c r="J159" i="2"/>
  <c r="AC128" i="2"/>
  <c r="AB128" i="2"/>
  <c r="AA128" i="2"/>
  <c r="Z128" i="2"/>
  <c r="Y128" i="2"/>
  <c r="X128" i="2"/>
  <c r="W128" i="2"/>
  <c r="V128" i="2"/>
  <c r="U128" i="2"/>
  <c r="T128" i="2"/>
  <c r="S128" i="2"/>
  <c r="R128" i="2"/>
  <c r="Q128" i="2"/>
  <c r="P128" i="2"/>
  <c r="O128" i="2"/>
  <c r="N128" i="2"/>
  <c r="M128" i="2"/>
  <c r="L128" i="2"/>
  <c r="K128" i="2"/>
  <c r="J128" i="2"/>
  <c r="F128" i="2"/>
  <c r="E128" i="2"/>
  <c r="D128" i="2"/>
  <c r="AC127" i="2"/>
  <c r="AB127" i="2"/>
  <c r="AA127" i="2"/>
  <c r="Z127" i="2"/>
  <c r="Y127" i="2"/>
  <c r="X127" i="2"/>
  <c r="W127" i="2"/>
  <c r="V127" i="2"/>
  <c r="U127" i="2"/>
  <c r="T127" i="2"/>
  <c r="S127" i="2"/>
  <c r="R127" i="2"/>
  <c r="Q127" i="2"/>
  <c r="P127" i="2"/>
  <c r="O127" i="2"/>
  <c r="N127" i="2"/>
  <c r="M127" i="2"/>
  <c r="L127" i="2"/>
  <c r="K127" i="2"/>
  <c r="J127" i="2"/>
  <c r="F127" i="2"/>
  <c r="E127" i="2"/>
  <c r="D127" i="2"/>
  <c r="AC126" i="2"/>
  <c r="AB126" i="2"/>
  <c r="AA126" i="2"/>
  <c r="Z126" i="2"/>
  <c r="Y126" i="2"/>
  <c r="X126" i="2"/>
  <c r="W126" i="2"/>
  <c r="V126" i="2"/>
  <c r="U126" i="2"/>
  <c r="T126" i="2"/>
  <c r="S126" i="2"/>
  <c r="R126" i="2"/>
  <c r="Q126" i="2"/>
  <c r="P126" i="2"/>
  <c r="O126" i="2"/>
  <c r="N126" i="2"/>
  <c r="M126" i="2"/>
  <c r="L126" i="2"/>
  <c r="K126" i="2"/>
  <c r="J126" i="2"/>
  <c r="F126" i="2"/>
  <c r="E126" i="2"/>
  <c r="D126" i="2"/>
  <c r="AC125" i="2"/>
  <c r="AB125" i="2"/>
  <c r="AA125" i="2"/>
  <c r="Z125" i="2"/>
  <c r="Y125" i="2"/>
  <c r="X125" i="2"/>
  <c r="W125" i="2"/>
  <c r="V125" i="2"/>
  <c r="U125" i="2"/>
  <c r="T125" i="2"/>
  <c r="S125" i="2"/>
  <c r="R125" i="2"/>
  <c r="Q125" i="2"/>
  <c r="P125" i="2"/>
  <c r="O125" i="2"/>
  <c r="N125" i="2"/>
  <c r="M125" i="2"/>
  <c r="L125" i="2"/>
  <c r="K125" i="2"/>
  <c r="J125" i="2"/>
  <c r="F125" i="2"/>
  <c r="E125" i="2"/>
  <c r="D125" i="2"/>
  <c r="AC124" i="2"/>
  <c r="AB124" i="2"/>
  <c r="AA124" i="2"/>
  <c r="Z124" i="2"/>
  <c r="Y124" i="2"/>
  <c r="X124" i="2"/>
  <c r="W124" i="2"/>
  <c r="V124" i="2"/>
  <c r="U124" i="2"/>
  <c r="T124" i="2"/>
  <c r="S124" i="2"/>
  <c r="R124" i="2"/>
  <c r="Q124" i="2"/>
  <c r="P124" i="2"/>
  <c r="O124" i="2"/>
  <c r="N124" i="2"/>
  <c r="M124" i="2"/>
  <c r="L124" i="2"/>
  <c r="K124" i="2"/>
  <c r="J124" i="2"/>
  <c r="F124" i="2"/>
  <c r="E124" i="2"/>
  <c r="D124" i="2"/>
  <c r="AB123" i="2"/>
  <c r="AA123" i="2"/>
  <c r="Z123" i="2"/>
  <c r="Y123" i="2"/>
  <c r="X123" i="2"/>
  <c r="W123" i="2"/>
  <c r="V123" i="2"/>
  <c r="U123" i="2"/>
  <c r="T123" i="2"/>
  <c r="S123" i="2"/>
  <c r="R123" i="2"/>
  <c r="Q123" i="2"/>
  <c r="P123" i="2"/>
  <c r="O123" i="2"/>
  <c r="N123" i="2"/>
  <c r="M123" i="2"/>
  <c r="L123" i="2"/>
  <c r="K123" i="2"/>
  <c r="J123" i="2"/>
  <c r="F123" i="2"/>
  <c r="E123" i="2"/>
  <c r="D123" i="2"/>
  <c r="AA122" i="2"/>
  <c r="Z122" i="2"/>
  <c r="Y122" i="2"/>
  <c r="X122" i="2"/>
  <c r="W122" i="2"/>
  <c r="V122" i="2"/>
  <c r="U122" i="2"/>
  <c r="T122" i="2"/>
  <c r="S122" i="2"/>
  <c r="R122" i="2"/>
  <c r="Q122" i="2"/>
  <c r="P122" i="2"/>
  <c r="O122" i="2"/>
  <c r="N122" i="2"/>
  <c r="M122" i="2"/>
  <c r="L122" i="2"/>
  <c r="K122" i="2"/>
  <c r="J122" i="2"/>
  <c r="F122" i="2"/>
  <c r="E122" i="2"/>
  <c r="D122" i="2"/>
  <c r="Z121" i="2"/>
  <c r="Y121" i="2"/>
  <c r="X121" i="2"/>
  <c r="W121" i="2"/>
  <c r="V121" i="2"/>
  <c r="U121" i="2"/>
  <c r="T121" i="2"/>
  <c r="S121" i="2"/>
  <c r="R121" i="2"/>
  <c r="Q121" i="2"/>
  <c r="P121" i="2"/>
  <c r="O121" i="2"/>
  <c r="N121" i="2"/>
  <c r="M121" i="2"/>
  <c r="L121" i="2"/>
  <c r="K121" i="2"/>
  <c r="J121" i="2"/>
  <c r="F121" i="2"/>
  <c r="E121" i="2"/>
  <c r="D121" i="2"/>
  <c r="Y120" i="2"/>
  <c r="X120" i="2"/>
  <c r="W120" i="2"/>
  <c r="V120" i="2"/>
  <c r="U120" i="2"/>
  <c r="T120" i="2"/>
  <c r="S120" i="2"/>
  <c r="R120" i="2"/>
  <c r="Q120" i="2"/>
  <c r="P120" i="2"/>
  <c r="O120" i="2"/>
  <c r="N120" i="2"/>
  <c r="M120" i="2"/>
  <c r="L120" i="2"/>
  <c r="K120" i="2"/>
  <c r="J120" i="2"/>
  <c r="F120" i="2"/>
  <c r="E120" i="2"/>
  <c r="D120" i="2"/>
  <c r="X119" i="2"/>
  <c r="W119" i="2"/>
  <c r="V119" i="2"/>
  <c r="U119" i="2"/>
  <c r="T119" i="2"/>
  <c r="S119" i="2"/>
  <c r="R119" i="2"/>
  <c r="Q119" i="2"/>
  <c r="P119" i="2"/>
  <c r="O119" i="2"/>
  <c r="N119" i="2"/>
  <c r="M119" i="2"/>
  <c r="L119" i="2"/>
  <c r="K119" i="2"/>
  <c r="J119" i="2"/>
  <c r="F119" i="2"/>
  <c r="E119" i="2"/>
  <c r="D119" i="2"/>
  <c r="W118" i="2"/>
  <c r="V118" i="2"/>
  <c r="U118" i="2"/>
  <c r="T118" i="2"/>
  <c r="S118" i="2"/>
  <c r="R118" i="2"/>
  <c r="Q118" i="2"/>
  <c r="P118" i="2"/>
  <c r="O118" i="2"/>
  <c r="N118" i="2"/>
  <c r="M118" i="2"/>
  <c r="L118" i="2"/>
  <c r="K118" i="2"/>
  <c r="J118" i="2"/>
  <c r="F118" i="2"/>
  <c r="E118" i="2"/>
  <c r="D118" i="2"/>
  <c r="V117" i="2"/>
  <c r="U117" i="2"/>
  <c r="T117" i="2"/>
  <c r="S117" i="2"/>
  <c r="R117" i="2"/>
  <c r="Q117" i="2"/>
  <c r="P117" i="2"/>
  <c r="O117" i="2"/>
  <c r="N117" i="2"/>
  <c r="M117" i="2"/>
  <c r="L117" i="2"/>
  <c r="K117" i="2"/>
  <c r="J117" i="2"/>
  <c r="AC70" i="2"/>
  <c r="AB70" i="2"/>
  <c r="AA70" i="2"/>
  <c r="Z70" i="2"/>
  <c r="Y70" i="2"/>
  <c r="X70" i="2"/>
  <c r="W70" i="2"/>
  <c r="V70" i="2"/>
  <c r="U70" i="2"/>
  <c r="T70" i="2"/>
  <c r="S70" i="2"/>
  <c r="R70" i="2"/>
  <c r="Q70" i="2"/>
  <c r="P70" i="2"/>
  <c r="O70" i="2"/>
  <c r="N70" i="2"/>
  <c r="M70" i="2"/>
  <c r="L70" i="2"/>
  <c r="K70" i="2"/>
  <c r="J70" i="2"/>
  <c r="F70" i="2"/>
  <c r="E70" i="2"/>
  <c r="D70" i="2"/>
  <c r="AC69" i="2"/>
  <c r="AB69" i="2"/>
  <c r="AA69" i="2"/>
  <c r="Z69" i="2"/>
  <c r="Y69" i="2"/>
  <c r="X69" i="2"/>
  <c r="W69" i="2"/>
  <c r="V69" i="2"/>
  <c r="U69" i="2"/>
  <c r="T69" i="2"/>
  <c r="S69" i="2"/>
  <c r="R69" i="2"/>
  <c r="Q69" i="2"/>
  <c r="P69" i="2"/>
  <c r="O69" i="2"/>
  <c r="N69" i="2"/>
  <c r="M69" i="2"/>
  <c r="L69" i="2"/>
  <c r="K69" i="2"/>
  <c r="J69" i="2"/>
  <c r="F69" i="2"/>
  <c r="E69" i="2"/>
  <c r="D69" i="2"/>
  <c r="AC68" i="2"/>
  <c r="AB68" i="2"/>
  <c r="AA68" i="2"/>
  <c r="Z68" i="2"/>
  <c r="Y68" i="2"/>
  <c r="X68" i="2"/>
  <c r="W68" i="2"/>
  <c r="V68" i="2"/>
  <c r="U68" i="2"/>
  <c r="T68" i="2"/>
  <c r="S68" i="2"/>
  <c r="R68" i="2"/>
  <c r="Q68" i="2"/>
  <c r="P68" i="2"/>
  <c r="O68" i="2"/>
  <c r="N68" i="2"/>
  <c r="M68" i="2"/>
  <c r="L68" i="2"/>
  <c r="K68" i="2"/>
  <c r="J68" i="2"/>
  <c r="F68" i="2"/>
  <c r="E68" i="2"/>
  <c r="D68" i="2"/>
  <c r="AC67" i="2"/>
  <c r="AB67" i="2"/>
  <c r="AA67" i="2"/>
  <c r="Z67" i="2"/>
  <c r="Y67" i="2"/>
  <c r="X67" i="2"/>
  <c r="W67" i="2"/>
  <c r="V67" i="2"/>
  <c r="U67" i="2"/>
  <c r="T67" i="2"/>
  <c r="S67" i="2"/>
  <c r="R67" i="2"/>
  <c r="Q67" i="2"/>
  <c r="P67" i="2"/>
  <c r="O67" i="2"/>
  <c r="N67" i="2"/>
  <c r="M67" i="2"/>
  <c r="L67" i="2"/>
  <c r="K67" i="2"/>
  <c r="J67" i="2"/>
  <c r="F67" i="2"/>
  <c r="E67" i="2"/>
  <c r="D67" i="2"/>
  <c r="AC66" i="2"/>
  <c r="AB66" i="2"/>
  <c r="AA66" i="2"/>
  <c r="Z66" i="2"/>
  <c r="Y66" i="2"/>
  <c r="X66" i="2"/>
  <c r="W66" i="2"/>
  <c r="V66" i="2"/>
  <c r="U66" i="2"/>
  <c r="T66" i="2"/>
  <c r="S66" i="2"/>
  <c r="R66" i="2"/>
  <c r="Q66" i="2"/>
  <c r="P66" i="2"/>
  <c r="O66" i="2"/>
  <c r="N66" i="2"/>
  <c r="M66" i="2"/>
  <c r="L66" i="2"/>
  <c r="K66" i="2"/>
  <c r="J66" i="2"/>
  <c r="F66" i="2"/>
  <c r="E66" i="2"/>
  <c r="D66" i="2"/>
  <c r="AB65" i="2"/>
  <c r="AA65" i="2"/>
  <c r="Z65" i="2"/>
  <c r="Y65" i="2"/>
  <c r="X65" i="2"/>
  <c r="W65" i="2"/>
  <c r="V65" i="2"/>
  <c r="U65" i="2"/>
  <c r="T65" i="2"/>
  <c r="S65" i="2"/>
  <c r="R65" i="2"/>
  <c r="Q65" i="2"/>
  <c r="P65" i="2"/>
  <c r="O65" i="2"/>
  <c r="N65" i="2"/>
  <c r="M65" i="2"/>
  <c r="L65" i="2"/>
  <c r="K65" i="2"/>
  <c r="J65" i="2"/>
  <c r="F65" i="2"/>
  <c r="E65" i="2"/>
  <c r="D65" i="2"/>
  <c r="AA64" i="2"/>
  <c r="Z64" i="2"/>
  <c r="Y64" i="2"/>
  <c r="X64" i="2"/>
  <c r="W64" i="2"/>
  <c r="V64" i="2"/>
  <c r="U64" i="2"/>
  <c r="T64" i="2"/>
  <c r="S64" i="2"/>
  <c r="R64" i="2"/>
  <c r="Q64" i="2"/>
  <c r="P64" i="2"/>
  <c r="O64" i="2"/>
  <c r="N64" i="2"/>
  <c r="M64" i="2"/>
  <c r="L64" i="2"/>
  <c r="K64" i="2"/>
  <c r="J64" i="2"/>
  <c r="F64" i="2"/>
  <c r="E64" i="2"/>
  <c r="D64" i="2"/>
  <c r="Z63" i="2"/>
  <c r="Y63" i="2"/>
  <c r="X63" i="2"/>
  <c r="W63" i="2"/>
  <c r="V63" i="2"/>
  <c r="U63" i="2"/>
  <c r="T63" i="2"/>
  <c r="S63" i="2"/>
  <c r="R63" i="2"/>
  <c r="Q63" i="2"/>
  <c r="P63" i="2"/>
  <c r="O63" i="2"/>
  <c r="N63" i="2"/>
  <c r="M63" i="2"/>
  <c r="L63" i="2"/>
  <c r="K63" i="2"/>
  <c r="J63" i="2"/>
  <c r="F63" i="2"/>
  <c r="E63" i="2"/>
  <c r="D63" i="2"/>
  <c r="Y62" i="2"/>
  <c r="X62" i="2"/>
  <c r="W62" i="2"/>
  <c r="V62" i="2"/>
  <c r="U62" i="2"/>
  <c r="T62" i="2"/>
  <c r="S62" i="2"/>
  <c r="R62" i="2"/>
  <c r="Q62" i="2"/>
  <c r="P62" i="2"/>
  <c r="O62" i="2"/>
  <c r="N62" i="2"/>
  <c r="M62" i="2"/>
  <c r="L62" i="2"/>
  <c r="K62" i="2"/>
  <c r="J62" i="2"/>
  <c r="F62" i="2"/>
  <c r="E62" i="2"/>
  <c r="D62" i="2"/>
  <c r="X61" i="2"/>
  <c r="W61" i="2"/>
  <c r="V61" i="2"/>
  <c r="U61" i="2"/>
  <c r="T61" i="2"/>
  <c r="S61" i="2"/>
  <c r="R61" i="2"/>
  <c r="Q61" i="2"/>
  <c r="P61" i="2"/>
  <c r="O61" i="2"/>
  <c r="N61" i="2"/>
  <c r="M61" i="2"/>
  <c r="L61" i="2"/>
  <c r="K61" i="2"/>
  <c r="J61" i="2"/>
  <c r="F61" i="2"/>
  <c r="E61" i="2"/>
  <c r="D61" i="2"/>
  <c r="W60" i="2"/>
  <c r="V60" i="2"/>
  <c r="U60" i="2"/>
  <c r="T60" i="2"/>
  <c r="S60" i="2"/>
  <c r="R60" i="2"/>
  <c r="Q60" i="2"/>
  <c r="P60" i="2"/>
  <c r="O60" i="2"/>
  <c r="N60" i="2"/>
  <c r="M60" i="2"/>
  <c r="L60" i="2"/>
  <c r="K60" i="2"/>
  <c r="J60" i="2"/>
  <c r="F60" i="2"/>
  <c r="E60" i="2"/>
  <c r="D60" i="2"/>
  <c r="V59" i="2"/>
  <c r="U59" i="2"/>
  <c r="T59" i="2"/>
  <c r="S59" i="2"/>
  <c r="R59" i="2"/>
  <c r="Q59" i="2"/>
  <c r="P59" i="2"/>
  <c r="O59" i="2"/>
  <c r="N59" i="2"/>
  <c r="M59" i="2"/>
  <c r="L59" i="2"/>
  <c r="K59" i="2"/>
  <c r="J59" i="2"/>
  <c r="F24" i="2"/>
  <c r="E24" i="2"/>
  <c r="D24" i="2"/>
  <c r="F23" i="2"/>
  <c r="E23" i="2"/>
  <c r="D23" i="2"/>
  <c r="F22" i="2"/>
  <c r="E22" i="2"/>
  <c r="D22" i="2"/>
  <c r="F21" i="2"/>
  <c r="E21" i="2"/>
  <c r="D21" i="2"/>
  <c r="F20" i="2"/>
  <c r="E20" i="2"/>
  <c r="D20" i="2"/>
  <c r="F19" i="2"/>
  <c r="E19" i="2"/>
  <c r="D19" i="2"/>
  <c r="F18" i="2"/>
  <c r="E18" i="2"/>
  <c r="D18" i="2"/>
  <c r="F17" i="2"/>
  <c r="E17" i="2"/>
  <c r="D17" i="2"/>
  <c r="F16" i="2"/>
  <c r="E16" i="2"/>
  <c r="D16" i="2"/>
  <c r="F15" i="2"/>
  <c r="E15" i="2"/>
  <c r="D15" i="2"/>
  <c r="F14" i="2"/>
  <c r="E14" i="2"/>
  <c r="D14" i="2"/>
  <c r="F86" i="2"/>
  <c r="F85" i="2"/>
  <c r="F84" i="2"/>
  <c r="F83" i="2"/>
  <c r="F82" i="2"/>
  <c r="F81" i="2"/>
  <c r="F80" i="2"/>
  <c r="F79" i="2"/>
  <c r="F78" i="2"/>
  <c r="F77" i="2"/>
  <c r="F76" i="2"/>
  <c r="E86" i="2"/>
  <c r="E85" i="2"/>
  <c r="E84" i="2"/>
  <c r="E83" i="2"/>
  <c r="E82" i="2"/>
  <c r="E81" i="2"/>
  <c r="E80" i="2"/>
  <c r="E79" i="2"/>
  <c r="E78" i="2"/>
  <c r="E77" i="2"/>
  <c r="E76" i="2"/>
  <c r="D86" i="2"/>
  <c r="D85" i="2"/>
  <c r="D84" i="2"/>
  <c r="D83" i="2"/>
  <c r="D82" i="2"/>
  <c r="D81" i="2"/>
  <c r="D80" i="2"/>
  <c r="D79" i="2"/>
  <c r="D78" i="2"/>
  <c r="D77" i="2"/>
  <c r="D76" i="2"/>
  <c r="AC86" i="2"/>
  <c r="AC85" i="2"/>
  <c r="AC84" i="2"/>
  <c r="AC83" i="2"/>
  <c r="AC82" i="2"/>
  <c r="AB86" i="2"/>
  <c r="AB85" i="2"/>
  <c r="AB84" i="2"/>
  <c r="AB83" i="2"/>
  <c r="AB82" i="2"/>
  <c r="AB81" i="2"/>
  <c r="AA86" i="2"/>
  <c r="AA85" i="2"/>
  <c r="AA84" i="2"/>
  <c r="AA83" i="2"/>
  <c r="AA82" i="2"/>
  <c r="AA81" i="2"/>
  <c r="AA80" i="2"/>
  <c r="Z86" i="2"/>
  <c r="Z85" i="2"/>
  <c r="Z84" i="2"/>
  <c r="Z83" i="2"/>
  <c r="Z82" i="2"/>
  <c r="Z81" i="2"/>
  <c r="Z80" i="2"/>
  <c r="Z79" i="2"/>
  <c r="Y86" i="2"/>
  <c r="Y85" i="2"/>
  <c r="Y84" i="2"/>
  <c r="Y83" i="2"/>
  <c r="Y82" i="2"/>
  <c r="Y81" i="2"/>
  <c r="Y80" i="2"/>
  <c r="Y79" i="2"/>
  <c r="Y78" i="2"/>
  <c r="X86" i="2"/>
  <c r="X85" i="2"/>
  <c r="X84" i="2"/>
  <c r="X83" i="2"/>
  <c r="X82" i="2"/>
  <c r="X81" i="2"/>
  <c r="X80" i="2"/>
  <c r="X79" i="2"/>
  <c r="X78" i="2"/>
  <c r="X77" i="2"/>
  <c r="W86" i="2"/>
  <c r="W85" i="2"/>
  <c r="W84" i="2"/>
  <c r="W83" i="2"/>
  <c r="W82" i="2"/>
  <c r="W81" i="2"/>
  <c r="W80" i="2"/>
  <c r="W79" i="2"/>
  <c r="W78" i="2"/>
  <c r="W77" i="2"/>
  <c r="W76" i="2"/>
  <c r="V86" i="2"/>
  <c r="V85" i="2"/>
  <c r="V84" i="2"/>
  <c r="V83" i="2"/>
  <c r="V82" i="2"/>
  <c r="V81" i="2"/>
  <c r="V80" i="2"/>
  <c r="V79" i="2"/>
  <c r="V78" i="2"/>
  <c r="V77" i="2"/>
  <c r="V76" i="2"/>
  <c r="U85" i="2"/>
  <c r="U84" i="2"/>
  <c r="U83" i="2"/>
  <c r="U82" i="2"/>
  <c r="U81" i="2"/>
  <c r="U80" i="2"/>
  <c r="U79" i="2"/>
  <c r="U78" i="2"/>
  <c r="U77" i="2"/>
  <c r="U76" i="2"/>
  <c r="T84" i="2"/>
  <c r="T83" i="2"/>
  <c r="T82" i="2"/>
  <c r="T81" i="2"/>
  <c r="T80" i="2"/>
  <c r="T79" i="2"/>
  <c r="T78" i="2"/>
  <c r="T77" i="2"/>
  <c r="T76" i="2"/>
  <c r="S83" i="2"/>
  <c r="S82" i="2"/>
  <c r="S81" i="2"/>
  <c r="S80" i="2"/>
  <c r="S79" i="2"/>
  <c r="S78" i="2"/>
  <c r="S77" i="2"/>
  <c r="S76" i="2"/>
  <c r="R82" i="2"/>
  <c r="R81" i="2"/>
  <c r="R80" i="2"/>
  <c r="R79" i="2"/>
  <c r="R78" i="2"/>
  <c r="R77" i="2"/>
  <c r="R76" i="2"/>
  <c r="Q81" i="2"/>
  <c r="Q80" i="2"/>
  <c r="Q79" i="2"/>
  <c r="Q78" i="2"/>
  <c r="Q77" i="2"/>
  <c r="Q76" i="2"/>
  <c r="P80" i="2"/>
  <c r="P79" i="2"/>
  <c r="P78" i="2"/>
  <c r="P77" i="2"/>
  <c r="P76" i="2"/>
  <c r="O79" i="2"/>
  <c r="O78" i="2"/>
  <c r="O77" i="2"/>
  <c r="O76" i="2"/>
  <c r="N78" i="2"/>
  <c r="N77" i="2"/>
  <c r="N76" i="2"/>
  <c r="M77" i="2"/>
  <c r="M76" i="2"/>
  <c r="L76" i="2"/>
  <c r="V75" i="2"/>
  <c r="U75" i="2"/>
  <c r="T75" i="2"/>
  <c r="S75" i="2"/>
  <c r="R75" i="2"/>
  <c r="Q75" i="2"/>
  <c r="P75" i="2"/>
  <c r="O75" i="2"/>
  <c r="N75" i="2"/>
  <c r="M75" i="2"/>
  <c r="L75" i="2"/>
  <c r="K75" i="2"/>
  <c r="J75" i="2"/>
  <c r="G76" i="2"/>
  <c r="J76" i="2"/>
  <c r="K76" i="2"/>
  <c r="G77" i="2"/>
  <c r="J77" i="2"/>
  <c r="K77" i="2"/>
  <c r="L77" i="2"/>
  <c r="G78" i="2"/>
  <c r="J78" i="2"/>
  <c r="K78" i="2"/>
  <c r="L78" i="2"/>
  <c r="M78" i="2"/>
  <c r="G79" i="2"/>
  <c r="J79" i="2"/>
  <c r="K79" i="2"/>
  <c r="L79" i="2"/>
  <c r="M79" i="2"/>
  <c r="N79" i="2"/>
  <c r="G80" i="2"/>
  <c r="J80" i="2"/>
  <c r="K80" i="2"/>
  <c r="L80" i="2"/>
  <c r="M80" i="2"/>
  <c r="N80" i="2"/>
  <c r="O80" i="2"/>
  <c r="G81" i="2"/>
  <c r="J81" i="2"/>
  <c r="K81" i="2"/>
  <c r="L81" i="2"/>
  <c r="M81" i="2"/>
  <c r="N81" i="2"/>
  <c r="O81" i="2"/>
  <c r="P81" i="2"/>
  <c r="G82" i="2"/>
  <c r="J82" i="2"/>
  <c r="K82" i="2"/>
  <c r="L82" i="2"/>
  <c r="M82" i="2"/>
  <c r="N82" i="2"/>
  <c r="O82" i="2"/>
  <c r="P82" i="2"/>
  <c r="Q82" i="2"/>
  <c r="G83" i="2"/>
  <c r="J83" i="2"/>
  <c r="K83" i="2"/>
  <c r="L83" i="2"/>
  <c r="M83" i="2"/>
  <c r="N83" i="2"/>
  <c r="O83" i="2"/>
  <c r="P83" i="2"/>
  <c r="Q83" i="2"/>
  <c r="R83" i="2"/>
  <c r="G84" i="2"/>
  <c r="J84" i="2"/>
  <c r="K84" i="2"/>
  <c r="L84" i="2"/>
  <c r="M84" i="2"/>
  <c r="N84" i="2"/>
  <c r="O84" i="2"/>
  <c r="P84" i="2"/>
  <c r="Q84" i="2"/>
  <c r="R84" i="2"/>
  <c r="S84" i="2"/>
  <c r="G85" i="2"/>
  <c r="J85" i="2"/>
  <c r="K85" i="2"/>
  <c r="L85" i="2"/>
  <c r="M85" i="2"/>
  <c r="N85" i="2"/>
  <c r="O85" i="2"/>
  <c r="P85" i="2"/>
  <c r="Q85" i="2"/>
  <c r="R85" i="2"/>
  <c r="S85" i="2"/>
  <c r="T85" i="2"/>
  <c r="G86" i="2"/>
  <c r="J86" i="2"/>
  <c r="K86" i="2"/>
  <c r="L86" i="2"/>
  <c r="M86" i="2"/>
  <c r="N86" i="2"/>
  <c r="O86" i="2"/>
  <c r="P86" i="2"/>
  <c r="Q86" i="2"/>
  <c r="R86" i="2"/>
  <c r="S86" i="2"/>
  <c r="T86" i="2"/>
  <c r="U86" i="2"/>
  <c r="AE30" i="2" l="1"/>
  <c r="AG30" i="2" s="1"/>
  <c r="AE37" i="2"/>
  <c r="AG37" i="2" s="1"/>
  <c r="AE31" i="2"/>
  <c r="AG31" i="2" s="1"/>
  <c r="AE38" i="2"/>
  <c r="AG38" i="2" s="1"/>
  <c r="AE29" i="2"/>
  <c r="AG29" i="2" s="1"/>
  <c r="AE32" i="2"/>
  <c r="AG32" i="2" s="1"/>
  <c r="AE39" i="2"/>
  <c r="AG39" i="2" s="1"/>
  <c r="AE42" i="2"/>
  <c r="AG42" i="2" s="1"/>
  <c r="AE47" i="2"/>
  <c r="AG47" i="2" s="1"/>
  <c r="AE35" i="2"/>
  <c r="AG35" i="2" s="1"/>
  <c r="AE43" i="2"/>
  <c r="AG43" i="2" s="1"/>
  <c r="AE46" i="2"/>
  <c r="AG46" i="2" s="1"/>
  <c r="AE44" i="2"/>
  <c r="AG44" i="2" s="1"/>
  <c r="AE45" i="2"/>
  <c r="AG45" i="2" s="1"/>
  <c r="AE40" i="2"/>
  <c r="AG40" i="2" s="1"/>
  <c r="N33" i="2"/>
  <c r="O33" i="2" s="1"/>
  <c r="P33" i="2" s="1"/>
  <c r="Q33" i="2" s="1"/>
  <c r="R33" i="2" s="1"/>
  <c r="S33" i="2" s="1"/>
  <c r="T33" i="2" s="1"/>
  <c r="U33" i="2" s="1"/>
  <c r="V33" i="2" s="1"/>
  <c r="W33" i="2" s="1"/>
  <c r="X33" i="2" s="1"/>
  <c r="Y33" i="2" s="1"/>
  <c r="Z33" i="2" s="1"/>
  <c r="AA33" i="2" s="1"/>
  <c r="AB33" i="2" s="1"/>
  <c r="AC33" i="2" s="1"/>
  <c r="AE36" i="2"/>
  <c r="AG36" i="2" s="1"/>
  <c r="J29" i="2"/>
  <c r="AE34" i="2"/>
  <c r="AG34" i="2" s="1"/>
  <c r="AE41" i="2"/>
  <c r="AG41" i="2" s="1"/>
  <c r="AE48" i="2"/>
  <c r="AG48" i="2" s="1"/>
  <c r="AE33" i="2"/>
  <c r="AG33" i="2" s="1"/>
  <c r="AE142" i="2"/>
  <c r="AG142" i="2" s="1"/>
  <c r="AE141" i="2"/>
  <c r="AG141" i="2" s="1"/>
  <c r="AE134" i="2"/>
  <c r="AG134" i="2" s="1"/>
  <c r="J133" i="2"/>
  <c r="AE143" i="2"/>
  <c r="AG143" i="2" s="1"/>
  <c r="AE146" i="2"/>
  <c r="AG146" i="2" s="1"/>
  <c r="AE151" i="2"/>
  <c r="AG151" i="2" s="1"/>
  <c r="AE136" i="2"/>
  <c r="AG136" i="2" s="1"/>
  <c r="AE139" i="2"/>
  <c r="AG139" i="2" s="1"/>
  <c r="AE147" i="2"/>
  <c r="AG147" i="2" s="1"/>
  <c r="AE150" i="2"/>
  <c r="AG150" i="2" s="1"/>
  <c r="AE135" i="2"/>
  <c r="AG135" i="2" s="1"/>
  <c r="AE148" i="2"/>
  <c r="AG148" i="2" s="1"/>
  <c r="AE149" i="2"/>
  <c r="AG149" i="2" s="1"/>
  <c r="AE144" i="2"/>
  <c r="AG144" i="2" s="1"/>
  <c r="N137" i="2"/>
  <c r="O137" i="2" s="1"/>
  <c r="P137" i="2" s="1"/>
  <c r="Q137" i="2" s="1"/>
  <c r="R137" i="2" s="1"/>
  <c r="S137" i="2" s="1"/>
  <c r="T137" i="2" s="1"/>
  <c r="U137" i="2" s="1"/>
  <c r="V137" i="2" s="1"/>
  <c r="W137" i="2" s="1"/>
  <c r="X137" i="2" s="1"/>
  <c r="Y137" i="2" s="1"/>
  <c r="Z137" i="2" s="1"/>
  <c r="AA137" i="2" s="1"/>
  <c r="AB137" i="2" s="1"/>
  <c r="AC137" i="2" s="1"/>
  <c r="AE138" i="2"/>
  <c r="AG138" i="2" s="1"/>
  <c r="AE140" i="2"/>
  <c r="AG140" i="2" s="1"/>
  <c r="AE145" i="2"/>
  <c r="AG145" i="2" s="1"/>
  <c r="AE152" i="2"/>
  <c r="AG152" i="2" s="1"/>
  <c r="AE137" i="2"/>
  <c r="AG137" i="2" s="1"/>
  <c r="AE200" i="2"/>
  <c r="AG200" i="2" s="1"/>
  <c r="AE195" i="2"/>
  <c r="AG195" i="2" s="1"/>
  <c r="AE202" i="2"/>
  <c r="AG202" i="2" s="1"/>
  <c r="AE205" i="2"/>
  <c r="AG205" i="2" s="1"/>
  <c r="AE210" i="2"/>
  <c r="AG210" i="2" s="1"/>
  <c r="AE198" i="2"/>
  <c r="AG198" i="2" s="1"/>
  <c r="AE206" i="2"/>
  <c r="AG206" i="2" s="1"/>
  <c r="AE209" i="2"/>
  <c r="AG209" i="2" s="1"/>
  <c r="AE194" i="2"/>
  <c r="AG194" i="2" s="1"/>
  <c r="AE207" i="2"/>
  <c r="AG207" i="2" s="1"/>
  <c r="AE208" i="2"/>
  <c r="AG208" i="2" s="1"/>
  <c r="AE192" i="2"/>
  <c r="AG192" i="2" s="1"/>
  <c r="AE193" i="2"/>
  <c r="AG193" i="2" s="1"/>
  <c r="AE203" i="2"/>
  <c r="AG203" i="2" s="1"/>
  <c r="AE197" i="2"/>
  <c r="AG197" i="2" s="1"/>
  <c r="AE201" i="2"/>
  <c r="AG201" i="2" s="1"/>
  <c r="AE199" i="2"/>
  <c r="AG199" i="2" s="1"/>
  <c r="J192" i="2"/>
  <c r="AE204" i="2"/>
  <c r="AG204" i="2" s="1"/>
  <c r="AE211" i="2"/>
  <c r="AG211" i="2" s="1"/>
  <c r="AE196" i="2"/>
  <c r="AG196" i="2" s="1"/>
  <c r="AE100" i="2"/>
  <c r="AG100" i="2" s="1"/>
  <c r="AE99" i="2"/>
  <c r="AG99" i="2" s="1"/>
  <c r="AE102" i="2"/>
  <c r="AG102" i="2" s="1"/>
  <c r="AE105" i="2"/>
  <c r="AG105" i="2" s="1"/>
  <c r="AE110" i="2"/>
  <c r="AG110" i="2" s="1"/>
  <c r="AE95" i="2"/>
  <c r="AG95" i="2" s="1"/>
  <c r="AE98" i="2"/>
  <c r="AG98" i="2" s="1"/>
  <c r="AE106" i="2"/>
  <c r="AG106" i="2" s="1"/>
  <c r="AE109" i="2"/>
  <c r="AG109" i="2" s="1"/>
  <c r="AE94" i="2"/>
  <c r="AG94" i="2" s="1"/>
  <c r="AE107" i="2"/>
  <c r="AG107" i="2" s="1"/>
  <c r="AE108" i="2"/>
  <c r="AG108" i="2" s="1"/>
  <c r="AE92" i="2"/>
  <c r="AG92" i="2" s="1"/>
  <c r="AE93" i="2"/>
  <c r="AG93" i="2" s="1"/>
  <c r="AE103" i="2"/>
  <c r="AG103" i="2" s="1"/>
  <c r="AE97" i="2"/>
  <c r="AG97" i="2" s="1"/>
  <c r="AE101" i="2"/>
  <c r="AG101" i="2" s="1"/>
  <c r="AE104" i="2"/>
  <c r="AG104" i="2" s="1"/>
  <c r="AE111" i="2"/>
  <c r="AG111" i="2" s="1"/>
  <c r="AE96" i="2"/>
  <c r="AG96" i="2" s="1"/>
  <c r="J92" i="2"/>
  <c r="AE7" i="2"/>
  <c r="AF6" i="2"/>
  <c r="L6" i="2"/>
  <c r="AE19" i="2"/>
  <c r="AG19" i="2" s="1"/>
  <c r="AE8" i="2"/>
  <c r="AG8" i="2" s="1"/>
  <c r="AE20" i="2"/>
  <c r="AG20" i="2" s="1"/>
  <c r="AE9" i="2"/>
  <c r="AG9" i="2" s="1"/>
  <c r="AE21" i="2"/>
  <c r="AG21" i="2" s="1"/>
  <c r="AE10" i="2"/>
  <c r="AG10" i="2" s="1"/>
  <c r="AE22" i="2"/>
  <c r="AG22" i="2" s="1"/>
  <c r="AE11" i="2"/>
  <c r="AG11" i="2" s="1"/>
  <c r="AE23" i="2"/>
  <c r="AG23" i="2" s="1"/>
  <c r="AE13" i="2"/>
  <c r="AG13" i="2" s="1"/>
  <c r="AE14" i="2"/>
  <c r="AG14" i="2" s="1"/>
  <c r="AE15" i="2"/>
  <c r="AG15" i="2" s="1"/>
  <c r="AE5" i="2"/>
  <c r="AG5" i="2" s="1"/>
  <c r="AE16" i="2"/>
  <c r="AG16" i="2" s="1"/>
  <c r="AE12" i="2"/>
  <c r="AG12" i="2" s="1"/>
  <c r="AF5" i="2"/>
  <c r="AE17" i="2"/>
  <c r="AG17" i="2" s="1"/>
  <c r="AE24" i="2"/>
  <c r="AG24" i="2" s="1"/>
  <c r="AE6" i="2"/>
  <c r="AG6" i="2" s="1"/>
  <c r="AE18" i="2"/>
  <c r="AG18" i="2" s="1"/>
  <c r="Q12" i="2"/>
  <c r="R12" i="2" s="1"/>
  <c r="S12" i="2" s="1"/>
  <c r="T12" i="2" s="1"/>
  <c r="U12" i="2" s="1"/>
  <c r="V12" i="2" s="1"/>
  <c r="W12" i="2" s="1"/>
  <c r="X12" i="2" s="1"/>
  <c r="Y12" i="2" s="1"/>
  <c r="Z12" i="2" s="1"/>
  <c r="AA12" i="2" s="1"/>
  <c r="AB12" i="2" s="1"/>
  <c r="AC12" i="2" s="1"/>
  <c r="S14" i="2"/>
  <c r="T14" i="2" s="1"/>
  <c r="U14" i="2" s="1"/>
  <c r="V14" i="2" s="1"/>
  <c r="W14" i="2" s="1"/>
  <c r="X14" i="2" s="1"/>
  <c r="Y14" i="2" s="1"/>
  <c r="Z14" i="2" s="1"/>
  <c r="AA14" i="2" s="1"/>
  <c r="AB14" i="2" s="1"/>
  <c r="AC14" i="2" s="1"/>
  <c r="AG7" i="2"/>
  <c r="M7" i="2"/>
  <c r="N7" i="2" s="1"/>
  <c r="O7" i="2" s="1"/>
  <c r="P7" i="2" s="1"/>
  <c r="Q7" i="2" s="1"/>
  <c r="R7" i="2" s="1"/>
  <c r="S7" i="2" s="1"/>
  <c r="T7" i="2" s="1"/>
  <c r="U7" i="2" s="1"/>
  <c r="V7" i="2" s="1"/>
  <c r="W7" i="2" s="1"/>
  <c r="X7" i="2" s="1"/>
  <c r="Y7" i="2" s="1"/>
  <c r="Z7" i="2" s="1"/>
  <c r="AA7" i="2" s="1"/>
  <c r="AB7" i="2" s="1"/>
  <c r="AC7" i="2" s="1"/>
  <c r="O8" i="2"/>
  <c r="P8" i="2" s="1"/>
  <c r="Q8" i="2" s="1"/>
  <c r="R8" i="2" s="1"/>
  <c r="S8" i="2" s="1"/>
  <c r="T8" i="2" s="1"/>
  <c r="U8" i="2" s="1"/>
  <c r="V8" i="2" s="1"/>
  <c r="W8" i="2" s="1"/>
  <c r="X8" i="2" s="1"/>
  <c r="Y8" i="2" s="1"/>
  <c r="Z8" i="2" s="1"/>
  <c r="AA8" i="2" s="1"/>
  <c r="AB8" i="2" s="1"/>
  <c r="AC8" i="2" s="1"/>
  <c r="AE81" i="2"/>
  <c r="AG81" i="2" s="1"/>
  <c r="AE161" i="2"/>
  <c r="AG161" i="2" s="1"/>
  <c r="AF163" i="2"/>
  <c r="AF242" i="2"/>
  <c r="AF256" i="2"/>
  <c r="AF218" i="2"/>
  <c r="AF59" i="2"/>
  <c r="AF67" i="2"/>
  <c r="AF161" i="2"/>
  <c r="AF239" i="2"/>
  <c r="AE258" i="2"/>
  <c r="AG258" i="2" s="1"/>
  <c r="AE66" i="2"/>
  <c r="AG66" i="2" s="1"/>
  <c r="AE178" i="2"/>
  <c r="AG178" i="2" s="1"/>
  <c r="AE235" i="2"/>
  <c r="AG235" i="2" s="1"/>
  <c r="AF217" i="2"/>
  <c r="AE225" i="2"/>
  <c r="AG225" i="2" s="1"/>
  <c r="AE226" i="2"/>
  <c r="AG226" i="2" s="1"/>
  <c r="AF65" i="2"/>
  <c r="AE121" i="2"/>
  <c r="AG121" i="2" s="1"/>
  <c r="AF80" i="2"/>
  <c r="AF79" i="2"/>
  <c r="AF76" i="2"/>
  <c r="AE128" i="2"/>
  <c r="AG128" i="2" s="1"/>
  <c r="AE181" i="2"/>
  <c r="AG181" i="2" s="1"/>
  <c r="AF224" i="2"/>
  <c r="AE254" i="2"/>
  <c r="AG254" i="2" s="1"/>
  <c r="AE257" i="2"/>
  <c r="AG257" i="2" s="1"/>
  <c r="AF64" i="2"/>
  <c r="AE120" i="2"/>
  <c r="AG120" i="2" s="1"/>
  <c r="AF177" i="2"/>
  <c r="AE260" i="2"/>
  <c r="AG260" i="2" s="1"/>
  <c r="AF121" i="2"/>
  <c r="AE127" i="2"/>
  <c r="AG127" i="2" s="1"/>
  <c r="AE159" i="2"/>
  <c r="AG159" i="2" s="1"/>
  <c r="AE236" i="2"/>
  <c r="AG236" i="2" s="1"/>
  <c r="AE252" i="2"/>
  <c r="AG252" i="2" s="1"/>
  <c r="AF63" i="2"/>
  <c r="AE119" i="2"/>
  <c r="AG119" i="2" s="1"/>
  <c r="AF160" i="2"/>
  <c r="AF75" i="2"/>
  <c r="AE220" i="2"/>
  <c r="AG220" i="2" s="1"/>
  <c r="AF62" i="2"/>
  <c r="AF61" i="2"/>
  <c r="AF118" i="2"/>
  <c r="AF257" i="2"/>
  <c r="AF128" i="2"/>
  <c r="AE224" i="2"/>
  <c r="AG224" i="2" s="1"/>
  <c r="AF240" i="2"/>
  <c r="AF234" i="2"/>
  <c r="AE218" i="2"/>
  <c r="AG218" i="2" s="1"/>
  <c r="AE83" i="2"/>
  <c r="AG83" i="2" s="1"/>
  <c r="AE123" i="2"/>
  <c r="AG123" i="2" s="1"/>
  <c r="AE166" i="2"/>
  <c r="AG166" i="2" s="1"/>
  <c r="AF176" i="2"/>
  <c r="AF222" i="2"/>
  <c r="AF182" i="2"/>
  <c r="AE222" i="2"/>
  <c r="AG222" i="2" s="1"/>
  <c r="AE78" i="2"/>
  <c r="AG78" i="2" s="1"/>
  <c r="AF84" i="2"/>
  <c r="AE180" i="2"/>
  <c r="AG180" i="2" s="1"/>
  <c r="AE76" i="2"/>
  <c r="AG76" i="2" s="1"/>
  <c r="AE60" i="2"/>
  <c r="AG60" i="2" s="1"/>
  <c r="AF69" i="2"/>
  <c r="AF70" i="2"/>
  <c r="AE117" i="2"/>
  <c r="AG117" i="2" s="1"/>
  <c r="AF125" i="2"/>
  <c r="AF127" i="2"/>
  <c r="AE160" i="2"/>
  <c r="AG160" i="2" s="1"/>
  <c r="AF162" i="2"/>
  <c r="AE164" i="2"/>
  <c r="AG164" i="2" s="1"/>
  <c r="AE176" i="2"/>
  <c r="AG176" i="2" s="1"/>
  <c r="AE177" i="2"/>
  <c r="AG177" i="2" s="1"/>
  <c r="AF178" i="2"/>
  <c r="AF179" i="2"/>
  <c r="AF219" i="2"/>
  <c r="AF223" i="2"/>
  <c r="AE234" i="2"/>
  <c r="AG234" i="2" s="1"/>
  <c r="AF237" i="2"/>
  <c r="AF238" i="2"/>
  <c r="AE240" i="2"/>
  <c r="AG240" i="2" s="1"/>
  <c r="AE245" i="2"/>
  <c r="AG245" i="2" s="1"/>
  <c r="AF252" i="2"/>
  <c r="AF253" i="2"/>
  <c r="AE255" i="2"/>
  <c r="AG255" i="2" s="1"/>
  <c r="AE256" i="2"/>
  <c r="AG256" i="2" s="1"/>
  <c r="AE259" i="2"/>
  <c r="AG259" i="2" s="1"/>
  <c r="AF260" i="2"/>
  <c r="AE261" i="2"/>
  <c r="AG261" i="2" s="1"/>
  <c r="AF82" i="2"/>
  <c r="AF83" i="2"/>
  <c r="AE165" i="2"/>
  <c r="AG165" i="2" s="1"/>
  <c r="AE223" i="2"/>
  <c r="AG223" i="2" s="1"/>
  <c r="AE84" i="2"/>
  <c r="AG84" i="2" s="1"/>
  <c r="AE82" i="2"/>
  <c r="AG82" i="2" s="1"/>
  <c r="AE86" i="2"/>
  <c r="AG86" i="2" s="1"/>
  <c r="AF85" i="2"/>
  <c r="AF77" i="2"/>
  <c r="AF68" i="2"/>
  <c r="AE179" i="2"/>
  <c r="AG179" i="2" s="1"/>
  <c r="AE221" i="2"/>
  <c r="AG221" i="2" s="1"/>
  <c r="AE227" i="2"/>
  <c r="AG227" i="2" s="1"/>
  <c r="AE251" i="2"/>
  <c r="AG251" i="2" s="1"/>
  <c r="AF259" i="2"/>
  <c r="AE80" i="2"/>
  <c r="AG80" i="2" s="1"/>
  <c r="AE238" i="2"/>
  <c r="AG238" i="2" s="1"/>
  <c r="AE62" i="2"/>
  <c r="AG62" i="2" s="1"/>
  <c r="AE77" i="2"/>
  <c r="AG77" i="2" s="1"/>
  <c r="AE118" i="2"/>
  <c r="AG118" i="2" s="1"/>
  <c r="AE219" i="2"/>
  <c r="AG219" i="2" s="1"/>
  <c r="AF181" i="2"/>
  <c r="AF258" i="2"/>
  <c r="AF122" i="2"/>
  <c r="AF262" i="2"/>
  <c r="AE61" i="2"/>
  <c r="AG61" i="2" s="1"/>
  <c r="AF180" i="2"/>
  <c r="AF245" i="2"/>
  <c r="AF261" i="2"/>
  <c r="AE59" i="2"/>
  <c r="AG59" i="2" s="1"/>
  <c r="AE75" i="2"/>
  <c r="AG75" i="2" s="1"/>
  <c r="AF81" i="2"/>
  <c r="AE163" i="2"/>
  <c r="AG163" i="2" s="1"/>
  <c r="AE217" i="2"/>
  <c r="AG217" i="2" s="1"/>
  <c r="AF117" i="2"/>
  <c r="AF255" i="2"/>
  <c r="AE187" i="2"/>
  <c r="AG187" i="2" s="1"/>
  <c r="AF227" i="2"/>
  <c r="AF243" i="2"/>
  <c r="AF244" i="2"/>
  <c r="AE70" i="2"/>
  <c r="AG70" i="2" s="1"/>
  <c r="AE162" i="2"/>
  <c r="AG162" i="2" s="1"/>
  <c r="AE244" i="2"/>
  <c r="AG244" i="2" s="1"/>
  <c r="AF159" i="2"/>
  <c r="AF254" i="2"/>
  <c r="AF170" i="2"/>
  <c r="AF186" i="2"/>
  <c r="AF226" i="2"/>
  <c r="AE242" i="2"/>
  <c r="AG242" i="2" s="1"/>
  <c r="AE69" i="2"/>
  <c r="AG69" i="2" s="1"/>
  <c r="AF86" i="2"/>
  <c r="AF164" i="2"/>
  <c r="AF169" i="2"/>
  <c r="AE185" i="2"/>
  <c r="AG185" i="2" s="1"/>
  <c r="AF225" i="2"/>
  <c r="AE241" i="2"/>
  <c r="AG241" i="2" s="1"/>
  <c r="AE237" i="2"/>
  <c r="AG237" i="2" s="1"/>
  <c r="AF236" i="2"/>
  <c r="AF167" i="2"/>
  <c r="AF183" i="2"/>
  <c r="AE239" i="2"/>
  <c r="AG239" i="2" s="1"/>
  <c r="AF168" i="2"/>
  <c r="AF60" i="2"/>
  <c r="AE68" i="2"/>
  <c r="AG68" i="2" s="1"/>
  <c r="AE67" i="2"/>
  <c r="AG67" i="2" s="1"/>
  <c r="AE85" i="2"/>
  <c r="AG85" i="2" s="1"/>
  <c r="AE183" i="2"/>
  <c r="AG183" i="2" s="1"/>
  <c r="AF235" i="2"/>
  <c r="AF126" i="2"/>
  <c r="AF166" i="2"/>
  <c r="AE65" i="2"/>
  <c r="AG65" i="2" s="1"/>
  <c r="AF78" i="2"/>
  <c r="AE169" i="2"/>
  <c r="AG169" i="2" s="1"/>
  <c r="AE182" i="2"/>
  <c r="AG182" i="2" s="1"/>
  <c r="AF119" i="2"/>
  <c r="AF221" i="2"/>
  <c r="AF251" i="2"/>
  <c r="AE125" i="2"/>
  <c r="AG125" i="2" s="1"/>
  <c r="AF165" i="2"/>
  <c r="AE253" i="2"/>
  <c r="AG253" i="2" s="1"/>
  <c r="AF228" i="2"/>
  <c r="AE184" i="2"/>
  <c r="AG184" i="2" s="1"/>
  <c r="AE79" i="2"/>
  <c r="AG79" i="2" s="1"/>
  <c r="AE170" i="2"/>
  <c r="AG170" i="2" s="1"/>
  <c r="AF66" i="2"/>
  <c r="AF120" i="2"/>
  <c r="AE64" i="2"/>
  <c r="AG64" i="2" s="1"/>
  <c r="AE168" i="2"/>
  <c r="AG168" i="2" s="1"/>
  <c r="AF220" i="2"/>
  <c r="AF124" i="2"/>
  <c r="AE63" i="2"/>
  <c r="AG63" i="2" s="1"/>
  <c r="AE167" i="2"/>
  <c r="AG167" i="2" s="1"/>
  <c r="AE262" i="2"/>
  <c r="AG262" i="2" s="1"/>
  <c r="AF123" i="2"/>
  <c r="AF241" i="2"/>
  <c r="AE243" i="2"/>
  <c r="AG243" i="2" s="1"/>
  <c r="AE228" i="2"/>
  <c r="AG228" i="2" s="1"/>
  <c r="AF187" i="2"/>
  <c r="AE186" i="2"/>
  <c r="AG186" i="2" s="1"/>
  <c r="AF185" i="2"/>
  <c r="AF184" i="2"/>
  <c r="AE126" i="2"/>
  <c r="AG126" i="2" s="1"/>
  <c r="AE124" i="2"/>
  <c r="AG124" i="2" s="1"/>
  <c r="AE122" i="2"/>
  <c r="AG122" i="2" s="1"/>
  <c r="K29" i="2" l="1"/>
  <c r="AF29" i="2"/>
  <c r="K133" i="2"/>
  <c r="AF133" i="2"/>
  <c r="K192" i="2"/>
  <c r="AF192" i="2"/>
  <c r="K92" i="2"/>
  <c r="AF92" i="2"/>
  <c r="M6" i="2"/>
  <c r="AF7" i="2"/>
  <c r="L29" i="2" l="1"/>
  <c r="AF30" i="2"/>
  <c r="L133" i="2"/>
  <c r="AF134" i="2"/>
  <c r="L192" i="2"/>
  <c r="AF193" i="2"/>
  <c r="L92" i="2"/>
  <c r="AF93" i="2"/>
  <c r="AF8" i="2"/>
  <c r="N6" i="2"/>
  <c r="M29" i="2" l="1"/>
  <c r="AF31" i="2"/>
  <c r="M133" i="2"/>
  <c r="AF135" i="2"/>
  <c r="M192" i="2"/>
  <c r="AF194" i="2"/>
  <c r="M92" i="2"/>
  <c r="AF94" i="2"/>
  <c r="AF9" i="2"/>
  <c r="O6" i="2"/>
  <c r="AF32" i="2" l="1"/>
  <c r="N29" i="2"/>
  <c r="AF136" i="2"/>
  <c r="N133" i="2"/>
  <c r="AF195" i="2"/>
  <c r="N192" i="2"/>
  <c r="AF95" i="2"/>
  <c r="N92" i="2"/>
  <c r="AF10" i="2"/>
  <c r="P6" i="2"/>
  <c r="AF33" i="2" l="1"/>
  <c r="O29" i="2"/>
  <c r="AF137" i="2"/>
  <c r="O133" i="2"/>
  <c r="AF196" i="2"/>
  <c r="O192" i="2"/>
  <c r="AF96" i="2"/>
  <c r="O92" i="2"/>
  <c r="AF11" i="2"/>
  <c r="Q6" i="2"/>
  <c r="AF34" i="2" l="1"/>
  <c r="P29" i="2"/>
  <c r="P133" i="2"/>
  <c r="AF138" i="2"/>
  <c r="AF197" i="2"/>
  <c r="P192" i="2"/>
  <c r="AF97" i="2"/>
  <c r="P92" i="2"/>
  <c r="AF12" i="2"/>
  <c r="R6" i="2"/>
  <c r="Q29" i="2" l="1"/>
  <c r="AF35" i="2"/>
  <c r="Q133" i="2"/>
  <c r="AF139" i="2"/>
  <c r="Q192" i="2"/>
  <c r="AF198" i="2"/>
  <c r="Q92" i="2"/>
  <c r="AF98" i="2"/>
  <c r="AF13" i="2"/>
  <c r="S6" i="2"/>
  <c r="AF36" i="2" l="1"/>
  <c r="R29" i="2"/>
  <c r="R133" i="2"/>
  <c r="AF140" i="2"/>
  <c r="AF199" i="2"/>
  <c r="R192" i="2"/>
  <c r="AF99" i="2"/>
  <c r="R92" i="2"/>
  <c r="AF14" i="2"/>
  <c r="T6" i="2"/>
  <c r="S29" i="2" l="1"/>
  <c r="AF37" i="2"/>
  <c r="S133" i="2"/>
  <c r="AF141" i="2"/>
  <c r="S192" i="2"/>
  <c r="AF200" i="2"/>
  <c r="S92" i="2"/>
  <c r="AF100" i="2"/>
  <c r="AF15" i="2"/>
  <c r="U6" i="2"/>
  <c r="T29" i="2" l="1"/>
  <c r="AF38" i="2"/>
  <c r="AF142" i="2"/>
  <c r="T133" i="2"/>
  <c r="AF201" i="2"/>
  <c r="T192" i="2"/>
  <c r="AF101" i="2"/>
  <c r="T92" i="2"/>
  <c r="AF16" i="2"/>
  <c r="V6" i="2"/>
  <c r="U29" i="2" l="1"/>
  <c r="AF39" i="2"/>
  <c r="U133" i="2"/>
  <c r="AF143" i="2"/>
  <c r="U192" i="2"/>
  <c r="AF202" i="2"/>
  <c r="AF102" i="2"/>
  <c r="U92" i="2"/>
  <c r="AF17" i="2"/>
  <c r="W6" i="2"/>
  <c r="V29" i="2" l="1"/>
  <c r="AF40" i="2"/>
  <c r="AF144" i="2"/>
  <c r="V133" i="2"/>
  <c r="V192" i="2"/>
  <c r="AF203" i="2"/>
  <c r="V92" i="2"/>
  <c r="AF103" i="2"/>
  <c r="AF18" i="2"/>
  <c r="X6" i="2"/>
  <c r="AF41" i="2" l="1"/>
  <c r="W29" i="2"/>
  <c r="AF145" i="2"/>
  <c r="W133" i="2"/>
  <c r="AF204" i="2"/>
  <c r="W192" i="2"/>
  <c r="AF104" i="2"/>
  <c r="W92" i="2"/>
  <c r="AF19" i="2"/>
  <c r="Y6" i="2"/>
  <c r="X29" i="2" l="1"/>
  <c r="AF42" i="2"/>
  <c r="X133" i="2"/>
  <c r="AF146" i="2"/>
  <c r="X192" i="2"/>
  <c r="AF205" i="2"/>
  <c r="X92" i="2"/>
  <c r="AF105" i="2"/>
  <c r="AF20" i="2"/>
  <c r="Z6" i="2"/>
  <c r="Y29" i="2" l="1"/>
  <c r="AF43" i="2"/>
  <c r="Y133" i="2"/>
  <c r="AF147" i="2"/>
  <c r="Y192" i="2"/>
  <c r="AF206" i="2"/>
  <c r="Y92" i="2"/>
  <c r="AF106" i="2"/>
  <c r="AF21" i="2"/>
  <c r="AA6" i="2"/>
  <c r="AF44" i="2" l="1"/>
  <c r="Z29" i="2"/>
  <c r="AF148" i="2"/>
  <c r="Z133" i="2"/>
  <c r="AF207" i="2"/>
  <c r="Z192" i="2"/>
  <c r="AF107" i="2"/>
  <c r="Z92" i="2"/>
  <c r="AF22" i="2"/>
  <c r="AB6" i="2"/>
  <c r="AF45" i="2" l="1"/>
  <c r="AA29" i="2"/>
  <c r="AF149" i="2"/>
  <c r="AA133" i="2"/>
  <c r="AF208" i="2"/>
  <c r="AA192" i="2"/>
  <c r="AF108" i="2"/>
  <c r="AA92" i="2"/>
  <c r="AF23" i="2"/>
  <c r="AC6" i="2"/>
  <c r="AF24" i="2" s="1"/>
  <c r="AF46" i="2" l="1"/>
  <c r="AB29" i="2"/>
  <c r="AF150" i="2"/>
  <c r="AB133" i="2"/>
  <c r="AF209" i="2"/>
  <c r="AB192" i="2"/>
  <c r="AF109" i="2"/>
  <c r="AB92" i="2"/>
  <c r="AC29" i="2" l="1"/>
  <c r="AF48" i="2" s="1"/>
  <c r="AF47" i="2"/>
  <c r="AC133" i="2"/>
  <c r="AF152" i="2" s="1"/>
  <c r="AF151" i="2"/>
  <c r="AC192" i="2"/>
  <c r="AF211" i="2" s="1"/>
  <c r="AF210" i="2"/>
  <c r="AC92" i="2"/>
  <c r="AF111" i="2" s="1"/>
  <c r="AF110" i="2"/>
</calcChain>
</file>

<file path=xl/sharedStrings.xml><?xml version="1.0" encoding="utf-8"?>
<sst xmlns="http://purl.oclc.org/ooxml/spreadsheetml/main" count="4160" uniqueCount="494">
  <si>
    <t>CompNum</t>
  </si>
  <si>
    <t>ticker</t>
  </si>
  <si>
    <t>company</t>
  </si>
  <si>
    <t>cik</t>
  </si>
  <si>
    <t>form</t>
  </si>
  <si>
    <t>accession</t>
  </si>
  <si>
    <t>filed_at</t>
  </si>
  <si>
    <t>accepted_at</t>
  </si>
  <si>
    <t>fiscal_year</t>
  </si>
  <si>
    <t>fiscal_period</t>
  </si>
  <si>
    <t>quarter_seq</t>
  </si>
  <si>
    <t>period_start</t>
  </si>
  <si>
    <t>period_end</t>
  </si>
  <si>
    <t>calendar_year</t>
  </si>
  <si>
    <t>calendar_quarter</t>
  </si>
  <si>
    <t>review_status</t>
  </si>
  <si>
    <t>notes</t>
  </si>
  <si>
    <t>display_unit_in_filing</t>
  </si>
  <si>
    <t>revenue_q</t>
  </si>
  <si>
    <t>cogs_q</t>
  </si>
  <si>
    <t>operating_income_q</t>
  </si>
  <si>
    <t>rd_expense_q</t>
  </si>
  <si>
    <t>income_tax_expense_q</t>
  </si>
  <si>
    <t>pretax_income_q</t>
  </si>
  <si>
    <t>equity_q</t>
  </si>
  <si>
    <t>short_term_debt_q</t>
  </si>
  <si>
    <t>long_term_debt_q</t>
  </si>
  <si>
    <t>operating_lease_liabilities_q</t>
  </si>
  <si>
    <t>cash_q</t>
  </si>
  <si>
    <t>short_term_investments_q</t>
  </si>
  <si>
    <t>cfo_q</t>
  </si>
  <si>
    <t>capex_q</t>
  </si>
  <si>
    <t>dna_q</t>
  </si>
  <si>
    <t>acquisitions_q</t>
  </si>
  <si>
    <t>accounts_receivable_q</t>
  </si>
  <si>
    <t>inventory_q</t>
  </si>
  <si>
    <t>accounts_payable_q</t>
  </si>
  <si>
    <t>net_income_q</t>
  </si>
  <si>
    <t>total_assets_q</t>
  </si>
  <si>
    <t>sbc_q</t>
  </si>
  <si>
    <t>diluted_shares_q</t>
  </si>
  <si>
    <t>interest_expense_q</t>
  </si>
  <si>
    <t>rd_amortization_q_manual</t>
  </si>
  <si>
    <t>rd_asset_q_manual</t>
  </si>
  <si>
    <t>employee_count_annual_manual</t>
  </si>
  <si>
    <t>gross_profit_q_formula</t>
  </si>
  <si>
    <t>tax_rate_q_formula</t>
  </si>
  <si>
    <t>adjusted_nopat_q_formula</t>
  </si>
  <si>
    <t>nwc_q_formula</t>
  </si>
  <si>
    <t>net_debt_q_formula</t>
  </si>
  <si>
    <t>ebitda_q_formula</t>
  </si>
  <si>
    <t>adjusted_invested_capital_q_formula</t>
  </si>
  <si>
    <t>NVDA</t>
  </si>
  <si>
    <t>NVIDIA Corporation</t>
  </si>
  <si>
    <t>0001045810</t>
  </si>
  <si>
    <t>10Q</t>
  </si>
  <si>
    <t>0001045810-23-000093</t>
  </si>
  <si>
    <t>Q1</t>
  </si>
  <si>
    <t>Q2</t>
  </si>
  <si>
    <t>reviewed</t>
  </si>
  <si>
    <t>employee number is from previous year 10k</t>
  </si>
  <si>
    <t>millions</t>
  </si>
  <si>
    <t>0001045810-23-000175</t>
  </si>
  <si>
    <t>Q3</t>
  </si>
  <si>
    <t>0001045810-23-000227</t>
  </si>
  <si>
    <t>Q4</t>
  </si>
  <si>
    <t>10K</t>
  </si>
  <si>
    <t>0001045810-24-000029</t>
  </si>
  <si>
    <t>0001045810-24-000124</t>
  </si>
  <si>
    <t>0001045810-24-000264</t>
  </si>
  <si>
    <t>0001045810-24-000316</t>
  </si>
  <si>
    <t>0001045810-25-000023</t>
  </si>
  <si>
    <t>0001045810-25-000116</t>
  </si>
  <si>
    <t>0001045810-25-000209</t>
  </si>
  <si>
    <t>0001045810-25-000230</t>
  </si>
  <si>
    <t>0001045810-26-000021</t>
  </si>
  <si>
    <t>Summed acquisition line plus Groq acquisition line</t>
  </si>
  <si>
    <t>LYB</t>
  </si>
  <si>
    <t>LyondellBasell Industries N.V.</t>
  </si>
  <si>
    <t>0001489393-23-000025</t>
  </si>
  <si>
    <t>1. pretax_income_q is called Income from continuing operations before income taxes 2.  accounts receivable is broken out into trade,net and related parties.  The number I am using for accounts receivable is reported as trade, net. 3.  account payable is reported as trade and related parties.  the number we are using it Trade   4.  Net income is net income attributable to the company shareholders (after dividends to redeemable non-controlling interests) 5. employee number is from previous year 10k</t>
  </si>
  <si>
    <t>0001489393-23-000037</t>
  </si>
  <si>
    <t>0001489393-23-000043</t>
  </si>
  <si>
    <t>0001489393-24-000012</t>
  </si>
  <si>
    <t xml:space="preserve">1. pretax_income_q is called Income from continuing operations before income taxes 2.  accounts receivable is broken out into trade,net and related parties.  The number I am using for accounts receivable is reported as trade, net. 3.  account payable is reported as trade and related parties.  the number we are using it Trade   4.  Net income is net income attributable to the company shareholders (after dividends to redeemable non-controlling interests) </t>
  </si>
  <si>
    <t>0001489393-24-000020</t>
  </si>
  <si>
    <t>0001489393-24-000037</t>
  </si>
  <si>
    <t>0001489393-24-000046</t>
  </si>
  <si>
    <t>0001489393-25-000008</t>
  </si>
  <si>
    <t>0001489393-25-000022</t>
  </si>
  <si>
    <t>0001489393-25-000041</t>
  </si>
  <si>
    <t>0001489393-25-000056</t>
  </si>
  <si>
    <t>0001489393-26-000012</t>
  </si>
  <si>
    <t>Q4 2025</t>
  </si>
  <si>
    <t>Q3 2025</t>
  </si>
  <si>
    <t>Q2 2025</t>
  </si>
  <si>
    <t>Q1 2025</t>
  </si>
  <si>
    <t>Q4 2024</t>
  </si>
  <si>
    <t>Q3 2024</t>
  </si>
  <si>
    <t>Q2 2024</t>
  </si>
  <si>
    <t>Q1 2024</t>
  </si>
  <si>
    <t>Q4 2023</t>
  </si>
  <si>
    <t>Q3 2023</t>
  </si>
  <si>
    <t>Q2 2023</t>
  </si>
  <si>
    <t>Q1 2023</t>
  </si>
  <si>
    <t>R&amp;D Asset</t>
  </si>
  <si>
    <t>Amortization</t>
  </si>
  <si>
    <t>Period</t>
  </si>
  <si>
    <t>restatement_case_id</t>
  </si>
  <si>
    <t>thousands</t>
  </si>
  <si>
    <t>operating lease liabilities in Note 5 (not detailed on balance sheet)</t>
  </si>
  <si>
    <t>0001837240-23-000116</t>
  </si>
  <si>
    <t>Symbotic Inc</t>
  </si>
  <si>
    <t>SYM</t>
  </si>
  <si>
    <t>0001837240</t>
  </si>
  <si>
    <t>0001837240-23-000140</t>
  </si>
  <si>
    <t>0001837240-23-000189</t>
  </si>
  <si>
    <t>operating lease liabilities in Note 6 (not detailed on balance sheet)</t>
  </si>
  <si>
    <t>0001837240-24-000039</t>
  </si>
  <si>
    <t>0001837240-24-000111</t>
  </si>
  <si>
    <t>SYM_Q1FY2024</t>
  </si>
  <si>
    <t>SYM_Q2FY2024</t>
  </si>
  <si>
    <t>SYM_Q3FY2024</t>
  </si>
  <si>
    <t>0001837240-24-000168</t>
  </si>
  <si>
    <t>0001837240-24-000226</t>
  </si>
  <si>
    <t>0001837240-24-000228</t>
  </si>
  <si>
    <t>0001837240-24-000230</t>
  </si>
  <si>
    <t>0001837240-24-000232</t>
  </si>
  <si>
    <t>operating lease liabilities in Note 6 (not detailed on balance sheet).  Acquisitions are listed as purchases of strategic investments</t>
  </si>
  <si>
    <t>0001837240-25-000044</t>
  </si>
  <si>
    <t>0001837240-25-000152</t>
  </si>
  <si>
    <t>operating lease liabilities in Note 5 (not detailed on balance sheet).  Acquisitions are located in acquisitions of strategic investments and cash paid for business acquisitions.  Pre tex income is called Loss before income tax and equity method investment</t>
  </si>
  <si>
    <t>operating lease liabilities in Note 5 (not detailed on balance sheet).  Pre tex income is called Loss before income tax and equity method investment</t>
  </si>
  <si>
    <t>operating lease liabilities in Note 7 (not detailed on balance sheet).  Acquisitions are listed as acquisitions of strategic investments.  Pre tex income is called Loss before income tax and equity method investment</t>
  </si>
  <si>
    <t>operating lease liabilities in Note 6 (not detailed on balance sheet).  Acquisitions are listed as purchases of strategic investments. Pre tex income is called Loss before income tax and equity method investment</t>
  </si>
  <si>
    <t>operating lease liabilities in Note 6 (not detailed on balance sheet).  Pre tex income is called Loss before income tax and equity method investment</t>
  </si>
  <si>
    <t xml:space="preserve">operating lease liabilities in Note 6 (not detailed on balance sheet).  </t>
  </si>
  <si>
    <t>0001837240-25-000263</t>
  </si>
  <si>
    <t>0001837240-25-000278</t>
  </si>
  <si>
    <t>0001837240-26-000009</t>
  </si>
  <si>
    <t>operating lease liabilities in Note 5 (not detailed on balance sheet).  Acquisitions are located in acquisitions of strategic investments.  Pre tex income is called Loss before income tax and equity method investment</t>
  </si>
  <si>
    <t>Q1 2026</t>
  </si>
  <si>
    <t>Dell Technologies Inc.</t>
  </si>
  <si>
    <t>DELL</t>
  </si>
  <si>
    <t>0001571996</t>
  </si>
  <si>
    <t>0001571996-23-000019</t>
  </si>
  <si>
    <t xml:space="preserve">operating lease liabilities in Note 5 (not detailed on balance sheet). </t>
  </si>
  <si>
    <t>0001571996-23-000032</t>
  </si>
  <si>
    <t>0001571996-23-000046</t>
  </si>
  <si>
    <t>0001571996-24-000036</t>
  </si>
  <si>
    <t>0001571996-24-000062</t>
  </si>
  <si>
    <t xml:space="preserve">operating lease liabilities in Note 7 (not detailed on balance sheet). </t>
  </si>
  <si>
    <t>0001571996-24-000090</t>
  </si>
  <si>
    <t>0001571996-24-000143</t>
  </si>
  <si>
    <t>0001571996-25-000034</t>
  </si>
  <si>
    <t xml:space="preserve">operating lease liabilities in Note 6 (not detailed on balance sheet). </t>
  </si>
  <si>
    <t>0001571996-25-000063</t>
  </si>
  <si>
    <t>0001571996-25-000102</t>
  </si>
  <si>
    <t>0001571996-25-000127</t>
  </si>
  <si>
    <t>0001571996-26-000008</t>
  </si>
  <si>
    <t>Q2 2026</t>
  </si>
  <si>
    <t>Q3 2026</t>
  </si>
  <si>
    <t>Q4 2026</t>
  </si>
  <si>
    <t>MSFT</t>
  </si>
  <si>
    <t>MICROSOFT CORP</t>
  </si>
  <si>
    <t>000789019</t>
  </si>
  <si>
    <t>interest expense not on income statement. Taken from note 3</t>
  </si>
  <si>
    <t>0000950170-23-014423</t>
  </si>
  <si>
    <t>0000950170-23-035122</t>
  </si>
  <si>
    <t>0000950170-23-054855</t>
  </si>
  <si>
    <t>0000950170-24-008814</t>
  </si>
  <si>
    <t>0000950170-24-048288</t>
  </si>
  <si>
    <t>0000950170-24-087843</t>
  </si>
  <si>
    <t>0000950170-24-118967</t>
  </si>
  <si>
    <t>0000950170-25-010491</t>
  </si>
  <si>
    <t>0000950170-25-061046</t>
  </si>
  <si>
    <t>0000950170-25-100235</t>
  </si>
  <si>
    <t>0001193125-25-256321</t>
  </si>
  <si>
    <t>0001193125-26-027207</t>
  </si>
  <si>
    <t>PANW</t>
  </si>
  <si>
    <t>Palo Alto Networks Inc</t>
  </si>
  <si>
    <t>0001327567</t>
  </si>
  <si>
    <t>0001327567-23-000014</t>
  </si>
  <si>
    <t>0001327567-23-000024</t>
  </si>
  <si>
    <t>0001327567-23-000032</t>
  </si>
  <si>
    <t>0001327567-24-000005</t>
  </si>
  <si>
    <t>0001327567-24-000017</t>
  </si>
  <si>
    <t>0001327567-24-000029</t>
  </si>
  <si>
    <t>0001327567-24-000040</t>
  </si>
  <si>
    <t>0001327567-25-000010</t>
  </si>
  <si>
    <t>0001327567-25-000017</t>
  </si>
  <si>
    <t>0001327567-25-000027</t>
  </si>
  <si>
    <t>0001327567-25-000035</t>
  </si>
  <si>
    <t>0001327567-26-000005</t>
  </si>
  <si>
    <t>UNP</t>
  </si>
  <si>
    <t>UNION PACIFIC CORP</t>
  </si>
  <si>
    <t>0000100885</t>
  </si>
  <si>
    <t>0001437749-23-010730</t>
  </si>
  <si>
    <t>No discrete cost-of-revenue line; operating expenses not treated as COGS</t>
  </si>
  <si>
    <t>0001437749-23-020699</t>
  </si>
  <si>
    <t>0001437749-23-028607</t>
  </si>
  <si>
    <t>0001437749-24-003599</t>
  </si>
  <si>
    <t>0001437749-24-013206</t>
  </si>
  <si>
    <t>0001437749-24-023463</t>
  </si>
  <si>
    <t>0001437749-24-032008</t>
  </si>
  <si>
    <t>0000100885-25-000042</t>
  </si>
  <si>
    <t>0000100885-25-000151</t>
  </si>
  <si>
    <t>0000100885-25-000253</t>
  </si>
  <si>
    <t>0000100885-25-000321</t>
  </si>
  <si>
    <t>0000100885-26-000037</t>
  </si>
  <si>
    <t>FREEPORT-MCMORAN INC</t>
  </si>
  <si>
    <t>FCX</t>
  </si>
  <si>
    <t>0000831259</t>
  </si>
  <si>
    <t>0000831259-23-000023</t>
  </si>
  <si>
    <t xml:space="preserve">pretax income is reported: Income before income taxes and equity in affiliated companies’ net earnings.  Inventory is not one line item. Reported as 3 lines: materials and supplies net, mill and leach stockpiles, and product.  Account Payable is listed as Accounts Payable and accrued liabilities. Capex is not a single line. it is 6 different items: north america copper mines, south america, indonesia mining, indonesia smelter projects, molybdenum mines, and other </t>
  </si>
  <si>
    <t>0000831259-23-000032</t>
  </si>
  <si>
    <t>0000831259-23-000037</t>
  </si>
  <si>
    <t>0000831259-24-000011</t>
  </si>
  <si>
    <t>0000831259-24-000019</t>
  </si>
  <si>
    <t>0000831259-24-000031</t>
  </si>
  <si>
    <t>0000831259-24-000039</t>
  </si>
  <si>
    <t>pretax income is reported: Income before income taxes and equity in affiliated companies’ net earnings.  Inventory is not one line item. Reported as 3 lines: materials and supplies net, mill and leach stockpiles, and product.  Account Payable is listed as Accounts Payable and accrued liabilities. Capex is not a single line. it is 6 different items: north america copper mines, south america, indonesia mining, indonesia smelter projects, molybdenum mines, and other.  acquisition is reported as: Acquisition of additional ownership interest in Cerro Verde</t>
  </si>
  <si>
    <t>0000831259-25-000006</t>
  </si>
  <si>
    <t>0000831259-25-000018</t>
  </si>
  <si>
    <t>0000831259-25-000031</t>
  </si>
  <si>
    <t>0000831259-25-000050</t>
  </si>
  <si>
    <t>0000831259-26-000012</t>
  </si>
  <si>
    <t>NUE</t>
  </si>
  <si>
    <t>NUCOR CORP</t>
  </si>
  <si>
    <t>0000073309</t>
  </si>
  <si>
    <t>0000950170-23-020173</t>
  </si>
  <si>
    <t>0000950170-23-040234</t>
  </si>
  <si>
    <t>0000950170-23-060729</t>
  </si>
  <si>
    <t>Operating income not reported explicitly; derived from net sales - COGS - marketing/admin/other expenses.  Pre-tax income is reported as: Earnings before income taxes and noncontrolling interests.  Short term debt is both: short term debt and current portion of lt debt. depreciation and amortization is listed as 2 lines: depreciaiton on one line and amortization on another line.  Interest expense on income statement is net with interest income.  interest expense is from Note 10</t>
  </si>
  <si>
    <t>0000950170-24-021195</t>
  </si>
  <si>
    <t>0000950170-24-055144</t>
  </si>
  <si>
    <t>0000950170-24-092479</t>
  </si>
  <si>
    <t>0000950170-24-121863</t>
  </si>
  <si>
    <t>0000950170-25-028427</t>
  </si>
  <si>
    <t>Operating income not reported explicitly; derived from net sales - COGS - marketing/admin/other expenses.  Pre-tax income is reported as: Earnings before income taxes and noncontrolling interests.  Short term debt is both: short term debt and current portion of lt debt. depreciation and amortization is listed as 2 lines: depreciaiton on one line and amortization on another line.  Interest expense on income statement is net with interest income.  interest expense on page 38</t>
  </si>
  <si>
    <t>0000950170-25-071567</t>
  </si>
  <si>
    <t>0001193125-25-276207</t>
  </si>
  <si>
    <t>0000950170-25-107646</t>
  </si>
  <si>
    <t>0001193125-26-071575</t>
  </si>
  <si>
    <t xml:space="preserve">Operating income not reported explicitly; derived from net sales - COGS - marketing/admin/other expenses.  Pre-tax income is reported as: Earnings before income taxes and noncontrolling interests.  Short term debt is both: short term debt and current portion of lt debt. depreciation and amortization is listed as 2 lines: depreciaiton on one line and amortization on another line.  Interest expense on income statement is net with interest income.  interest expense on page 37. </t>
  </si>
  <si>
    <t>VLO</t>
  </si>
  <si>
    <t>VALERO ENERGY CORP/TX</t>
  </si>
  <si>
    <t>0001035002</t>
  </si>
  <si>
    <t>0001035002-23-000054</t>
  </si>
  <si>
    <t>Capital expentiture:  Reported as capital expenditures (ex VIE) and then additional lines for capital expenditure by VIE.  VIE reporting this quarter: Diamond Green Diesel Holdings LLC (DGD)</t>
  </si>
  <si>
    <t>0001035002-23-000103</t>
  </si>
  <si>
    <t>Capital expentiture:  Reported as capital expenditures (ex VIE) and then additional lines for capital expenditure by VIE.  VIE reporting this quarter: Diamond Green Diesel Holdings LLC (DGD) and Other VIEs</t>
  </si>
  <si>
    <t>0001035002-23-000110</t>
  </si>
  <si>
    <t>0001035002-24-000007</t>
  </si>
  <si>
    <t>0001035002-24-000022</t>
  </si>
  <si>
    <t>0001035002-24-000051</t>
  </si>
  <si>
    <t>0001035002-24-000056</t>
  </si>
  <si>
    <t>0001035002-25-000005</t>
  </si>
  <si>
    <t>0001035002-25-000017</t>
  </si>
  <si>
    <t>0001035002-25-000061</t>
  </si>
  <si>
    <t>0001628280-25-046072</t>
  </si>
  <si>
    <t>0001628280-26-011499</t>
  </si>
  <si>
    <t>ET</t>
  </si>
  <si>
    <t>Energy Transfer LP</t>
  </si>
  <si>
    <t>0001276187</t>
  </si>
  <si>
    <t>0001276187-23-000035</t>
  </si>
  <si>
    <t>0001276187-23-000059</t>
  </si>
  <si>
    <t xml:space="preserve">Lease liabilties are in both current and non current liabilities.  </t>
  </si>
  <si>
    <t>Lease liabilties are in both current and non current liabilities.  Acquisitions: combination of Cash paid for Lotus Midstream acquisition and cash paid for other acquisitions</t>
  </si>
  <si>
    <t>0001276187-23-000093</t>
  </si>
  <si>
    <t>0001276187-24-000024</t>
  </si>
  <si>
    <t>Lease liabilties are in both current and non current liabilities.  Acquisitions: combination of Cash paid for Lotus Midstream acquisition, cash paid for Crestwood acquisition,  and cash paid for other acquisitions</t>
  </si>
  <si>
    <t>0001276187-24-000040</t>
  </si>
  <si>
    <t>Lease liabilties are in both current and non current liabilities.  Acquisitions: combination of Cash paid for Sunoco LP for Zenith Energy terminals, cash paid for Edwards Lime Gathering acquisition,  and cash paid for other acquisitions</t>
  </si>
  <si>
    <t>0001276187-24-000083</t>
  </si>
  <si>
    <t>0001276187-24-000108</t>
  </si>
  <si>
    <t>Lease liabilties are in both current and non current liabilities.  Acquisitions: combination of Cash paid for Sunoco LP for Zenith Energy terminals, cash paid for Edwards Lime Gathering acquisition, cash paid for WTG Midstream, and cash paid for other acquisitions</t>
  </si>
  <si>
    <t> 0001276187-25-000018</t>
  </si>
  <si>
    <t>Lease liabilties are in both current and non current liabilities.  Acquisitions: combination of  cash paid for Edwards Lime Gathering acquisition, cash paid for WTG Midstream, and cash paid for other acquisitions</t>
  </si>
  <si>
    <t>0001276187-25-000056</t>
  </si>
  <si>
    <t>Lease liabilties are in both current and non current liabilities.  Acquisitions: combination of  cash paid for Sunoco LP</t>
  </si>
  <si>
    <t>0001276187-25-000086</t>
  </si>
  <si>
    <t>0001276187-25-000119</t>
  </si>
  <si>
    <t>0001276187-26-000013</t>
  </si>
  <si>
    <t>Lease liabilties are in both current and non current liabilities.  Acquisitions: combination of  cash paid by Sunoco for Parkland, cash paid by Sunoco for acquisitions of terminals and other assets, and cash paid for acquisitions</t>
  </si>
  <si>
    <t>TransDigm Group INC</t>
  </si>
  <si>
    <t>0001260221</t>
  </si>
  <si>
    <t>TDG</t>
  </si>
  <si>
    <t>0001260221-23-000040</t>
  </si>
  <si>
    <t>St debt reported as both: Current portion of long-term debt and Short-term borrowings—trade receivable securitization facility.  Depreciation reported as its own line.  Amortization reported on 4 different lines: Amortization of intangible assets and product certification costs, Amortization of debt issuance costs, original issue discount and premium,  Amortization of inventory step-up, Amortization of loss contract reserves</t>
  </si>
  <si>
    <t>0001260221-23-000058</t>
  </si>
  <si>
    <t>0001260221-23-000081</t>
  </si>
  <si>
    <t>0001260221-24-000021</t>
  </si>
  <si>
    <t>0001260221-24-000046</t>
  </si>
  <si>
    <t>0001260221-24-000069</t>
  </si>
  <si>
    <t>0001260221-24-000083</t>
  </si>
  <si>
    <t>0001260221-25-000014</t>
  </si>
  <si>
    <t>0001260221-25-000026</t>
  </si>
  <si>
    <t>0001260221-25-000051</t>
  </si>
  <si>
    <t>0001260221-25-000081</t>
  </si>
  <si>
    <t xml:space="preserve">St debt reported as both: Current portion of long-term debt and Short-term borrowings—trade receivable securitization facility.  Depreciation reported as its own line.  Amortization reported on 2 different lines: Amortization of intangible assets and product certification costs and Amortization of debt issuance costs and original issue discount </t>
  </si>
  <si>
    <t>0001260221-26-000017</t>
  </si>
  <si>
    <t>Oklo Inc. </t>
  </si>
  <si>
    <t>OKLO</t>
  </si>
  <si>
    <t>0001849056</t>
  </si>
  <si>
    <t>0001410578-23-001236</t>
  </si>
  <si>
    <t>actuals</t>
  </si>
  <si>
    <t xml:space="preserve">Company has no revenue.  ST Secrurities is reported as: Marketable securities in the Trust Account </t>
  </si>
  <si>
    <t>0001410578-23-001790</t>
  </si>
  <si>
    <t>0001410578-23-002506</t>
  </si>
  <si>
    <t>0001410578-24-000365</t>
  </si>
  <si>
    <t>0001410578-24-000635</t>
  </si>
  <si>
    <t>0001410578-24-001386</t>
  </si>
  <si>
    <t>Company has no revenue.  ST Secrurities is reported as: Marketable securities in the Trust Account is in both current assets and long term assets</t>
  </si>
  <si>
    <t>0001628280-24-047875</t>
  </si>
  <si>
    <t>0001628280-25-014490</t>
  </si>
  <si>
    <t>0001628280-25-025166</t>
  </si>
  <si>
    <t>0001628280-25-039571</t>
  </si>
  <si>
    <t>0001628280-25-051349</t>
  </si>
  <si>
    <t>0001628280-26-018698</t>
  </si>
  <si>
    <t>0001583708-23-000035</t>
  </si>
  <si>
    <t>SentinelOne, Inc.</t>
  </si>
  <si>
    <t>0001583708</t>
  </si>
  <si>
    <t> 0001583708-23-000047</t>
  </si>
  <si>
    <t>0001583708-23-000054</t>
  </si>
  <si>
    <t>Depreciation and amortization : depreciation and amoritization and amortization of deferred contract acquisition costs</t>
  </si>
  <si>
    <t>0001583708-24-000016</t>
  </si>
  <si>
    <t>0001583708-24-000043</t>
  </si>
  <si>
    <t>0001583708-24-000074</t>
  </si>
  <si>
    <t>0001583708-24-000125</t>
  </si>
  <si>
    <t> 0001583708-24-000016</t>
  </si>
  <si>
    <t>Depreciation and amortization : depreciation and amoritization and amortization of deferred contract acquisition costs. Operating leases not on balance sheet. Reported in Note 8</t>
  </si>
  <si>
    <t>0001583708-25-000106</t>
  </si>
  <si>
    <t>Depreciation and amortization : depreciation and amoritization and amortization of deferred contract acquisition costs. Operating leases not on balance sheet. Reported in Note 6</t>
  </si>
  <si>
    <t>0001583708-25-000148</t>
  </si>
  <si>
    <t>0001583708-25-000159</t>
  </si>
  <si>
    <t>0001583708-26-000020</t>
  </si>
  <si>
    <t>Depreciation and amortization : depreciation and amoritization and amortization of deferred contract acquisition costs. Operating leases not on balance sheet. Reported in page 108.  non current and current operating leases</t>
  </si>
  <si>
    <t>PLTR</t>
  </si>
  <si>
    <t>Palantir Technologies Inc. </t>
  </si>
  <si>
    <t>0001321655</t>
  </si>
  <si>
    <t>0001321655-23-000044</t>
  </si>
  <si>
    <t>S</t>
  </si>
  <si>
    <t>0001321655-23-000090</t>
  </si>
  <si>
    <t>0001321655-23-000118</t>
  </si>
  <si>
    <t>0001321655-24-000022</t>
  </si>
  <si>
    <t>0001321655-24-000071</t>
  </si>
  <si>
    <t>0001321655-24-000135</t>
  </si>
  <si>
    <t>0001321655-24-000209</t>
  </si>
  <si>
    <t>0001321655-25-000022</t>
  </si>
  <si>
    <t>0001321655-25-000066</t>
  </si>
  <si>
    <t>0001321655-25-000106</t>
  </si>
  <si>
    <t>0001321655-25-000131</t>
  </si>
  <si>
    <t>0001321655-26-000011</t>
  </si>
  <si>
    <t>CAT</t>
  </si>
  <si>
    <t>CATERPILLAR INC </t>
  </si>
  <si>
    <t>0000018230</t>
  </si>
  <si>
    <t>0000018230-23-000022</t>
  </si>
  <si>
    <t>ADM</t>
  </si>
  <si>
    <t>Archer-Daniels-Midland Co</t>
  </si>
  <si>
    <t>0000007084</t>
  </si>
  <si>
    <t>0000007084-23-000017</t>
  </si>
  <si>
    <t>0000007084-23-000033</t>
  </si>
  <si>
    <t>0000007084-23-000039</t>
  </si>
  <si>
    <t>0000007084-24-000009</t>
  </si>
  <si>
    <t>0000007084-24-000052</t>
  </si>
  <si>
    <t>0000007084-24-000053</t>
  </si>
  <si>
    <t>0000007084-24-000054</t>
  </si>
  <si>
    <t>0000007084-25-000011</t>
  </si>
  <si>
    <t>0000007084-25-000022</t>
  </si>
  <si>
    <t>0000007084-25-000042</t>
  </si>
  <si>
    <t>0000007084-25-000052</t>
  </si>
  <si>
    <t>0000007084-26-000011</t>
  </si>
  <si>
    <t>0000018230-23-000047</t>
  </si>
  <si>
    <t xml:space="preserve">Net Income reported as: Profit of consolidated and affiliated companies. Short term debt: short term borrowings: Machinery, Energy &amp; Transportation + short term borrowings: Financial Product + long term debt due within one year:  Machinery, Energy &amp; Transportation + long term debt due within one year: Financial products.  LT debt = LT debt Machinery, Energy &amp; Transportation + LT debt financial products.  Receivables = receivables trade and other + receivables finance.  capex = Capital expenditures – excluding equipment leased to others + Expenditures for equipment leased to others,  acquisistion reported as investemtns and acquisitions.  </t>
  </si>
  <si>
    <t>0000018230-23-000056</t>
  </si>
  <si>
    <t>0000018230-24-000009</t>
  </si>
  <si>
    <t>0000018230-24-000020</t>
  </si>
  <si>
    <t>0000018230-24-000045</t>
  </si>
  <si>
    <t>0000018230-24-000053</t>
  </si>
  <si>
    <t>0000018230-25-000008</t>
  </si>
  <si>
    <t>0000018230-25-000016</t>
  </si>
  <si>
    <t>0000018230-25-000040</t>
  </si>
  <si>
    <t>0000018230-25-000048</t>
  </si>
  <si>
    <t>0000018230-26-000008</t>
  </si>
  <si>
    <t>Alphabet Inc.</t>
  </si>
  <si>
    <t>GOOGL</t>
  </si>
  <si>
    <t>0001652044</t>
  </si>
  <si>
    <t>0001652044-23-000045</t>
  </si>
  <si>
    <t>0001652044-23-000070</t>
  </si>
  <si>
    <t>0001652044-23-000094</t>
  </si>
  <si>
    <t>0001652044-24-000022</t>
  </si>
  <si>
    <t>0001652044-24-000053</t>
  </si>
  <si>
    <t>0001652044-24-000079</t>
  </si>
  <si>
    <t>0001652044-24-000118</t>
  </si>
  <si>
    <t>interest expense not on income statement. Taken from notes. Share count is in 3 classes: class a,b,c</t>
  </si>
  <si>
    <t>interest expense not on income statement. Taken from notes.  depreciation and amortization was changed on the balance sheet during the year. On the balance sheet it included impairments.  Depreciation and amortization values are in the notes.  Share count is in 3 classes: class a,b,c</t>
  </si>
  <si>
    <t>interest expense not on income statement. Taken from notes.  depreciation and amortization was changed on the balance sheet during the year. On the balance sheet it included impairments.  Depreciation and amortization values are in the notes. Share count is in 3 classes: class a,b,c</t>
  </si>
  <si>
    <t>interest expense not on income statement. Taken from notes.  depreciation and amortization was changed on the balance sheet during the year. On the balance sheet it included impairments.  Depreciation and amortization values are in the notes.  In 4q / annual report, google did not report inventories. Share count is in 3 classes: class a,b,c</t>
  </si>
  <si>
    <t>0001652044-25-000014</t>
  </si>
  <si>
    <t>0001652044-25-000043</t>
  </si>
  <si>
    <t>0001652044-25-000062</t>
  </si>
  <si>
    <t>0001652044-25-000091</t>
  </si>
  <si>
    <t>0001652044-26-000018</t>
  </si>
  <si>
    <t>KOP</t>
  </si>
  <si>
    <t>Koppers Holdings Inc.</t>
  </si>
  <si>
    <t>000131257</t>
  </si>
  <si>
    <t>0000950170-23-018172</t>
  </si>
  <si>
    <t>operating leases = current + long term</t>
  </si>
  <si>
    <t>0000950170-23-037727</t>
  </si>
  <si>
    <t>0000950170-23-058640</t>
  </si>
  <si>
    <t>0000950170-24-021787</t>
  </si>
  <si>
    <t>0000950170-24-052678</t>
  </si>
  <si>
    <t>0000950170-24-093561</t>
  </si>
  <si>
    <t>0000950170-24-123804</t>
  </si>
  <si>
    <t>0000950170-25-028542</t>
  </si>
  <si>
    <t>0000950170-25-067733</t>
  </si>
  <si>
    <t>operating leases = current + long term. Depreciation and amortization = Depreciation and amortization + Depreciation in impairment and restructuring</t>
  </si>
  <si>
    <t>0000950170-25-105595</t>
  </si>
  <si>
    <t>0001315257-25-000012</t>
  </si>
  <si>
    <t>0001315257-26-000012</t>
  </si>
  <si>
    <t>HWKN</t>
  </si>
  <si>
    <t>0000046250-23-000015</t>
  </si>
  <si>
    <t>0000046250-23-000025</t>
  </si>
  <si>
    <t>0000046250-23-000031</t>
  </si>
  <si>
    <t>0000046250-24-000004</t>
  </si>
  <si>
    <t>0000046250-24-000013</t>
  </si>
  <si>
    <t>0000046250-24-000021</t>
  </si>
  <si>
    <t>0000046250-24-000027</t>
  </si>
  <si>
    <t>0000046250-25-000004</t>
  </si>
  <si>
    <t>0000046250-25-000025</t>
  </si>
  <si>
    <t>0000046250-25-000042</t>
  </si>
  <si>
    <t> 0000046250-25-000057</t>
  </si>
  <si>
    <t>0000046250-26-000005</t>
  </si>
  <si>
    <t>HAWKINS INC</t>
  </si>
  <si>
    <t>0000046250</t>
  </si>
  <si>
    <t>10Q/A</t>
  </si>
  <si>
    <t>0001489393</t>
  </si>
  <si>
    <t>FY 2020</t>
  </si>
  <si>
    <t>FY 2021</t>
  </si>
  <si>
    <t>FY 2022</t>
  </si>
  <si>
    <t>Amort Life</t>
  </si>
  <si>
    <t>Qtr R&amp;D</t>
  </si>
  <si>
    <t>Lag 0</t>
  </si>
  <si>
    <t>Lag 1</t>
  </si>
  <si>
    <t>Lag 2</t>
  </si>
  <si>
    <t>Lag 3</t>
  </si>
  <si>
    <t>Lag 4</t>
  </si>
  <si>
    <t>Lag 5</t>
  </si>
  <si>
    <t>Lag 6</t>
  </si>
  <si>
    <t>Lag 7</t>
  </si>
  <si>
    <t>Lag 8</t>
  </si>
  <si>
    <t>Lag 9</t>
  </si>
  <si>
    <t>Lag 10</t>
  </si>
  <si>
    <t>Lag 11</t>
  </si>
  <si>
    <t>Lag 12</t>
  </si>
  <si>
    <t>Lag 13</t>
  </si>
  <si>
    <t>Lag 14</t>
  </si>
  <si>
    <t>Lag 15</t>
  </si>
  <si>
    <t>Lag 16</t>
  </si>
  <si>
    <t>Lag 17</t>
  </si>
  <si>
    <t>Lag 18</t>
  </si>
  <si>
    <t>Lag 19</t>
  </si>
  <si>
    <t>OI Adjustment</t>
  </si>
  <si>
    <t>Weight →</t>
  </si>
  <si>
    <t>income_statement_flow_method</t>
  </si>
  <si>
    <t>cash_flow_flow_method</t>
  </si>
  <si>
    <t>derived_from_ytd</t>
  </si>
  <si>
    <t>reported_discrete</t>
  </si>
  <si>
    <t>Operating Income is calculated manuall: Revenues - Cost of products sold - sg&amp;a, and asset impairment, exit, and restructuring costs.  Operating Income annually: Revenues - costs of good sold - assets impairment, exit and restructuring costs - q1,q2,q3 operating income to calculate q4 operating income. Pre-Tax Income is reported as Net Earnings Including Noncontrolling Interests.  Short term debt = short term debt + current maturities of lt debt</t>
  </si>
  <si>
    <t>rd_OI_Adjustment</t>
  </si>
  <si>
    <t>FY 2023</t>
  </si>
  <si>
    <t>rd_calc_method</t>
  </si>
  <si>
    <t>annual3_plus_quarterly12</t>
  </si>
  <si>
    <t>not_applicable</t>
  </si>
  <si>
    <t>DELL_Q1FY2025</t>
  </si>
  <si>
    <t>DELL_Q2FY2025</t>
  </si>
  <si>
    <t>DELL_Q3FY2025</t>
  </si>
  <si>
    <t>DELL_Q4FY2025</t>
  </si>
  <si>
    <t>DELL_Q1FY2026</t>
  </si>
  <si>
    <t>DELL_Q2FY2026</t>
  </si>
  <si>
    <t>DELL_Q3FY2026</t>
  </si>
  <si>
    <t>DELL_Q4FY2026</t>
  </si>
  <si>
    <t>calculated by taking the full year value minus the adjusted numbers provided in the 10k</t>
  </si>
  <si>
    <t>Q1 2022</t>
  </si>
  <si>
    <t>Q2 2022</t>
  </si>
  <si>
    <t>Q3 2022</t>
  </si>
  <si>
    <t>Q4 2022</t>
  </si>
  <si>
    <t>Q1 2021</t>
  </si>
  <si>
    <t>Q2 2021</t>
  </si>
  <si>
    <t>Q3 2021</t>
  </si>
  <si>
    <t>Q4 2021</t>
  </si>
  <si>
    <t>direct</t>
  </si>
  <si>
    <t>q1</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</si>
</sst>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0_);_(* \(#,##0.0\);_(* &quot;-&quot;??_);_(@_)"/>
    <numFmt numFmtId="165" formatCode="_(* #,##0_);_(* \(#,##0\);_(* &quot;-&quot;??_);_(@_)"/>
  </numFmts>
  <fonts count="24"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1"/>
      <color rgb="FF0000FF"/>
      <name val="Cambria"/>
      <family val="1"/>
    </font>
    <font>
      <b/>
      <sz val="11"/>
      <name val="Cambria"/>
      <family val="1"/>
    </font>
    <font>
      <sz val="12"/>
      <color rgb="FF000000"/>
      <name val="Aptos Narrow"/>
      <family val="2"/>
      <scheme val="minor"/>
    </font>
    <font>
      <sz val="8"/>
      <name val="Aptos Narrow"/>
      <family val="2"/>
      <scheme val="minor"/>
    </font>
    <font>
      <sz val="12"/>
      <color rgb="FF0D0D0D"/>
      <name val="Menlo"/>
      <family val="2"/>
    </font>
    <font>
      <i/>
      <sz val="9"/>
      <name val="Cambria"/>
      <family val="1"/>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rgb="FFFFFF00"/>
      </patternFill>
    </fill>
    <fill>
      <patternFill patternType="solid">
        <fgColor rgb="FFD9E1F2"/>
        <bgColor rgb="FFE2EFDA"/>
      </patternFill>
    </fill>
    <fill>
      <patternFill patternType="solid">
        <fgColor rgb="FFFFFF00"/>
        <bgColor indexed="64"/>
      </patternFill>
    </fill>
    <fill>
      <patternFill patternType="solid">
        <fgColor rgb="FFF2F2F2"/>
        <bgColor rgb="FFE2EFDA"/>
      </patternFill>
    </fill>
    <fill>
      <patternFill patternType="solid">
        <fgColor rgb="FFE2EFDA"/>
        <bgColor rgb="FFF2F2F2"/>
      </patternFill>
    </fill>
  </fills>
  <borders count="11">
    <border>
      <start/>
      <end/>
      <top/>
      <bottom/>
      <diagonal/>
    </border>
    <border>
      <start/>
      <end/>
      <top/>
      <bottom style="thick">
        <color theme="4"/>
      </bottom>
      <diagonal/>
    </border>
    <border>
      <start/>
      <end/>
      <top/>
      <bottom style="thick">
        <color theme="4" tint="0.499984740745262"/>
      </bottom>
      <diagonal/>
    </border>
    <border>
      <start/>
      <end/>
      <top/>
      <bottom style="medium">
        <color theme="4" tint="0.39997558519241921"/>
      </bottom>
      <diagonal/>
    </border>
    <border>
      <start style="thin">
        <color rgb="FF7F7F7F"/>
      </start>
      <end style="thin">
        <color rgb="FF7F7F7F"/>
      </end>
      <top style="thin">
        <color rgb="FF7F7F7F"/>
      </top>
      <bottom style="thin">
        <color rgb="FF7F7F7F"/>
      </bottom>
      <diagonal/>
    </border>
    <border>
      <start style="thin">
        <color rgb="FF3F3F3F"/>
      </start>
      <end style="thin">
        <color rgb="FF3F3F3F"/>
      </end>
      <top style="thin">
        <color rgb="FF3F3F3F"/>
      </top>
      <bottom style="thin">
        <color rgb="FF3F3F3F"/>
      </bottom>
      <diagonal/>
    </border>
    <border>
      <start/>
      <end/>
      <top/>
      <bottom style="double">
        <color rgb="FFFF8001"/>
      </bottom>
      <diagonal/>
    </border>
    <border>
      <start style="double">
        <color rgb="FF3F3F3F"/>
      </start>
      <end style="double">
        <color rgb="FF3F3F3F"/>
      </end>
      <top style="double">
        <color rgb="FF3F3F3F"/>
      </top>
      <bottom style="double">
        <color rgb="FF3F3F3F"/>
      </bottom>
      <diagonal/>
    </border>
    <border>
      <start style="thin">
        <color rgb="FFB2B2B2"/>
      </start>
      <end style="thin">
        <color rgb="FFB2B2B2"/>
      </end>
      <top style="thin">
        <color rgb="FFB2B2B2"/>
      </top>
      <bottom style="thin">
        <color rgb="FFB2B2B2"/>
      </bottom>
      <diagonal/>
    </border>
    <border>
      <start/>
      <end/>
      <top style="thin">
        <color theme="4"/>
      </top>
      <bottom style="double">
        <color theme="4"/>
      </bottom>
      <diagonal/>
    </border>
    <border>
      <start style="thin">
        <color auto="1"/>
      </start>
      <end style="thin">
        <color auto="1"/>
      </end>
      <top style="thin">
        <color auto="1"/>
      </top>
      <bottom style="thin">
        <color auto="1"/>
      </bottom>
      <diagonal/>
    </border>
  </borders>
  <cellStyleXfs count="43">
    <xf numFmtId="0" fontId="0" fillId="0" borderId="0"/>
    <xf numFmtId="43"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4">
    <xf numFmtId="0" fontId="0" fillId="0" borderId="0" xfId="0"/>
    <xf numFmtId="0" fontId="0" fillId="0" borderId="0" xfId="0" quotePrefix="1"/>
    <xf numFmtId="14" fontId="0" fillId="0" borderId="0" xfId="0" applyNumberFormat="1"/>
    <xf numFmtId="3" fontId="0" fillId="0" borderId="0" xfId="0" applyNumberFormat="1"/>
    <xf numFmtId="3" fontId="18" fillId="33" borderId="10" xfId="0" applyNumberFormat="1" applyFont="1" applyFill="1" applyBorder="1"/>
    <xf numFmtId="0" fontId="19" fillId="0" borderId="0" xfId="0" applyFont="1"/>
    <xf numFmtId="0" fontId="19" fillId="34" borderId="10" xfId="0" applyFont="1" applyFill="1" applyBorder="1" applyAlignment="1">
      <alignment horizontal="center"/>
    </xf>
    <xf numFmtId="0" fontId="20" fillId="0" borderId="0" xfId="0" applyFont="1"/>
    <xf numFmtId="49" fontId="0" fillId="0" borderId="0" xfId="0" quotePrefix="1" applyNumberFormat="1"/>
    <xf numFmtId="1" fontId="0" fillId="0" borderId="0" xfId="0" applyNumberFormat="1"/>
    <xf numFmtId="0" fontId="22" fillId="0" borderId="0" xfId="0" applyFont="1"/>
    <xf numFmtId="164" fontId="0" fillId="0" borderId="0" xfId="1" applyNumberFormat="1" applyFont="1"/>
    <xf numFmtId="165" fontId="0" fillId="0" borderId="0" xfId="1" applyNumberFormat="1" applyFont="1"/>
    <xf numFmtId="0" fontId="0" fillId="35" borderId="0" xfId="0" applyFill="1"/>
    <xf numFmtId="43" fontId="0" fillId="0" borderId="0" xfId="0" applyNumberFormat="1"/>
    <xf numFmtId="0" fontId="0" fillId="34" borderId="0" xfId="0" applyFill="1"/>
    <xf numFmtId="0" fontId="23" fillId="0" borderId="0" xfId="0" applyFont="1"/>
    <xf numFmtId="0" fontId="23" fillId="36" borderId="0" xfId="0" applyFont="1" applyFill="1" applyAlignment="1">
      <alignment horizontal="center"/>
    </xf>
    <xf numFmtId="0" fontId="19" fillId="0" borderId="10" xfId="0" applyFont="1" applyBorder="1"/>
    <xf numFmtId="1" fontId="18" fillId="33" borderId="10" xfId="0" applyNumberFormat="1" applyFont="1" applyFill="1" applyBorder="1"/>
    <xf numFmtId="3" fontId="0" fillId="0" borderId="10" xfId="0" applyNumberFormat="1" applyBorder="1"/>
    <xf numFmtId="3" fontId="0" fillId="37" borderId="10" xfId="0" applyNumberFormat="1" applyFill="1" applyBorder="1"/>
    <xf numFmtId="3" fontId="18" fillId="0" borderId="10" xfId="0" applyNumberFormat="1" applyFont="1" applyBorder="1"/>
    <xf numFmtId="1" fontId="18" fillId="0" borderId="10" xfId="0" applyNumberFormat="1" applyFont="1" applyBorder="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omma" xfId="1" builtinId="3"/>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purl.oclc.org/ooxml/officeDocument/relationships/worksheet" Target="worksheets/sheet3.xml"/><Relationship Id="rId7" Type="http://purl.oclc.org/ooxml/officeDocument/relationships/calcChain" Target="calcChain.xml"/><Relationship Id="rId2" Type="http://purl.oclc.org/ooxml/officeDocument/relationships/worksheet" Target="worksheets/sheet2.xml"/><Relationship Id="rId1" Type="http://purl.oclc.org/ooxml/officeDocument/relationships/worksheet" Target="worksheets/sheet1.xml"/><Relationship Id="rId6" Type="http://purl.oclc.org/ooxml/officeDocument/relationships/sharedStrings" Target="sharedStrings.xml"/><Relationship Id="rId5" Type="http://purl.oclc.org/ooxml/officeDocument/relationships/styles" Target="styles.xml"/><Relationship Id="rId4" Type="http://purl.oclc.org/ooxml/officeDocument/relationships/theme" Target="theme/theme1.xml"/></Relationships>
</file>

<file path=xl/theme/theme1.xml><?xml version="1.0" encoding="utf-8"?>
<a:theme xmlns:a="http://purl.oclc.org/ooxml/drawingml/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12700" cap="flat" cmpd="sng" algn="ctr">
          <a:solidFill>
            <a:schemeClr val="phClr"/>
          </a:solidFill>
          <a:prstDash val="solid"/>
          <a:miter lim="800%"/>
        </a:ln>
        <a:ln w="19050" cap="flat" cmpd="sng" algn="ctr">
          <a:solidFill>
            <a:schemeClr val="phClr"/>
          </a:solidFill>
          <a:prstDash val="solid"/>
          <a:miter lim="800%"/>
        </a:ln>
        <a:ln w="2540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FF2C95-6D4A-984E-A919-A5367DCB6619}">
  <dimension ref="A1:BY241"/>
  <sheetViews>
    <sheetView tabSelected="1" topLeftCell="J1" workbookViewId="0">
      <pane ySplit="1" topLeftCell="A2" activePane="bottomLeft" state="frozen"/>
      <selection pane="bottomLeft" activeCell="O20" sqref="O20"/>
    </sheetView>
  </sheetViews>
  <sheetFormatPr baseColWidth="10" defaultRowHeight="16" x14ac:dyDescent="0.2"/>
  <cols>
    <col min="14" max="14" width="28" bestFit="1" customWidth="1"/>
    <col min="15" max="15" width="26" bestFit="1" customWidth="1"/>
    <col min="21" max="21" width="16.83203125" customWidth="1"/>
    <col min="22" max="22" width="13.5" customWidth="1"/>
    <col min="23" max="23" width="17.6640625" bestFit="1" customWidth="1"/>
    <col min="24" max="24" width="12.1640625" bestFit="1" customWidth="1"/>
    <col min="25" max="25" width="20" bestFit="1" customWidth="1"/>
    <col min="26" max="26" width="15" bestFit="1" customWidth="1"/>
    <col min="27" max="27" width="17.33203125" customWidth="1"/>
    <col min="28" max="28" width="16.5" bestFit="1" customWidth="1"/>
    <col min="29" max="29" width="12.1640625" bestFit="1" customWidth="1"/>
    <col min="30" max="30" width="24.5" bestFit="1" customWidth="1"/>
    <col min="31" max="31" width="12.1640625" bestFit="1" customWidth="1"/>
    <col min="32" max="32" width="22.83203125" bestFit="1" customWidth="1"/>
    <col min="33" max="33" width="11.83203125" bestFit="1" customWidth="1"/>
    <col min="34" max="34" width="13.6640625" customWidth="1"/>
    <col min="36" max="36" width="12.83203125" bestFit="1" customWidth="1"/>
    <col min="37" max="37" width="20" bestFit="1" customWidth="1"/>
    <col min="38" max="38" width="11.1640625" bestFit="1" customWidth="1"/>
    <col min="39" max="39" width="17.83203125" bestFit="1" customWidth="1"/>
    <col min="40" max="40" width="15.1640625" customWidth="1"/>
    <col min="41" max="41" width="16.1640625" customWidth="1"/>
    <col min="43" max="43" width="14.83203125" bestFit="1" customWidth="1"/>
    <col min="44" max="44" width="17" bestFit="1" customWidth="1"/>
    <col min="45" max="45" width="23" bestFit="1" customWidth="1"/>
    <col min="46" max="47" width="19.5" customWidth="1"/>
    <col min="48" max="48" width="29.6640625" bestFit="1" customWidth="1"/>
    <col min="52" max="52" width="22.83203125" bestFit="1" customWidth="1"/>
    <col min="53" max="53" width="11.1640625" bestFit="1" customWidth="1"/>
    <col min="54" max="54" width="17.33203125" bestFit="1" customWidth="1"/>
    <col min="56" max="56" width="13.83203125" customWidth="1"/>
    <col min="57" max="57" width="11.83203125" bestFit="1" customWidth="1"/>
    <col min="59" max="59" width="12.1640625" bestFit="1" customWidth="1"/>
  </cols>
  <sheetData>
    <row r="1" spans="1:61" x14ac:dyDescent="0.2">
      <c r="A1" t="s">
        <v>0</v>
      </c>
      <c r="B1" t="s">
        <v>1</v>
      </c>
      <c r="C1" t="s">
        <v>2</v>
      </c>
      <c r="D1" t="s">
        <v>3</v>
      </c>
      <c r="E1" t="s">
        <v>4</v>
      </c>
      <c r="F1" t="s">
        <v>5</v>
      </c>
      <c r="G1" t="s">
        <v>6</v>
      </c>
      <c r="H1" t="s">
        <v>7</v>
      </c>
      <c r="I1" t="s">
        <v>8</v>
      </c>
      <c r="J1" t="s">
        <v>9</v>
      </c>
      <c r="K1" t="s">
        <v>10</v>
      </c>
      <c r="L1" t="s">
        <v>11</v>
      </c>
      <c r="M1" t="s">
        <v>12</v>
      </c>
      <c r="N1" t="s">
        <v>465</v>
      </c>
      <c r="O1" s="10" t="s">
        <v>466</v>
      </c>
      <c r="P1" t="s">
        <v>13</v>
      </c>
      <c r="Q1" t="s">
        <v>14</v>
      </c>
      <c r="R1" t="s">
        <v>15</v>
      </c>
      <c r="S1" t="s">
        <v>16</v>
      </c>
      <c r="T1" t="s">
        <v>17</v>
      </c>
      <c r="U1" t="s">
        <v>18</v>
      </c>
      <c r="V1" t="s">
        <v>19</v>
      </c>
      <c r="W1" t="s">
        <v>20</v>
      </c>
      <c r="X1" t="s">
        <v>21</v>
      </c>
      <c r="Y1" t="s">
        <v>22</v>
      </c>
      <c r="Z1" t="s">
        <v>23</v>
      </c>
      <c r="AA1" s="9" t="s">
        <v>24</v>
      </c>
      <c r="AB1" t="s">
        <v>25</v>
      </c>
      <c r="AC1" t="s">
        <v>26</v>
      </c>
      <c r="AD1" t="s">
        <v>27</v>
      </c>
      <c r="AE1" t="s">
        <v>28</v>
      </c>
      <c r="AF1" t="s">
        <v>29</v>
      </c>
      <c r="AG1" t="s">
        <v>30</v>
      </c>
      <c r="AH1" t="s">
        <v>31</v>
      </c>
      <c r="AI1" t="s">
        <v>32</v>
      </c>
      <c r="AJ1" t="s">
        <v>33</v>
      </c>
      <c r="AK1" t="s">
        <v>34</v>
      </c>
      <c r="AL1" t="s">
        <v>35</v>
      </c>
      <c r="AM1" t="s">
        <v>36</v>
      </c>
      <c r="AN1" t="s">
        <v>37</v>
      </c>
      <c r="AO1" t="s">
        <v>38</v>
      </c>
      <c r="AP1" t="s">
        <v>39</v>
      </c>
      <c r="AQ1" t="s">
        <v>40</v>
      </c>
      <c r="AR1" t="s">
        <v>41</v>
      </c>
      <c r="AS1" t="s">
        <v>42</v>
      </c>
      <c r="AT1" t="s">
        <v>43</v>
      </c>
      <c r="AU1" t="s">
        <v>470</v>
      </c>
      <c r="AV1" t="s">
        <v>472</v>
      </c>
      <c r="AW1" t="s">
        <v>44</v>
      </c>
      <c r="AX1" t="s">
        <v>45</v>
      </c>
      <c r="AY1" t="s">
        <v>46</v>
      </c>
      <c r="AZ1" t="s">
        <v>47</v>
      </c>
      <c r="BA1" t="s">
        <v>48</v>
      </c>
      <c r="BB1" t="s">
        <v>49</v>
      </c>
      <c r="BC1" t="s">
        <v>50</v>
      </c>
      <c r="BD1" t="s">
        <v>51</v>
      </c>
    </row>
    <row r="2" spans="1:61" x14ac:dyDescent="0.2">
      <c r="A2">
        <v>1</v>
      </c>
      <c r="B2" t="s">
        <v>52</v>
      </c>
      <c r="C2" t="s">
        <v>53</v>
      </c>
      <c r="D2" s="1" t="s">
        <v>54</v>
      </c>
      <c r="E2" t="s">
        <v>55</v>
      </c>
      <c r="F2" t="s">
        <v>56</v>
      </c>
      <c r="G2" s="2" t="d">
        <v>2023-05-26</v>
      </c>
      <c r="H2" s="2" t="d">
        <v>2023-05-26</v>
      </c>
      <c r="I2">
        <v>2024</v>
      </c>
      <c r="J2" t="s">
        <v>57</v>
      </c>
      <c r="K2">
        <v>1</v>
      </c>
      <c r="L2" s="2" t="d">
        <v>2023-01-30</v>
      </c>
      <c r="M2" s="2" t="d">
        <v>2023-04-30</v>
      </c>
      <c r="N2" t="s">
        <v>468</v>
      </c>
      <c r="O2" t="s">
        <v>468</v>
      </c>
      <c r="P2">
        <v>2023</v>
      </c>
      <c r="Q2" t="s">
        <v>58</v>
      </c>
      <c r="R2" t="s">
        <v>59</v>
      </c>
      <c r="S2" t="s">
        <v>60</v>
      </c>
      <c r="T2" t="s">
        <v>61</v>
      </c>
      <c r="U2">
        <v>7192000000</v>
      </c>
      <c r="V2">
        <v>2544000000</v>
      </c>
      <c r="W2">
        <v>2140000000</v>
      </c>
      <c r="X2">
        <v>1875000000</v>
      </c>
      <c r="Y2">
        <v>166000000</v>
      </c>
      <c r="Z2">
        <v>2209000000</v>
      </c>
      <c r="AA2" s="9">
        <v>24520000000</v>
      </c>
      <c r="AB2">
        <v>1250000000</v>
      </c>
      <c r="AC2">
        <v>9704000000</v>
      </c>
      <c r="AD2">
        <v>1126000000</v>
      </c>
      <c r="AE2">
        <v>5079000000</v>
      </c>
      <c r="AF2">
        <v>10241000000</v>
      </c>
      <c r="AG2">
        <v>2911000000</v>
      </c>
      <c r="AH2">
        <v>-248000000</v>
      </c>
      <c r="AI2">
        <v>384000000</v>
      </c>
      <c r="AJ2">
        <v>-83000000</v>
      </c>
      <c r="AK2">
        <v>4080000000</v>
      </c>
      <c r="AL2">
        <v>4611000000</v>
      </c>
      <c r="AM2">
        <v>1141000000</v>
      </c>
      <c r="AN2">
        <v>2043000000</v>
      </c>
      <c r="AO2">
        <v>44460000000</v>
      </c>
      <c r="AP2">
        <v>735000000</v>
      </c>
      <c r="AQ2">
        <v>2490000000</v>
      </c>
      <c r="AR2">
        <v>-66000000</v>
      </c>
      <c r="AS2" s="3">
        <v>724050000</v>
      </c>
      <c r="AT2" s="3">
        <v>11183300000</v>
      </c>
      <c r="AU2" s="3">
        <v>1150950000</v>
      </c>
      <c r="AV2" s="3" t="s">
        <v>492</v>
      </c>
      <c r="AW2">
        <v>26196</v>
      </c>
      <c r="BH2" s="3"/>
      <c r="BI2" s="3"/>
    </row>
    <row r="3" spans="1:61" x14ac:dyDescent="0.2">
      <c r="A3">
        <v>1</v>
      </c>
      <c r="B3" t="s">
        <v>52</v>
      </c>
      <c r="C3" t="s">
        <v>53</v>
      </c>
      <c r="D3" s="1" t="s">
        <v>54</v>
      </c>
      <c r="E3" t="s">
        <v>55</v>
      </c>
      <c r="F3" t="s">
        <v>62</v>
      </c>
      <c r="G3" s="2" t="d">
        <v>2023-08-28</v>
      </c>
      <c r="H3" s="2" t="d">
        <v>2023-08-28</v>
      </c>
      <c r="I3">
        <v>2024</v>
      </c>
      <c r="J3" t="s">
        <v>58</v>
      </c>
      <c r="K3">
        <v>2</v>
      </c>
      <c r="L3" s="2" t="d">
        <v>2023-05-01</v>
      </c>
      <c r="M3" s="2" t="d">
        <v>2023-07-30</v>
      </c>
      <c r="N3" t="s">
        <v>467</v>
      </c>
      <c r="O3" t="s">
        <v>467</v>
      </c>
      <c r="P3">
        <v>2023</v>
      </c>
      <c r="Q3" t="s">
        <v>63</v>
      </c>
      <c r="R3" t="s">
        <v>59</v>
      </c>
      <c r="S3" t="s">
        <v>60</v>
      </c>
      <c r="T3" t="s">
        <v>61</v>
      </c>
      <c r="U3">
        <v>13507000000</v>
      </c>
      <c r="V3">
        <v>4045000000</v>
      </c>
      <c r="W3">
        <v>6800000000</v>
      </c>
      <c r="X3">
        <v>2040000000</v>
      </c>
      <c r="Y3">
        <v>793000000</v>
      </c>
      <c r="Z3">
        <v>6981000000</v>
      </c>
      <c r="AA3" s="9">
        <v>27501000000</v>
      </c>
      <c r="AB3">
        <v>1249000000</v>
      </c>
      <c r="AC3">
        <v>8456000000</v>
      </c>
      <c r="AD3">
        <v>1249000000</v>
      </c>
      <c r="AE3">
        <v>5783000000</v>
      </c>
      <c r="AF3">
        <v>10240000000</v>
      </c>
      <c r="AG3">
        <v>6348000000</v>
      </c>
      <c r="AH3">
        <v>-289000000</v>
      </c>
      <c r="AI3">
        <v>365000000</v>
      </c>
      <c r="AJ3">
        <v>0</v>
      </c>
      <c r="AK3">
        <v>7066000000</v>
      </c>
      <c r="AL3">
        <v>4319000000</v>
      </c>
      <c r="AM3">
        <v>1929000000</v>
      </c>
      <c r="AN3">
        <v>6188000000</v>
      </c>
      <c r="AO3">
        <v>49555000000</v>
      </c>
      <c r="AP3">
        <v>841000000</v>
      </c>
      <c r="AQ3">
        <v>2499000000</v>
      </c>
      <c r="AR3">
        <v>-65000000</v>
      </c>
      <c r="AS3" s="3">
        <v>826050000</v>
      </c>
      <c r="AT3" s="3">
        <v>12397250000</v>
      </c>
      <c r="AU3" s="3">
        <v>1213950000</v>
      </c>
      <c r="AV3" s="3" t="s">
        <v>492</v>
      </c>
      <c r="AW3">
        <v>26196</v>
      </c>
      <c r="BH3" s="3"/>
      <c r="BI3" s="3"/>
    </row>
    <row r="4" spans="1:61" x14ac:dyDescent="0.2">
      <c r="A4">
        <v>1</v>
      </c>
      <c r="B4" t="s">
        <v>52</v>
      </c>
      <c r="C4" t="s">
        <v>53</v>
      </c>
      <c r="D4" s="1" t="s">
        <v>54</v>
      </c>
      <c r="E4" t="s">
        <v>55</v>
      </c>
      <c r="F4" t="s">
        <v>64</v>
      </c>
      <c r="G4" s="2" t="d">
        <v>2023-11-21</v>
      </c>
      <c r="H4" s="2" t="d">
        <v>2023-11-21</v>
      </c>
      <c r="I4">
        <v>2024</v>
      </c>
      <c r="J4" t="s">
        <v>63</v>
      </c>
      <c r="K4">
        <v>3</v>
      </c>
      <c r="L4" s="2" t="d">
        <v>2023-07-31</v>
      </c>
      <c r="M4" s="2" t="d">
        <v>2023-10-29</v>
      </c>
      <c r="N4" t="s">
        <v>467</v>
      </c>
      <c r="O4" t="s">
        <v>467</v>
      </c>
      <c r="P4">
        <v>2023</v>
      </c>
      <c r="Q4" t="s">
        <v>65</v>
      </c>
      <c r="R4" t="s">
        <v>59</v>
      </c>
      <c r="S4" t="s">
        <v>60</v>
      </c>
      <c r="T4" t="s">
        <v>61</v>
      </c>
      <c r="U4">
        <v>18120000000</v>
      </c>
      <c r="V4">
        <v>4720000000</v>
      </c>
      <c r="W4">
        <v>10417000000</v>
      </c>
      <c r="X4">
        <v>2294000000</v>
      </c>
      <c r="Y4">
        <v>1279000000</v>
      </c>
      <c r="Z4">
        <v>10522000000</v>
      </c>
      <c r="AA4" s="9">
        <v>33265000000</v>
      </c>
      <c r="AB4">
        <v>1249000000</v>
      </c>
      <c r="AC4">
        <v>8457000000</v>
      </c>
      <c r="AD4">
        <v>1321000000</v>
      </c>
      <c r="AE4">
        <v>5519000000</v>
      </c>
      <c r="AF4">
        <v>12762000000</v>
      </c>
      <c r="AG4">
        <v>7332000000</v>
      </c>
      <c r="AH4">
        <v>-278000000</v>
      </c>
      <c r="AI4">
        <v>372000000</v>
      </c>
      <c r="AJ4">
        <v>0</v>
      </c>
      <c r="AK4">
        <v>8309000000</v>
      </c>
      <c r="AL4">
        <v>4779000000</v>
      </c>
      <c r="AM4">
        <v>2380000000</v>
      </c>
      <c r="AN4">
        <v>9243000000</v>
      </c>
      <c r="AO4">
        <v>54148000000</v>
      </c>
      <c r="AP4">
        <v>979000000</v>
      </c>
      <c r="AQ4">
        <v>2494000000</v>
      </c>
      <c r="AR4">
        <v>-63000000</v>
      </c>
      <c r="AS4" s="3">
        <v>940750000</v>
      </c>
      <c r="AT4" s="3">
        <v>13750500000</v>
      </c>
      <c r="AU4" s="3">
        <v>1353250000</v>
      </c>
      <c r="AV4" s="3" t="s">
        <v>492</v>
      </c>
      <c r="AW4">
        <v>26196</v>
      </c>
      <c r="BH4" s="3"/>
    </row>
    <row r="5" spans="1:61" x14ac:dyDescent="0.2">
      <c r="A5">
        <v>1</v>
      </c>
      <c r="B5" t="s">
        <v>52</v>
      </c>
      <c r="C5" t="s">
        <v>53</v>
      </c>
      <c r="D5" s="1" t="s">
        <v>54</v>
      </c>
      <c r="E5" t="s">
        <v>66</v>
      </c>
      <c r="F5" t="s">
        <v>67</v>
      </c>
      <c r="G5" s="2" t="d">
        <v>2024-02-21</v>
      </c>
      <c r="H5" s="2" t="d">
        <v>2024-02-21</v>
      </c>
      <c r="I5">
        <v>2024</v>
      </c>
      <c r="J5" t="s">
        <v>65</v>
      </c>
      <c r="K5">
        <v>4</v>
      </c>
      <c r="L5" s="2" t="d">
        <v>2023-10-30</v>
      </c>
      <c r="M5" s="2" t="d">
        <v>2024-01-28</v>
      </c>
      <c r="N5" t="s">
        <v>467</v>
      </c>
      <c r="O5" t="s">
        <v>467</v>
      </c>
      <c r="P5">
        <v>2024</v>
      </c>
      <c r="Q5" t="s">
        <v>57</v>
      </c>
      <c r="R5" t="s">
        <v>59</v>
      </c>
      <c r="T5" t="s">
        <v>61</v>
      </c>
      <c r="U5">
        <v>22103000000</v>
      </c>
      <c r="V5">
        <v>5312000000</v>
      </c>
      <c r="W5">
        <v>13615000000</v>
      </c>
      <c r="X5">
        <v>2466000000</v>
      </c>
      <c r="Y5">
        <v>1820000000</v>
      </c>
      <c r="Z5">
        <v>14106000000</v>
      </c>
      <c r="AA5" s="9">
        <v>42978000000</v>
      </c>
      <c r="AB5">
        <v>1250000000</v>
      </c>
      <c r="AC5">
        <v>8459000000</v>
      </c>
      <c r="AD5">
        <v>1347000000</v>
      </c>
      <c r="AE5">
        <v>7280000000</v>
      </c>
      <c r="AF5">
        <v>18704000000</v>
      </c>
      <c r="AG5">
        <v>11499000000</v>
      </c>
      <c r="AH5">
        <v>-254000000</v>
      </c>
      <c r="AI5">
        <v>387000000</v>
      </c>
      <c r="AJ5">
        <v>0</v>
      </c>
      <c r="AK5">
        <v>9999000000</v>
      </c>
      <c r="AL5">
        <v>5282000000</v>
      </c>
      <c r="AM5">
        <v>2699000000</v>
      </c>
      <c r="AN5">
        <v>12286000000</v>
      </c>
      <c r="AO5">
        <v>65728000000</v>
      </c>
      <c r="AP5">
        <v>994000000</v>
      </c>
      <c r="AQ5">
        <v>2494000000</v>
      </c>
      <c r="AR5">
        <v>-63000000</v>
      </c>
      <c r="AS5" s="3">
        <v>1064050000</v>
      </c>
      <c r="AT5" s="3">
        <v>15152450000</v>
      </c>
      <c r="AU5" s="3">
        <v>1401950000</v>
      </c>
      <c r="AV5" s="3" t="s">
        <v>492</v>
      </c>
      <c r="AW5">
        <v>29600</v>
      </c>
      <c r="BH5" s="3"/>
      <c r="BI5" s="3"/>
    </row>
    <row r="6" spans="1:61" x14ac:dyDescent="0.2">
      <c r="A6">
        <v>1</v>
      </c>
      <c r="B6" t="s">
        <v>52</v>
      </c>
      <c r="C6" t="s">
        <v>53</v>
      </c>
      <c r="D6" s="1" t="s">
        <v>54</v>
      </c>
      <c r="E6" t="s">
        <v>55</v>
      </c>
      <c r="F6" t="s">
        <v>68</v>
      </c>
      <c r="G6" s="2" t="d">
        <v>2024-05-29</v>
      </c>
      <c r="H6" s="2" t="d">
        <v>2024-05-29</v>
      </c>
      <c r="I6">
        <v>2025</v>
      </c>
      <c r="J6" t="s">
        <v>57</v>
      </c>
      <c r="K6">
        <v>5</v>
      </c>
      <c r="L6" s="2" t="d">
        <v>2024-01-29</v>
      </c>
      <c r="M6" s="2" t="d">
        <v>2024-04-28</v>
      </c>
      <c r="N6" t="s">
        <v>468</v>
      </c>
      <c r="O6" t="s">
        <v>468</v>
      </c>
      <c r="P6">
        <v>2024</v>
      </c>
      <c r="Q6" t="s">
        <v>58</v>
      </c>
      <c r="R6" t="s">
        <v>59</v>
      </c>
      <c r="T6" t="s">
        <v>61</v>
      </c>
      <c r="U6">
        <v>26044000000</v>
      </c>
      <c r="V6">
        <v>5638000000</v>
      </c>
      <c r="W6">
        <v>16909000000</v>
      </c>
      <c r="X6">
        <v>2720000000</v>
      </c>
      <c r="Y6">
        <v>2398000000</v>
      </c>
      <c r="Z6">
        <v>17279000000</v>
      </c>
      <c r="AA6" s="9">
        <v>49142000000</v>
      </c>
      <c r="AB6">
        <v>1250000000</v>
      </c>
      <c r="AC6">
        <v>8460000000</v>
      </c>
      <c r="AD6">
        <v>1527000000</v>
      </c>
      <c r="AE6">
        <v>7587000000</v>
      </c>
      <c r="AF6">
        <v>23851000000</v>
      </c>
      <c r="AG6">
        <v>15345000000</v>
      </c>
      <c r="AH6">
        <v>-369000000</v>
      </c>
      <c r="AI6">
        <v>410000000</v>
      </c>
      <c r="AJ6">
        <v>-39000000</v>
      </c>
      <c r="AK6">
        <v>12365000000</v>
      </c>
      <c r="AL6">
        <v>5864000000</v>
      </c>
      <c r="AM6">
        <v>2715000000</v>
      </c>
      <c r="AN6">
        <v>14881000000</v>
      </c>
      <c r="AO6">
        <v>77072000000</v>
      </c>
      <c r="AP6">
        <v>1011000000</v>
      </c>
      <c r="AQ6">
        <v>2489000000</v>
      </c>
      <c r="AR6">
        <v>-64000000</v>
      </c>
      <c r="AS6" s="3">
        <v>1200050000</v>
      </c>
      <c r="AT6" s="3">
        <v>16672400000</v>
      </c>
      <c r="AU6" s="3">
        <v>1519950000</v>
      </c>
      <c r="AV6" s="3" t="s">
        <v>492</v>
      </c>
      <c r="AW6">
        <v>29600</v>
      </c>
      <c r="BH6" s="3"/>
      <c r="BI6" s="3"/>
    </row>
    <row r="7" spans="1:61" x14ac:dyDescent="0.2">
      <c r="A7">
        <v>1</v>
      </c>
      <c r="B7" t="s">
        <v>52</v>
      </c>
      <c r="C7" t="s">
        <v>53</v>
      </c>
      <c r="D7" s="1" t="s">
        <v>54</v>
      </c>
      <c r="E7" t="s">
        <v>55</v>
      </c>
      <c r="F7" t="s">
        <v>69</v>
      </c>
      <c r="G7" s="2" t="d">
        <v>2024-08-28</v>
      </c>
      <c r="H7" s="2" t="d">
        <v>2024-08-28</v>
      </c>
      <c r="I7">
        <v>2025</v>
      </c>
      <c r="J7" t="s">
        <v>58</v>
      </c>
      <c r="K7">
        <v>6</v>
      </c>
      <c r="L7" s="2" t="d">
        <v>2024-04-29</v>
      </c>
      <c r="M7" s="2" t="d">
        <v>2024-07-28</v>
      </c>
      <c r="N7" t="s">
        <v>467</v>
      </c>
      <c r="O7" t="s">
        <v>467</v>
      </c>
      <c r="P7">
        <v>2024</v>
      </c>
      <c r="Q7" t="s">
        <v>63</v>
      </c>
      <c r="R7" t="s">
        <v>59</v>
      </c>
      <c r="T7" t="s">
        <v>61</v>
      </c>
      <c r="U7">
        <v>30040000000</v>
      </c>
      <c r="V7">
        <v>7466000000</v>
      </c>
      <c r="W7">
        <v>18642000000</v>
      </c>
      <c r="X7">
        <v>3090000000</v>
      </c>
      <c r="Y7">
        <v>2615000000</v>
      </c>
      <c r="Z7">
        <v>19214000000</v>
      </c>
      <c r="AA7" s="9">
        <v>58157000000</v>
      </c>
      <c r="AB7">
        <v>0</v>
      </c>
      <c r="AC7">
        <v>8461000000</v>
      </c>
      <c r="AD7">
        <v>1554000000</v>
      </c>
      <c r="AE7">
        <v>8563000000</v>
      </c>
      <c r="AF7">
        <v>26237000000</v>
      </c>
      <c r="AG7">
        <v>14488000000</v>
      </c>
      <c r="AH7">
        <v>-977000000</v>
      </c>
      <c r="AI7">
        <v>433000000</v>
      </c>
      <c r="AJ7">
        <v>-278000000</v>
      </c>
      <c r="AK7">
        <v>14132000000</v>
      </c>
      <c r="AL7">
        <v>6675000000</v>
      </c>
      <c r="AM7">
        <v>3680000000</v>
      </c>
      <c r="AN7">
        <v>16599000000</v>
      </c>
      <c r="AO7">
        <v>85227000000</v>
      </c>
      <c r="AP7">
        <v>1153000000</v>
      </c>
      <c r="AQ7">
        <v>24848000000</v>
      </c>
      <c r="AR7">
        <v>-61000000</v>
      </c>
      <c r="AS7" s="3">
        <v>1354550000</v>
      </c>
      <c r="AT7" s="3">
        <v>18407850000</v>
      </c>
      <c r="AU7" s="3">
        <v>1735450000</v>
      </c>
      <c r="AV7" s="3" t="s">
        <v>492</v>
      </c>
      <c r="AW7">
        <v>29600</v>
      </c>
      <c r="BH7" s="3"/>
      <c r="BI7" s="3"/>
    </row>
    <row r="8" spans="1:61" x14ac:dyDescent="0.2">
      <c r="A8">
        <v>1</v>
      </c>
      <c r="B8" t="s">
        <v>52</v>
      </c>
      <c r="C8" t="s">
        <v>53</v>
      </c>
      <c r="D8" s="1" t="s">
        <v>54</v>
      </c>
      <c r="E8" t="s">
        <v>55</v>
      </c>
      <c r="F8" t="s">
        <v>70</v>
      </c>
      <c r="G8" s="2" t="d">
        <v>2024-11-20</v>
      </c>
      <c r="H8" s="2" t="d">
        <v>2024-11-20</v>
      </c>
      <c r="I8">
        <v>2025</v>
      </c>
      <c r="J8" t="s">
        <v>63</v>
      </c>
      <c r="K8">
        <v>7</v>
      </c>
      <c r="L8" s="2" t="d">
        <v>2024-07-29</v>
      </c>
      <c r="M8" s="2" t="d">
        <v>2024-10-27</v>
      </c>
      <c r="N8" t="s">
        <v>467</v>
      </c>
      <c r="O8" t="s">
        <v>467</v>
      </c>
      <c r="P8">
        <v>2024</v>
      </c>
      <c r="Q8" t="s">
        <v>65</v>
      </c>
      <c r="R8" t="s">
        <v>59</v>
      </c>
      <c r="T8" t="s">
        <v>61</v>
      </c>
      <c r="U8">
        <v>35082000000</v>
      </c>
      <c r="V8">
        <v>8926000000</v>
      </c>
      <c r="W8">
        <v>21869000000</v>
      </c>
      <c r="X8">
        <v>3390000000</v>
      </c>
      <c r="Y8">
        <v>3007000000</v>
      </c>
      <c r="Z8">
        <v>22316000000</v>
      </c>
      <c r="AA8" s="9">
        <v>65899000000</v>
      </c>
      <c r="AB8">
        <v>0</v>
      </c>
      <c r="AC8">
        <v>8462000000</v>
      </c>
      <c r="AD8">
        <v>1763000000</v>
      </c>
      <c r="AE8">
        <v>9107000000</v>
      </c>
      <c r="AF8">
        <v>29380000000</v>
      </c>
      <c r="AG8">
        <v>17627000000</v>
      </c>
      <c r="AH8">
        <v>-813000000</v>
      </c>
      <c r="AI8">
        <v>478000000</v>
      </c>
      <c r="AJ8">
        <v>-148000000</v>
      </c>
      <c r="AK8">
        <v>17693000000</v>
      </c>
      <c r="AL8">
        <v>7654000000</v>
      </c>
      <c r="AM8">
        <v>5353000000</v>
      </c>
      <c r="AN8">
        <v>19309000000</v>
      </c>
      <c r="AO8">
        <v>96013000000</v>
      </c>
      <c r="AP8">
        <v>1252000000</v>
      </c>
      <c r="AQ8">
        <v>24774000000</v>
      </c>
      <c r="AR8">
        <v>-61000000</v>
      </c>
      <c r="AS8" s="3">
        <v>1524050000</v>
      </c>
      <c r="AT8" s="3">
        <v>20273800000</v>
      </c>
      <c r="AU8" s="3">
        <v>1865950000</v>
      </c>
      <c r="AV8" s="3" t="s">
        <v>492</v>
      </c>
      <c r="AW8">
        <v>29600</v>
      </c>
      <c r="BH8" s="3"/>
      <c r="BI8" s="3"/>
    </row>
    <row r="9" spans="1:61" x14ac:dyDescent="0.2">
      <c r="A9">
        <v>1</v>
      </c>
      <c r="B9" t="s">
        <v>52</v>
      </c>
      <c r="C9" t="s">
        <v>53</v>
      </c>
      <c r="D9" s="1" t="s">
        <v>54</v>
      </c>
      <c r="E9" t="s">
        <v>66</v>
      </c>
      <c r="F9" t="s">
        <v>71</v>
      </c>
      <c r="G9" s="2" t="d">
        <v>2025-02-26</v>
      </c>
      <c r="H9" s="2" t="d">
        <v>2025-02-26</v>
      </c>
      <c r="I9">
        <v>2025</v>
      </c>
      <c r="J9" t="s">
        <v>65</v>
      </c>
      <c r="K9">
        <v>8</v>
      </c>
      <c r="L9" s="2" t="d">
        <v>2024-10-28</v>
      </c>
      <c r="M9" s="2" t="d">
        <v>2025-01-26</v>
      </c>
      <c r="N9" t="s">
        <v>467</v>
      </c>
      <c r="O9" t="s">
        <v>467</v>
      </c>
      <c r="P9">
        <v>2025</v>
      </c>
      <c r="Q9" t="s">
        <v>57</v>
      </c>
      <c r="R9" t="s">
        <v>59</v>
      </c>
      <c r="T9" t="s">
        <v>61</v>
      </c>
      <c r="U9">
        <v>39331000000</v>
      </c>
      <c r="V9">
        <v>10609000000</v>
      </c>
      <c r="W9">
        <v>24033000000</v>
      </c>
      <c r="X9">
        <v>3714000000</v>
      </c>
      <c r="Y9">
        <v>3126000000</v>
      </c>
      <c r="Z9">
        <v>25217000000</v>
      </c>
      <c r="AA9" s="9">
        <v>79327000000</v>
      </c>
      <c r="AB9">
        <v>0</v>
      </c>
      <c r="AC9">
        <v>8463000000</v>
      </c>
      <c r="AD9">
        <v>1807000000</v>
      </c>
      <c r="AE9">
        <v>8589000000</v>
      </c>
      <c r="AF9">
        <v>34621000000</v>
      </c>
      <c r="AG9">
        <v>16629000000</v>
      </c>
      <c r="AH9">
        <v>-1077000000</v>
      </c>
      <c r="AI9">
        <v>543000000</v>
      </c>
      <c r="AJ9">
        <v>-542000000</v>
      </c>
      <c r="AK9">
        <v>23065000000</v>
      </c>
      <c r="AL9">
        <v>10080000000</v>
      </c>
      <c r="AM9">
        <v>6310000000</v>
      </c>
      <c r="AN9">
        <v>22091000000</v>
      </c>
      <c r="AO9">
        <v>111601000000</v>
      </c>
      <c r="AP9">
        <v>1321000000</v>
      </c>
      <c r="AQ9">
        <v>24804000000</v>
      </c>
      <c r="AR9">
        <v>-61000000</v>
      </c>
      <c r="AS9" s="3">
        <v>1709750000</v>
      </c>
      <c r="AT9" s="3">
        <v>22278050000</v>
      </c>
      <c r="AU9" s="3">
        <v>2004250000</v>
      </c>
      <c r="AV9" s="3" t="s">
        <v>492</v>
      </c>
      <c r="AW9">
        <v>36000</v>
      </c>
      <c r="BH9" s="3"/>
      <c r="BI9" s="3"/>
    </row>
    <row r="10" spans="1:61" x14ac:dyDescent="0.2">
      <c r="A10">
        <v>1</v>
      </c>
      <c r="B10" t="s">
        <v>52</v>
      </c>
      <c r="C10" t="s">
        <v>53</v>
      </c>
      <c r="D10" s="1" t="s">
        <v>54</v>
      </c>
      <c r="E10" t="s">
        <v>55</v>
      </c>
      <c r="F10" t="s">
        <v>72</v>
      </c>
      <c r="G10" s="2" t="d">
        <v>2025-05-28</v>
      </c>
      <c r="H10" s="2" t="d">
        <v>2025-05-28</v>
      </c>
      <c r="I10">
        <v>2026</v>
      </c>
      <c r="J10" t="s">
        <v>57</v>
      </c>
      <c r="K10">
        <v>9</v>
      </c>
      <c r="L10" s="2" t="d">
        <v>2025-01-27</v>
      </c>
      <c r="M10" s="2" t="d">
        <v>2025-04-27</v>
      </c>
      <c r="N10" t="s">
        <v>468</v>
      </c>
      <c r="O10" t="s">
        <v>468</v>
      </c>
      <c r="P10">
        <v>2025</v>
      </c>
      <c r="Q10" t="s">
        <v>58</v>
      </c>
      <c r="R10" t="s">
        <v>59</v>
      </c>
      <c r="T10" t="s">
        <v>61</v>
      </c>
      <c r="U10">
        <v>44062000000</v>
      </c>
      <c r="V10">
        <v>17394000000</v>
      </c>
      <c r="W10">
        <v>21638000000</v>
      </c>
      <c r="X10">
        <v>3989000000</v>
      </c>
      <c r="Y10">
        <v>3135000000</v>
      </c>
      <c r="Z10">
        <v>21910000000</v>
      </c>
      <c r="AA10" s="9">
        <v>83843000000</v>
      </c>
      <c r="AB10">
        <v>0</v>
      </c>
      <c r="AC10">
        <v>8464000000</v>
      </c>
      <c r="AD10">
        <v>1821000000</v>
      </c>
      <c r="AE10">
        <v>15234000000</v>
      </c>
      <c r="AF10">
        <v>38457000000</v>
      </c>
      <c r="AG10">
        <v>27414000000</v>
      </c>
      <c r="AH10">
        <v>-1227000000</v>
      </c>
      <c r="AI10">
        <v>611000000</v>
      </c>
      <c r="AJ10">
        <v>-383000000</v>
      </c>
      <c r="AK10">
        <v>22132000000</v>
      </c>
      <c r="AL10">
        <v>11333000000</v>
      </c>
      <c r="AM10">
        <v>7331000000</v>
      </c>
      <c r="AN10">
        <v>18775000000</v>
      </c>
      <c r="AO10">
        <v>125254000000</v>
      </c>
      <c r="AP10">
        <v>1474000000</v>
      </c>
      <c r="AQ10">
        <v>24611000000</v>
      </c>
      <c r="AR10">
        <v>-63000000</v>
      </c>
      <c r="AS10" s="3">
        <v>1909200000</v>
      </c>
      <c r="AT10" s="3">
        <v>24357850000</v>
      </c>
      <c r="AU10" s="3">
        <v>2079800000</v>
      </c>
      <c r="AV10" s="3" t="s">
        <v>492</v>
      </c>
      <c r="AW10">
        <v>36000</v>
      </c>
      <c r="BH10" s="3"/>
      <c r="BI10" s="3"/>
    </row>
    <row r="11" spans="1:61" x14ac:dyDescent="0.2">
      <c r="A11">
        <v>1</v>
      </c>
      <c r="B11" t="s">
        <v>52</v>
      </c>
      <c r="C11" t="s">
        <v>53</v>
      </c>
      <c r="D11" s="1" t="s">
        <v>54</v>
      </c>
      <c r="E11" t="s">
        <v>55</v>
      </c>
      <c r="F11" t="s">
        <v>73</v>
      </c>
      <c r="G11" s="2" t="d">
        <v>2025-08-27</v>
      </c>
      <c r="H11" s="2" t="d">
        <v>2025-08-27</v>
      </c>
      <c r="I11">
        <v>2026</v>
      </c>
      <c r="J11" t="s">
        <v>58</v>
      </c>
      <c r="K11">
        <v>10</v>
      </c>
      <c r="L11" s="2" t="d">
        <v>2025-04-28</v>
      </c>
      <c r="M11" s="2" t="d">
        <v>2025-07-27</v>
      </c>
      <c r="N11" t="s">
        <v>467</v>
      </c>
      <c r="O11" t="s">
        <v>467</v>
      </c>
      <c r="P11">
        <v>2025</v>
      </c>
      <c r="Q11" t="s">
        <v>63</v>
      </c>
      <c r="R11" t="s">
        <v>59</v>
      </c>
      <c r="T11" t="s">
        <v>61</v>
      </c>
      <c r="U11">
        <v>46743000000</v>
      </c>
      <c r="V11">
        <v>12890000000</v>
      </c>
      <c r="W11">
        <v>28440000000</v>
      </c>
      <c r="X11">
        <v>4291000000</v>
      </c>
      <c r="Y11">
        <v>4784000000</v>
      </c>
      <c r="Z11">
        <v>31206000000</v>
      </c>
      <c r="AA11" s="9">
        <v>100131000000</v>
      </c>
      <c r="AB11">
        <v>0</v>
      </c>
      <c r="AC11">
        <v>8466000000</v>
      </c>
      <c r="AD11">
        <v>2132000000</v>
      </c>
      <c r="AE11">
        <v>11639000000</v>
      </c>
      <c r="AF11">
        <v>45152000000</v>
      </c>
      <c r="AG11">
        <v>15365000000</v>
      </c>
      <c r="AH11">
        <v>-1895000000</v>
      </c>
      <c r="AI11">
        <v>669000000</v>
      </c>
      <c r="AJ11">
        <v>-294000000</v>
      </c>
      <c r="AK11">
        <v>27808000000</v>
      </c>
      <c r="AL11">
        <v>14962000000</v>
      </c>
      <c r="AM11">
        <v>9064000000</v>
      </c>
      <c r="AN11">
        <v>26422000000</v>
      </c>
      <c r="AO11">
        <v>140740000000</v>
      </c>
      <c r="AP11">
        <v>1625000000</v>
      </c>
      <c r="AQ11">
        <v>24532000000</v>
      </c>
      <c r="AR11">
        <v>-62000000</v>
      </c>
      <c r="AS11" s="3">
        <v>2123750000</v>
      </c>
      <c r="AT11" s="3">
        <v>26525100000</v>
      </c>
      <c r="AU11" s="3">
        <v>2167250000</v>
      </c>
      <c r="AV11" s="3" t="s">
        <v>492</v>
      </c>
      <c r="AW11">
        <v>36000</v>
      </c>
      <c r="BH11" s="3"/>
      <c r="BI11" s="3"/>
    </row>
    <row r="12" spans="1:61" x14ac:dyDescent="0.2">
      <c r="A12">
        <v>1</v>
      </c>
      <c r="B12" t="s">
        <v>52</v>
      </c>
      <c r="C12" t="s">
        <v>53</v>
      </c>
      <c r="D12" s="1" t="s">
        <v>54</v>
      </c>
      <c r="E12" t="s">
        <v>55</v>
      </c>
      <c r="F12" t="s">
        <v>74</v>
      </c>
      <c r="G12" s="2" t="d">
        <v>2025-11-19</v>
      </c>
      <c r="H12" s="2" t="d">
        <v>2025-11-19</v>
      </c>
      <c r="I12">
        <v>2026</v>
      </c>
      <c r="J12" t="s">
        <v>63</v>
      </c>
      <c r="K12">
        <v>11</v>
      </c>
      <c r="L12" s="2" t="d">
        <v>2025-07-28</v>
      </c>
      <c r="M12" s="2" t="d">
        <v>2025-10-28</v>
      </c>
      <c r="N12" t="s">
        <v>467</v>
      </c>
      <c r="O12" t="s">
        <v>467</v>
      </c>
      <c r="P12">
        <v>2025</v>
      </c>
      <c r="Q12" t="s">
        <v>65</v>
      </c>
      <c r="R12" t="s">
        <v>59</v>
      </c>
      <c r="T12" t="s">
        <v>61</v>
      </c>
      <c r="U12">
        <v>57006000000</v>
      </c>
      <c r="V12">
        <v>15157000000</v>
      </c>
      <c r="W12">
        <v>36010000000</v>
      </c>
      <c r="X12">
        <v>4705000000</v>
      </c>
      <c r="Y12">
        <v>6026000000</v>
      </c>
      <c r="Z12">
        <v>37936000000</v>
      </c>
      <c r="AA12" s="9">
        <v>118897000000</v>
      </c>
      <c r="AB12">
        <v>999000000</v>
      </c>
      <c r="AC12">
        <v>7468000000</v>
      </c>
      <c r="AD12">
        <v>2355000000</v>
      </c>
      <c r="AE12">
        <v>11486000000</v>
      </c>
      <c r="AF12">
        <v>49122000000</v>
      </c>
      <c r="AG12">
        <v>23751000000</v>
      </c>
      <c r="AH12">
        <v>-1636000000</v>
      </c>
      <c r="AI12">
        <v>751000000</v>
      </c>
      <c r="AJ12">
        <v>-693000000</v>
      </c>
      <c r="AK12">
        <v>33391000000</v>
      </c>
      <c r="AL12">
        <v>19784000000</v>
      </c>
      <c r="AM12">
        <v>8624000000</v>
      </c>
      <c r="AN12">
        <v>31910000000</v>
      </c>
      <c r="AO12">
        <v>161148000000</v>
      </c>
      <c r="AP12">
        <v>1654000000</v>
      </c>
      <c r="AQ12">
        <v>24483000000</v>
      </c>
      <c r="AR12">
        <v>-61000000</v>
      </c>
      <c r="AS12" s="3">
        <v>2359000000</v>
      </c>
      <c r="AT12" s="3">
        <v>28871100000</v>
      </c>
      <c r="AU12" s="3">
        <v>2346000000</v>
      </c>
      <c r="AV12" s="3" t="s">
        <v>492</v>
      </c>
      <c r="AW12">
        <v>36000</v>
      </c>
      <c r="BH12" s="3"/>
      <c r="BI12" s="3"/>
    </row>
    <row r="13" spans="1:61" x14ac:dyDescent="0.2">
      <c r="A13">
        <v>1</v>
      </c>
      <c r="B13" t="s">
        <v>52</v>
      </c>
      <c r="C13" t="s">
        <v>53</v>
      </c>
      <c r="D13" s="1" t="s">
        <v>54</v>
      </c>
      <c r="E13" t="s">
        <v>66</v>
      </c>
      <c r="F13" t="s">
        <v>75</v>
      </c>
      <c r="G13" s="2" t="d">
        <v>2026-02-25</v>
      </c>
      <c r="H13" s="2" t="d">
        <v>2026-02-25</v>
      </c>
      <c r="I13">
        <v>2026</v>
      </c>
      <c r="J13" t="s">
        <v>65</v>
      </c>
      <c r="K13">
        <v>12</v>
      </c>
      <c r="L13" s="2" t="d">
        <v>2025-10-29</v>
      </c>
      <c r="M13" s="2" t="d">
        <v>2026-01-25</v>
      </c>
      <c r="N13" t="s">
        <v>467</v>
      </c>
      <c r="O13" t="s">
        <v>467</v>
      </c>
      <c r="P13">
        <v>2026</v>
      </c>
      <c r="Q13" t="s">
        <v>57</v>
      </c>
      <c r="R13" t="s">
        <v>59</v>
      </c>
      <c r="S13" t="s">
        <v>76</v>
      </c>
      <c r="T13" t="s">
        <v>61</v>
      </c>
      <c r="U13">
        <v>68127000000</v>
      </c>
      <c r="V13">
        <v>17034000000</v>
      </c>
      <c r="W13">
        <v>44299000000</v>
      </c>
      <c r="X13">
        <v>5512000000</v>
      </c>
      <c r="Y13">
        <v>7438000000</v>
      </c>
      <c r="Z13">
        <v>50398000000</v>
      </c>
      <c r="AA13" s="9">
        <v>157293000000</v>
      </c>
      <c r="AB13">
        <v>999000000</v>
      </c>
      <c r="AC13">
        <v>7469000000</v>
      </c>
      <c r="AD13">
        <v>2944000000</v>
      </c>
      <c r="AE13">
        <v>10605000000</v>
      </c>
      <c r="AF13">
        <v>51951000000</v>
      </c>
      <c r="AG13">
        <v>36188000000</v>
      </c>
      <c r="AH13">
        <v>-1284000000</v>
      </c>
      <c r="AI13">
        <v>812000000</v>
      </c>
      <c r="AJ13">
        <v>-13165000000</v>
      </c>
      <c r="AK13">
        <v>38466000000</v>
      </c>
      <c r="AL13">
        <v>21403000000</v>
      </c>
      <c r="AM13">
        <v>9812000000</v>
      </c>
      <c r="AN13">
        <v>42960000000</v>
      </c>
      <c r="AO13">
        <v>206803000000</v>
      </c>
      <c r="AP13">
        <v>1633000000</v>
      </c>
      <c r="AQ13">
        <v>24514000000</v>
      </c>
      <c r="AR13">
        <v>-73000000</v>
      </c>
      <c r="AS13" s="3">
        <v>2634600000</v>
      </c>
      <c r="AT13" s="3">
        <v>31748500000</v>
      </c>
      <c r="AU13" s="3">
        <v>2877400000</v>
      </c>
      <c r="AV13" s="3" t="s">
        <v>492</v>
      </c>
      <c r="AW13">
        <v>42000</v>
      </c>
      <c r="BH13" s="3"/>
      <c r="BI13" s="3"/>
    </row>
    <row r="14" spans="1:61" x14ac:dyDescent="0.2">
      <c r="A14">
        <v>2</v>
      </c>
      <c r="B14" t="s">
        <v>77</v>
      </c>
      <c r="C14" t="s">
        <v>78</v>
      </c>
      <c r="D14" s="1" t="s">
        <v>437</v>
      </c>
      <c r="E14" t="s">
        <v>55</v>
      </c>
      <c r="F14" t="s">
        <v>79</v>
      </c>
      <c r="G14" s="2" t="d">
        <v>2023-04-28</v>
      </c>
      <c r="H14" s="2" t="d">
        <v>2023-04-28</v>
      </c>
      <c r="I14">
        <v>2023</v>
      </c>
      <c r="J14" t="s">
        <v>57</v>
      </c>
      <c r="K14">
        <v>1</v>
      </c>
      <c r="L14" s="2" t="d">
        <v>2023-01-01</v>
      </c>
      <c r="M14" s="2" t="d">
        <v>2023-03-31</v>
      </c>
      <c r="N14" t="s">
        <v>468</v>
      </c>
      <c r="O14" t="s">
        <v>468</v>
      </c>
      <c r="P14">
        <v>2023</v>
      </c>
      <c r="Q14" t="s">
        <v>57</v>
      </c>
      <c r="R14" t="s">
        <v>59</v>
      </c>
      <c r="S14" t="s">
        <v>80</v>
      </c>
      <c r="T14" t="s">
        <v>61</v>
      </c>
      <c r="U14">
        <v>10247000000</v>
      </c>
      <c r="V14">
        <v>8864000000</v>
      </c>
      <c r="W14">
        <v>713000000</v>
      </c>
      <c r="X14">
        <v>33000000</v>
      </c>
      <c r="Y14">
        <v>167000000</v>
      </c>
      <c r="Z14">
        <v>642000000</v>
      </c>
      <c r="AA14" s="9">
        <v>12735000000</v>
      </c>
      <c r="AB14">
        <v>343000000</v>
      </c>
      <c r="AC14">
        <v>10601000000</v>
      </c>
      <c r="AD14">
        <v>1507000000</v>
      </c>
      <c r="AE14">
        <v>1790000000</v>
      </c>
      <c r="AF14">
        <v>0</v>
      </c>
      <c r="AG14">
        <v>482000000</v>
      </c>
      <c r="AH14">
        <v>-352000000</v>
      </c>
      <c r="AI14">
        <v>396000000</v>
      </c>
      <c r="AJ14">
        <v>-2000000</v>
      </c>
      <c r="AK14">
        <v>3715000000</v>
      </c>
      <c r="AL14">
        <v>5158000000</v>
      </c>
      <c r="AM14">
        <v>3029000000</v>
      </c>
      <c r="AN14">
        <v>474000000</v>
      </c>
      <c r="AO14">
        <v>36255000000</v>
      </c>
      <c r="AP14">
        <v>24000000</v>
      </c>
      <c r="AQ14">
        <v>327000000</v>
      </c>
      <c r="AR14">
        <v>-116000000</v>
      </c>
      <c r="AS14" s="3">
        <v>14050000</v>
      </c>
      <c r="AT14" s="3">
        <v>211150000</v>
      </c>
      <c r="AU14" s="3">
        <v>18950000</v>
      </c>
      <c r="AV14" s="3" t="s">
        <v>473</v>
      </c>
      <c r="AW14">
        <v>19300</v>
      </c>
      <c r="AX14" s="3">
        <v>2023</v>
      </c>
      <c r="AY14" t="s">
        <v>493</v>
      </c>
      <c r="AZ14" s="3">
        <v>-2</v>
      </c>
      <c r="BH14" s="3"/>
      <c r="BI14" s="3"/>
    </row>
    <row r="15" spans="1:61" x14ac:dyDescent="0.2">
      <c r="A15">
        <v>2</v>
      </c>
      <c r="B15" t="s">
        <v>77</v>
      </c>
      <c r="C15" t="s">
        <v>78</v>
      </c>
      <c r="D15" s="1" t="s">
        <v>437</v>
      </c>
      <c r="E15" t="s">
        <v>55</v>
      </c>
      <c r="F15" t="s">
        <v>81</v>
      </c>
      <c r="G15" s="2" t="d">
        <v>2023-08-04</v>
      </c>
      <c r="H15" s="2" t="d">
        <v>2023-08-04</v>
      </c>
      <c r="I15">
        <v>2023</v>
      </c>
      <c r="J15" t="s">
        <v>58</v>
      </c>
      <c r="K15">
        <v>2</v>
      </c>
      <c r="L15" s="2" t="d">
        <v>2023-04-01</v>
      </c>
      <c r="M15" s="2" t="d">
        <v>2023-06-30</v>
      </c>
      <c r="N15" t="s">
        <v>467</v>
      </c>
      <c r="O15" t="s">
        <v>467</v>
      </c>
      <c r="P15">
        <v>2023</v>
      </c>
      <c r="Q15" t="s">
        <v>58</v>
      </c>
      <c r="R15" t="s">
        <v>59</v>
      </c>
      <c r="S15" t="s">
        <v>80</v>
      </c>
      <c r="T15" t="s">
        <v>61</v>
      </c>
      <c r="U15">
        <v>10306000000</v>
      </c>
      <c r="V15">
        <v>8868000000</v>
      </c>
      <c r="W15">
        <v>1011000000</v>
      </c>
      <c r="X15">
        <v>32000000</v>
      </c>
      <c r="Y15">
        <v>188000000</v>
      </c>
      <c r="Z15">
        <v>905000000</v>
      </c>
      <c r="AA15" s="9">
        <v>12945000000</v>
      </c>
      <c r="AB15">
        <v>130000000</v>
      </c>
      <c r="AC15">
        <v>10276000000</v>
      </c>
      <c r="AD15">
        <v>1437000000</v>
      </c>
      <c r="AE15">
        <v>2468000000</v>
      </c>
      <c r="AF15">
        <v>0</v>
      </c>
      <c r="AG15">
        <v>1290000000</v>
      </c>
      <c r="AH15">
        <v>-301000000</v>
      </c>
      <c r="AI15">
        <v>391000000</v>
      </c>
      <c r="AJ15">
        <v>0</v>
      </c>
      <c r="AK15">
        <v>3638000000</v>
      </c>
      <c r="AL15">
        <v>5195000000</v>
      </c>
      <c r="AM15">
        <v>3024000000</v>
      </c>
      <c r="AN15">
        <v>715000000</v>
      </c>
      <c r="AO15">
        <v>36683000000</v>
      </c>
      <c r="AP15">
        <v>24000000</v>
      </c>
      <c r="AQ15">
        <v>326000000</v>
      </c>
      <c r="AR15">
        <v>-115000000</v>
      </c>
      <c r="AS15" s="3">
        <v>15650000</v>
      </c>
      <c r="AT15" s="3">
        <v>227500000</v>
      </c>
      <c r="AU15" s="3">
        <v>16350000</v>
      </c>
      <c r="AV15" s="3" t="s">
        <v>473</v>
      </c>
      <c r="AW15">
        <v>19300</v>
      </c>
      <c r="AZ15">
        <v>2</v>
      </c>
    </row>
    <row r="16" spans="1:61" x14ac:dyDescent="0.2">
      <c r="A16">
        <v>2</v>
      </c>
      <c r="B16" t="s">
        <v>77</v>
      </c>
      <c r="C16" t="s">
        <v>78</v>
      </c>
      <c r="D16" s="1" t="s">
        <v>437</v>
      </c>
      <c r="E16" t="s">
        <v>55</v>
      </c>
      <c r="F16" t="s">
        <v>82</v>
      </c>
      <c r="G16" s="2" t="d">
        <v>2023-10-27</v>
      </c>
      <c r="H16" s="2" t="d">
        <v>2023-10-27</v>
      </c>
      <c r="I16">
        <v>2023</v>
      </c>
      <c r="J16" t="s">
        <v>63</v>
      </c>
      <c r="K16">
        <v>3</v>
      </c>
      <c r="L16" s="2" t="d">
        <v>2023-07-01</v>
      </c>
      <c r="M16" s="2" t="d">
        <v>2023-09-30</v>
      </c>
      <c r="N16" t="s">
        <v>467</v>
      </c>
      <c r="O16" t="s">
        <v>467</v>
      </c>
      <c r="P16">
        <v>2023</v>
      </c>
      <c r="Q16" t="s">
        <v>63</v>
      </c>
      <c r="R16" t="s">
        <v>59</v>
      </c>
      <c r="S16" t="s">
        <v>80</v>
      </c>
      <c r="T16" t="s">
        <v>61</v>
      </c>
      <c r="U16">
        <v>10625000000</v>
      </c>
      <c r="V16">
        <v>9177000000</v>
      </c>
      <c r="W16">
        <v>1014000000</v>
      </c>
      <c r="X16">
        <v>31000000</v>
      </c>
      <c r="Y16">
        <v>153000000</v>
      </c>
      <c r="Z16">
        <v>901000000</v>
      </c>
      <c r="AA16" s="9">
        <v>13219000000</v>
      </c>
      <c r="AB16">
        <v>112000000</v>
      </c>
      <c r="AC16">
        <v>10213000000</v>
      </c>
      <c r="AD16">
        <v>1397000000</v>
      </c>
      <c r="AE16">
        <v>2833000000</v>
      </c>
      <c r="AF16">
        <v>0</v>
      </c>
      <c r="AG16">
        <v>1666000000</v>
      </c>
      <c r="AH16">
        <v>-394000000</v>
      </c>
      <c r="AI16">
        <v>367000000</v>
      </c>
      <c r="AJ16">
        <v>0</v>
      </c>
      <c r="AK16">
        <v>3704000000</v>
      </c>
      <c r="AL16">
        <v>4911000000</v>
      </c>
      <c r="AM16">
        <v>3121000000</v>
      </c>
      <c r="AN16">
        <v>747000000</v>
      </c>
      <c r="AO16">
        <v>36875000000</v>
      </c>
      <c r="AP16">
        <v>23000000</v>
      </c>
      <c r="AQ16">
        <v>325000000</v>
      </c>
      <c r="AR16">
        <v>-125000000</v>
      </c>
      <c r="AS16" s="3">
        <v>17200000</v>
      </c>
      <c r="AT16" s="3">
        <v>241300000</v>
      </c>
      <c r="AU16" s="3">
        <v>13800000</v>
      </c>
      <c r="AV16" s="3" t="s">
        <v>473</v>
      </c>
      <c r="AW16">
        <v>19300</v>
      </c>
      <c r="AZ16">
        <v>0</v>
      </c>
    </row>
    <row r="17" spans="1:54" x14ac:dyDescent="0.2">
      <c r="A17">
        <v>2</v>
      </c>
      <c r="B17" t="s">
        <v>77</v>
      </c>
      <c r="C17" t="s">
        <v>78</v>
      </c>
      <c r="D17" s="1" t="s">
        <v>437</v>
      </c>
      <c r="E17" t="s">
        <v>66</v>
      </c>
      <c r="F17" t="s">
        <v>83</v>
      </c>
      <c r="G17" s="2" t="d">
        <v>2024-02-22</v>
      </c>
      <c r="H17" s="2" t="d">
        <v>2024-02-22</v>
      </c>
      <c r="I17">
        <v>2023</v>
      </c>
      <c r="J17" t="s">
        <v>65</v>
      </c>
      <c r="K17">
        <v>4</v>
      </c>
      <c r="L17" s="2" t="d">
        <v>2023-10-01</v>
      </c>
      <c r="M17" s="2" t="d">
        <v>2023-12-31</v>
      </c>
      <c r="N17" t="s">
        <v>467</v>
      </c>
      <c r="O17" t="s">
        <v>467</v>
      </c>
      <c r="P17">
        <v>2023</v>
      </c>
      <c r="Q17" t="s">
        <v>65</v>
      </c>
      <c r="R17" t="s">
        <v>59</v>
      </c>
      <c r="S17" t="s">
        <v>84</v>
      </c>
      <c r="T17" t="s">
        <v>61</v>
      </c>
      <c r="U17">
        <v>9929000000</v>
      </c>
      <c r="V17">
        <v>8940000000</v>
      </c>
      <c r="W17">
        <v>315000000</v>
      </c>
      <c r="X17">
        <v>34000000</v>
      </c>
      <c r="Y17">
        <v>-7000000</v>
      </c>
      <c r="Z17">
        <v>179000000</v>
      </c>
      <c r="AA17" s="9">
        <v>12944000000</v>
      </c>
      <c r="AB17">
        <v>117000000</v>
      </c>
      <c r="AC17">
        <v>10333000000</v>
      </c>
      <c r="AD17">
        <v>1769000000</v>
      </c>
      <c r="AE17">
        <v>3390000000</v>
      </c>
      <c r="AF17">
        <v>0</v>
      </c>
      <c r="AG17">
        <v>1504000000</v>
      </c>
      <c r="AH17">
        <v>-484000000</v>
      </c>
      <c r="AI17">
        <v>380000000</v>
      </c>
      <c r="AJ17">
        <v>-54000000</v>
      </c>
      <c r="AK17">
        <v>3356000000</v>
      </c>
      <c r="AL17">
        <v>4765000000</v>
      </c>
      <c r="AM17">
        <v>3354000000</v>
      </c>
      <c r="AN17">
        <v>185000000</v>
      </c>
      <c r="AO17">
        <v>37000000000</v>
      </c>
      <c r="AP17">
        <v>20000000</v>
      </c>
      <c r="AQ17">
        <v>326000000</v>
      </c>
      <c r="AR17">
        <v>-121000000</v>
      </c>
      <c r="AS17" s="3">
        <v>18900000</v>
      </c>
      <c r="AT17" s="3">
        <v>256400000</v>
      </c>
      <c r="AU17" s="3">
        <v>15100000</v>
      </c>
      <c r="AV17" s="3" t="s">
        <v>473</v>
      </c>
      <c r="AW17">
        <v>20000</v>
      </c>
      <c r="AZ17">
        <v>0</v>
      </c>
    </row>
    <row r="18" spans="1:54" x14ac:dyDescent="0.2">
      <c r="A18">
        <v>2</v>
      </c>
      <c r="B18" t="s">
        <v>77</v>
      </c>
      <c r="C18" t="s">
        <v>78</v>
      </c>
      <c r="D18" s="1" t="s">
        <v>437</v>
      </c>
      <c r="E18" t="s">
        <v>55</v>
      </c>
      <c r="F18" t="s">
        <v>85</v>
      </c>
      <c r="G18" s="2" t="d">
        <v>2024-04-26</v>
      </c>
      <c r="H18" s="2" t="d">
        <v>2024-04-26</v>
      </c>
      <c r="I18">
        <v>2024</v>
      </c>
      <c r="J18" t="s">
        <v>57</v>
      </c>
      <c r="K18">
        <v>5</v>
      </c>
      <c r="L18" s="2" t="d">
        <v>2024-01-01</v>
      </c>
      <c r="M18" s="2" t="d">
        <v>2024-03-31</v>
      </c>
      <c r="N18" t="s">
        <v>468</v>
      </c>
      <c r="O18" t="s">
        <v>468</v>
      </c>
      <c r="P18">
        <v>2024</v>
      </c>
      <c r="Q18" t="s">
        <v>57</v>
      </c>
      <c r="R18" t="s">
        <v>59</v>
      </c>
      <c r="S18" t="s">
        <v>84</v>
      </c>
      <c r="T18" t="s">
        <v>61</v>
      </c>
      <c r="U18">
        <v>9925000000</v>
      </c>
      <c r="V18">
        <v>8763000000</v>
      </c>
      <c r="W18">
        <v>704000000</v>
      </c>
      <c r="X18">
        <v>32000000</v>
      </c>
      <c r="Y18">
        <v>122000000</v>
      </c>
      <c r="Z18">
        <v>596000000</v>
      </c>
      <c r="AA18" s="9">
        <v>12993000000</v>
      </c>
      <c r="AB18">
        <v>164000000</v>
      </c>
      <c r="AC18">
        <v>11023000000</v>
      </c>
      <c r="AD18">
        <v>1380000000</v>
      </c>
      <c r="AE18">
        <v>2314000000</v>
      </c>
      <c r="AF18">
        <v>0</v>
      </c>
      <c r="AG18">
        <v>-114000000</v>
      </c>
      <c r="AH18">
        <v>-483000000</v>
      </c>
      <c r="AI18">
        <v>365000000</v>
      </c>
      <c r="AJ18">
        <v>0</v>
      </c>
      <c r="AK18">
        <v>4001000000</v>
      </c>
      <c r="AL18">
        <v>4853000000</v>
      </c>
      <c r="AM18">
        <v>3486000000</v>
      </c>
      <c r="AN18">
        <v>473000000</v>
      </c>
      <c r="AO18">
        <v>36624000000</v>
      </c>
      <c r="AP18">
        <v>34000000</v>
      </c>
      <c r="AQ18">
        <v>326000000</v>
      </c>
      <c r="AR18">
        <v>-127000000</v>
      </c>
      <c r="AS18" s="3">
        <v>20500000</v>
      </c>
      <c r="AT18" s="3">
        <v>267900000</v>
      </c>
      <c r="AU18" s="3">
        <v>11500000</v>
      </c>
      <c r="AV18" s="3" t="s">
        <v>473</v>
      </c>
      <c r="AW18">
        <v>20000</v>
      </c>
    </row>
    <row r="19" spans="1:54" x14ac:dyDescent="0.2">
      <c r="A19">
        <v>2</v>
      </c>
      <c r="B19" t="s">
        <v>77</v>
      </c>
      <c r="C19" t="s">
        <v>78</v>
      </c>
      <c r="D19" s="1" t="s">
        <v>437</v>
      </c>
      <c r="E19" t="s">
        <v>55</v>
      </c>
      <c r="F19" t="s">
        <v>86</v>
      </c>
      <c r="G19" s="2" t="d">
        <v>2024-08-02</v>
      </c>
      <c r="H19" s="2" t="d">
        <v>2024-08-02</v>
      </c>
      <c r="I19">
        <v>2024</v>
      </c>
      <c r="J19" t="s">
        <v>58</v>
      </c>
      <c r="K19">
        <v>6</v>
      </c>
      <c r="L19" s="2" t="d">
        <v>2024-04-01</v>
      </c>
      <c r="M19" s="2" t="d">
        <v>2024-06-30</v>
      </c>
      <c r="N19" t="s">
        <v>467</v>
      </c>
      <c r="O19" t="s">
        <v>467</v>
      </c>
      <c r="P19">
        <v>2024</v>
      </c>
      <c r="Q19" t="s">
        <v>58</v>
      </c>
      <c r="R19" t="s">
        <v>59</v>
      </c>
      <c r="S19" t="s">
        <v>84</v>
      </c>
      <c r="T19" t="s">
        <v>61</v>
      </c>
      <c r="U19">
        <v>10558000000</v>
      </c>
      <c r="V19">
        <v>9148000000</v>
      </c>
      <c r="W19">
        <v>970000000</v>
      </c>
      <c r="X19">
        <v>33000000</v>
      </c>
      <c r="Y19">
        <v>249000000</v>
      </c>
      <c r="Z19">
        <v>1174000000</v>
      </c>
      <c r="AA19" s="9">
        <v>13463000000</v>
      </c>
      <c r="AB19">
        <v>166000000</v>
      </c>
      <c r="AC19">
        <v>11017000000</v>
      </c>
      <c r="AD19">
        <v>1363000000</v>
      </c>
      <c r="AE19">
        <v>2839000000</v>
      </c>
      <c r="AF19">
        <v>0</v>
      </c>
      <c r="AG19">
        <v>1348000000</v>
      </c>
      <c r="AH19">
        <v>-484000000</v>
      </c>
      <c r="AI19">
        <v>387000000</v>
      </c>
      <c r="AJ19">
        <v>-512000000</v>
      </c>
      <c r="AK19">
        <v>3855000000</v>
      </c>
      <c r="AL19">
        <v>5073000000</v>
      </c>
      <c r="AM19">
        <v>3557000000</v>
      </c>
      <c r="AN19">
        <v>924000000</v>
      </c>
      <c r="AO19">
        <v>37064000000</v>
      </c>
      <c r="AP19">
        <v>19000000</v>
      </c>
      <c r="AQ19">
        <v>326000000</v>
      </c>
      <c r="AR19">
        <v>-120000000</v>
      </c>
      <c r="AS19" s="3">
        <v>22150000</v>
      </c>
      <c r="AT19" s="3">
        <v>278750000</v>
      </c>
      <c r="AU19" s="3">
        <v>10850000</v>
      </c>
      <c r="AV19" s="3" t="s">
        <v>473</v>
      </c>
      <c r="AW19">
        <v>20000</v>
      </c>
    </row>
    <row r="20" spans="1:54" x14ac:dyDescent="0.2">
      <c r="A20">
        <v>2</v>
      </c>
      <c r="B20" t="s">
        <v>77</v>
      </c>
      <c r="C20" t="s">
        <v>78</v>
      </c>
      <c r="D20" s="1" t="s">
        <v>437</v>
      </c>
      <c r="E20" t="s">
        <v>55</v>
      </c>
      <c r="F20" t="s">
        <v>87</v>
      </c>
      <c r="G20" s="2" t="d">
        <v>2024-11-01</v>
      </c>
      <c r="H20" s="2" t="d">
        <v>2024-11-01</v>
      </c>
      <c r="I20">
        <v>2024</v>
      </c>
      <c r="J20" t="s">
        <v>63</v>
      </c>
      <c r="K20">
        <v>7</v>
      </c>
      <c r="L20" s="2" t="d">
        <v>2024-07-01</v>
      </c>
      <c r="M20" s="2" t="d">
        <v>2024-09-30</v>
      </c>
      <c r="N20" t="s">
        <v>467</v>
      </c>
      <c r="O20" t="s">
        <v>467</v>
      </c>
      <c r="P20">
        <v>2024</v>
      </c>
      <c r="Q20" t="s">
        <v>63</v>
      </c>
      <c r="R20" t="s">
        <v>59</v>
      </c>
      <c r="S20" t="s">
        <v>84</v>
      </c>
      <c r="T20" t="s">
        <v>61</v>
      </c>
      <c r="U20">
        <v>10322000000</v>
      </c>
      <c r="V20">
        <v>9080000000</v>
      </c>
      <c r="W20">
        <v>802000000</v>
      </c>
      <c r="X20">
        <v>31000000</v>
      </c>
      <c r="Y20">
        <v>134000000</v>
      </c>
      <c r="Z20">
        <v>711000000</v>
      </c>
      <c r="AA20" s="9">
        <v>13728000000</v>
      </c>
      <c r="AB20">
        <v>121000000</v>
      </c>
      <c r="AC20">
        <v>11132000000</v>
      </c>
      <c r="AD20">
        <v>1360000000</v>
      </c>
      <c r="AE20">
        <v>2621000000</v>
      </c>
      <c r="AF20">
        <v>0</v>
      </c>
      <c r="AG20">
        <v>670000000</v>
      </c>
      <c r="AH20">
        <v>-368000000</v>
      </c>
      <c r="AI20">
        <v>381000000</v>
      </c>
      <c r="AJ20">
        <v>-27000000</v>
      </c>
      <c r="AK20">
        <v>3682000000</v>
      </c>
      <c r="AL20">
        <v>5261000000</v>
      </c>
      <c r="AM20">
        <v>3063000000</v>
      </c>
      <c r="AN20">
        <v>573000000</v>
      </c>
      <c r="AO20">
        <v>37263000000</v>
      </c>
      <c r="AP20">
        <v>18000000</v>
      </c>
      <c r="AQ20">
        <v>326000000</v>
      </c>
      <c r="AR20">
        <v>-118000000</v>
      </c>
      <c r="AS20" s="3">
        <v>23700000</v>
      </c>
      <c r="AT20" s="3">
        <v>286050000</v>
      </c>
      <c r="AU20" s="3">
        <v>7300000</v>
      </c>
      <c r="AV20" s="3" t="s">
        <v>473</v>
      </c>
      <c r="AW20">
        <v>20000</v>
      </c>
    </row>
    <row r="21" spans="1:54" x14ac:dyDescent="0.2">
      <c r="A21">
        <v>2</v>
      </c>
      <c r="B21" t="s">
        <v>77</v>
      </c>
      <c r="C21" t="s">
        <v>78</v>
      </c>
      <c r="D21" s="1" t="s">
        <v>437</v>
      </c>
      <c r="E21" t="s">
        <v>66</v>
      </c>
      <c r="F21" t="s">
        <v>88</v>
      </c>
      <c r="G21" s="2" t="d">
        <v>2025-02-27</v>
      </c>
      <c r="H21" s="2" t="d">
        <v>2025-02-27</v>
      </c>
      <c r="I21">
        <v>2024</v>
      </c>
      <c r="J21" t="s">
        <v>65</v>
      </c>
      <c r="K21">
        <v>8</v>
      </c>
      <c r="L21" s="2" t="d">
        <v>2024-10-01</v>
      </c>
      <c r="M21" s="2" t="d">
        <v>2024-12-31</v>
      </c>
      <c r="N21" t="s">
        <v>467</v>
      </c>
      <c r="O21" t="s">
        <v>467</v>
      </c>
      <c r="P21">
        <v>2024</v>
      </c>
      <c r="Q21" t="s">
        <v>65</v>
      </c>
      <c r="R21" t="s">
        <v>59</v>
      </c>
      <c r="S21" t="s">
        <v>84</v>
      </c>
      <c r="T21" t="s">
        <v>61</v>
      </c>
      <c r="U21">
        <v>9497000000</v>
      </c>
      <c r="V21">
        <v>8747000000</v>
      </c>
      <c r="W21">
        <v>-659000000</v>
      </c>
      <c r="X21">
        <v>39000000</v>
      </c>
      <c r="Y21">
        <v>-265000000</v>
      </c>
      <c r="Z21">
        <v>-878000000</v>
      </c>
      <c r="AA21" s="9">
        <v>12474000000</v>
      </c>
      <c r="AB21">
        <v>119000000</v>
      </c>
      <c r="AC21">
        <v>10532000000</v>
      </c>
      <c r="AD21">
        <v>1774000000</v>
      </c>
      <c r="AE21">
        <v>3375000000</v>
      </c>
      <c r="AF21">
        <v>0</v>
      </c>
      <c r="AG21">
        <v>1915000000</v>
      </c>
      <c r="AH21">
        <v>-504000000</v>
      </c>
      <c r="AI21">
        <v>389000000</v>
      </c>
      <c r="AJ21">
        <v>-12000000</v>
      </c>
      <c r="AK21">
        <v>3121000000</v>
      </c>
      <c r="AL21">
        <v>4658000000</v>
      </c>
      <c r="AM21">
        <v>3220000000</v>
      </c>
      <c r="AN21">
        <v>-603000000</v>
      </c>
      <c r="AO21">
        <v>35746000000</v>
      </c>
      <c r="AP21">
        <v>20000000</v>
      </c>
      <c r="AQ21">
        <v>326000000</v>
      </c>
      <c r="AR21">
        <v>-116000000</v>
      </c>
      <c r="AS21" s="3">
        <v>25650000</v>
      </c>
      <c r="AT21" s="3">
        <v>299400000</v>
      </c>
      <c r="AU21" s="3">
        <v>13350000</v>
      </c>
      <c r="AV21" s="3" t="s">
        <v>473</v>
      </c>
      <c r="AW21">
        <v>20000</v>
      </c>
    </row>
    <row r="22" spans="1:54" x14ac:dyDescent="0.2">
      <c r="A22">
        <v>2</v>
      </c>
      <c r="B22" t="s">
        <v>77</v>
      </c>
      <c r="C22" t="s">
        <v>78</v>
      </c>
      <c r="D22" s="1" t="s">
        <v>437</v>
      </c>
      <c r="E22" t="s">
        <v>55</v>
      </c>
      <c r="F22" t="s">
        <v>89</v>
      </c>
      <c r="G22" s="2" t="d">
        <v>2025-04-25</v>
      </c>
      <c r="H22" s="2" t="d">
        <v>2025-04-25</v>
      </c>
      <c r="I22">
        <v>2025</v>
      </c>
      <c r="J22" t="s">
        <v>57</v>
      </c>
      <c r="K22">
        <v>9</v>
      </c>
      <c r="L22" s="2" t="d">
        <v>2025-01-01</v>
      </c>
      <c r="M22" s="2" t="d">
        <v>2025-03-31</v>
      </c>
      <c r="N22" t="s">
        <v>468</v>
      </c>
      <c r="O22" t="s">
        <v>468</v>
      </c>
      <c r="P22">
        <v>2025</v>
      </c>
      <c r="Q22" t="s">
        <v>57</v>
      </c>
      <c r="R22" t="s">
        <v>59</v>
      </c>
      <c r="S22" t="s">
        <v>84</v>
      </c>
      <c r="T22" t="s">
        <v>61</v>
      </c>
      <c r="U22">
        <v>7677000000</v>
      </c>
      <c r="V22">
        <v>7128000000</v>
      </c>
      <c r="W22">
        <v>114000000</v>
      </c>
      <c r="X22">
        <v>34000000</v>
      </c>
      <c r="Y22">
        <v>36000000</v>
      </c>
      <c r="Z22">
        <v>59000000</v>
      </c>
      <c r="AA22" s="9">
        <v>12221000000</v>
      </c>
      <c r="AB22">
        <v>120000000</v>
      </c>
      <c r="AC22">
        <v>10605000000</v>
      </c>
      <c r="AD22">
        <v>1444000000</v>
      </c>
      <c r="AE22">
        <v>1867000000</v>
      </c>
      <c r="AF22">
        <v>0</v>
      </c>
      <c r="AG22">
        <v>-579000000</v>
      </c>
      <c r="AH22">
        <v>-483000000</v>
      </c>
      <c r="AI22">
        <v>323000000</v>
      </c>
      <c r="AJ22">
        <v>0</v>
      </c>
      <c r="AK22">
        <v>3558000000</v>
      </c>
      <c r="AL22">
        <v>4930000000</v>
      </c>
      <c r="AM22">
        <v>3123000000</v>
      </c>
      <c r="AN22">
        <v>177000000</v>
      </c>
      <c r="AO22">
        <v>35189000000</v>
      </c>
      <c r="AP22">
        <v>35000000</v>
      </c>
      <c r="AQ22">
        <v>324000000</v>
      </c>
      <c r="AR22">
        <v>-107000000</v>
      </c>
      <c r="AS22" s="3">
        <v>27350000</v>
      </c>
      <c r="AT22" s="3">
        <v>306050000</v>
      </c>
      <c r="AU22" s="3">
        <v>6650000</v>
      </c>
      <c r="AV22" s="3" t="s">
        <v>473</v>
      </c>
      <c r="AW22">
        <v>20000</v>
      </c>
    </row>
    <row r="23" spans="1:54" x14ac:dyDescent="0.2">
      <c r="A23">
        <v>2</v>
      </c>
      <c r="B23" t="s">
        <v>77</v>
      </c>
      <c r="C23" t="s">
        <v>78</v>
      </c>
      <c r="D23" s="1" t="s">
        <v>437</v>
      </c>
      <c r="E23" t="s">
        <v>55</v>
      </c>
      <c r="F23" t="s">
        <v>90</v>
      </c>
      <c r="G23" s="2" t="d">
        <v>2025-08-01</v>
      </c>
      <c r="H23" s="2" t="d">
        <v>2025-08-01</v>
      </c>
      <c r="I23">
        <v>2025</v>
      </c>
      <c r="J23" t="s">
        <v>58</v>
      </c>
      <c r="K23">
        <v>10</v>
      </c>
      <c r="L23" s="2" t="d">
        <v>2025-04-01</v>
      </c>
      <c r="M23" s="2" t="d">
        <v>2025-06-30</v>
      </c>
      <c r="N23" t="s">
        <v>467</v>
      </c>
      <c r="O23" t="s">
        <v>467</v>
      </c>
      <c r="P23">
        <v>2025</v>
      </c>
      <c r="Q23" t="s">
        <v>58</v>
      </c>
      <c r="R23" t="s">
        <v>59</v>
      </c>
      <c r="S23" t="s">
        <v>84</v>
      </c>
      <c r="T23" t="s">
        <v>61</v>
      </c>
      <c r="U23">
        <v>7658000000</v>
      </c>
      <c r="V23">
        <v>6871000000</v>
      </c>
      <c r="W23">
        <v>285000000</v>
      </c>
      <c r="X23">
        <v>35000000</v>
      </c>
      <c r="Y23">
        <v>69000000</v>
      </c>
      <c r="Z23">
        <v>224000000</v>
      </c>
      <c r="AA23" s="9">
        <v>11921000000</v>
      </c>
      <c r="AB23">
        <v>119000000</v>
      </c>
      <c r="AC23">
        <v>11211000000</v>
      </c>
      <c r="AD23">
        <v>1407000000</v>
      </c>
      <c r="AE23">
        <v>1700000000</v>
      </c>
      <c r="AF23">
        <v>0</v>
      </c>
      <c r="AG23">
        <v>351000000</v>
      </c>
      <c r="AH23">
        <v>-539000000</v>
      </c>
      <c r="AI23">
        <v>332000000</v>
      </c>
      <c r="AJ23">
        <v>-8000000</v>
      </c>
      <c r="AK23">
        <v>3083000000</v>
      </c>
      <c r="AL23">
        <v>4568000000</v>
      </c>
      <c r="AM23">
        <v>2630000000</v>
      </c>
      <c r="AN23">
        <v>115000000</v>
      </c>
      <c r="AO23">
        <v>35352000000</v>
      </c>
      <c r="AP23">
        <v>20000000</v>
      </c>
      <c r="AQ23">
        <v>322000000</v>
      </c>
      <c r="AR23">
        <v>-118000000</v>
      </c>
      <c r="AS23" s="3">
        <v>29100000</v>
      </c>
      <c r="AT23" s="3">
        <v>311950000</v>
      </c>
      <c r="AU23" s="3">
        <v>5900000</v>
      </c>
      <c r="AV23" s="3" t="s">
        <v>473</v>
      </c>
      <c r="AW23">
        <v>20000</v>
      </c>
    </row>
    <row r="24" spans="1:54" x14ac:dyDescent="0.2">
      <c r="A24">
        <v>2</v>
      </c>
      <c r="B24" t="s">
        <v>77</v>
      </c>
      <c r="C24" t="s">
        <v>78</v>
      </c>
      <c r="D24" s="1" t="s">
        <v>437</v>
      </c>
      <c r="E24" t="s">
        <v>55</v>
      </c>
      <c r="F24" t="s">
        <v>91</v>
      </c>
      <c r="G24" s="2" t="d">
        <v>2025-10-31</v>
      </c>
      <c r="H24" s="2" t="d">
        <v>2025-10-31</v>
      </c>
      <c r="I24">
        <v>2025</v>
      </c>
      <c r="J24" t="s">
        <v>63</v>
      </c>
      <c r="K24">
        <v>11</v>
      </c>
      <c r="L24" s="2" t="d">
        <v>2025-07-01</v>
      </c>
      <c r="M24" s="2" t="d">
        <v>2025-09-30</v>
      </c>
      <c r="N24" t="s">
        <v>467</v>
      </c>
      <c r="O24" t="s">
        <v>467</v>
      </c>
      <c r="P24">
        <v>2025</v>
      </c>
      <c r="Q24" t="s">
        <v>63</v>
      </c>
      <c r="R24" t="s">
        <v>59</v>
      </c>
      <c r="S24" t="s">
        <v>84</v>
      </c>
      <c r="T24" t="s">
        <v>61</v>
      </c>
      <c r="U24">
        <v>7727000000</v>
      </c>
      <c r="V24">
        <v>6821000000</v>
      </c>
      <c r="W24">
        <v>-731000000</v>
      </c>
      <c r="X24">
        <v>34000000</v>
      </c>
      <c r="Y24">
        <v>-27000000</v>
      </c>
      <c r="Z24">
        <v>-856000000</v>
      </c>
      <c r="AA24" s="9">
        <v>10610000000</v>
      </c>
      <c r="AB24">
        <v>137000000</v>
      </c>
      <c r="AC24">
        <v>10640000000</v>
      </c>
      <c r="AD24">
        <v>1360000000</v>
      </c>
      <c r="AE24">
        <v>1784000000</v>
      </c>
      <c r="AF24">
        <v>0</v>
      </c>
      <c r="AG24">
        <v>983000000</v>
      </c>
      <c r="AH24">
        <v>-406000000</v>
      </c>
      <c r="AI24">
        <v>350000000</v>
      </c>
      <c r="AJ24">
        <v>-3000000</v>
      </c>
      <c r="AK24">
        <v>2822000000</v>
      </c>
      <c r="AL24">
        <v>4409000000</v>
      </c>
      <c r="AM24">
        <v>2428000000</v>
      </c>
      <c r="AN24">
        <v>-890000000</v>
      </c>
      <c r="AO24">
        <v>33787000000</v>
      </c>
      <c r="AP24">
        <v>15000000</v>
      </c>
      <c r="AQ24">
        <v>322000000</v>
      </c>
      <c r="AR24">
        <v>-130000000</v>
      </c>
      <c r="AS24" s="3">
        <v>30800000</v>
      </c>
      <c r="AT24" s="3">
        <v>315150000</v>
      </c>
      <c r="AU24" s="3">
        <v>3200000</v>
      </c>
      <c r="AV24" s="3" t="s">
        <v>473</v>
      </c>
      <c r="AW24">
        <v>20000</v>
      </c>
    </row>
    <row r="25" spans="1:54" x14ac:dyDescent="0.2">
      <c r="A25">
        <v>2</v>
      </c>
      <c r="B25" t="s">
        <v>77</v>
      </c>
      <c r="C25" t="s">
        <v>78</v>
      </c>
      <c r="D25" s="1" t="s">
        <v>437</v>
      </c>
      <c r="E25" t="s">
        <v>66</v>
      </c>
      <c r="F25" t="s">
        <v>92</v>
      </c>
      <c r="G25" s="2" t="d">
        <v>2026-02-20</v>
      </c>
      <c r="H25" s="2" t="d">
        <v>2026-02-20</v>
      </c>
      <c r="I25">
        <v>2025</v>
      </c>
      <c r="J25" t="s">
        <v>65</v>
      </c>
      <c r="K25">
        <v>12</v>
      </c>
      <c r="L25" s="2" t="d">
        <v>2025-10-01</v>
      </c>
      <c r="M25" s="2" t="d">
        <v>2025-12-31</v>
      </c>
      <c r="N25" t="s">
        <v>467</v>
      </c>
      <c r="O25" t="s">
        <v>467</v>
      </c>
      <c r="P25">
        <v>2025</v>
      </c>
      <c r="Q25" t="s">
        <v>65</v>
      </c>
      <c r="R25" t="s">
        <v>59</v>
      </c>
      <c r="S25" t="s">
        <v>84</v>
      </c>
      <c r="T25" t="s">
        <v>61</v>
      </c>
      <c r="U25">
        <v>7091000000</v>
      </c>
      <c r="V25">
        <v>6756000000</v>
      </c>
      <c r="W25">
        <v>-88000000</v>
      </c>
      <c r="X25">
        <v>33000000</v>
      </c>
      <c r="Y25">
        <v>-8000000</v>
      </c>
      <c r="Z25">
        <v>-142000000</v>
      </c>
      <c r="AA25" s="9">
        <v>10093000000</v>
      </c>
      <c r="AB25">
        <v>226000000</v>
      </c>
      <c r="AC25">
        <v>12124000000</v>
      </c>
      <c r="AD25">
        <v>1697000000</v>
      </c>
      <c r="AE25">
        <v>3443000000</v>
      </c>
      <c r="AF25">
        <v>0</v>
      </c>
      <c r="AG25">
        <v>1507000000</v>
      </c>
      <c r="AH25">
        <v>-450000000</v>
      </c>
      <c r="AI25">
        <v>246000000</v>
      </c>
      <c r="AJ25">
        <v>-3000000</v>
      </c>
      <c r="AK25">
        <v>2362000000</v>
      </c>
      <c r="AL25">
        <v>3533000000</v>
      </c>
      <c r="AM25">
        <v>2250000000</v>
      </c>
      <c r="AN25">
        <v>-140000000</v>
      </c>
      <c r="AO25">
        <v>34003000000</v>
      </c>
      <c r="AP25">
        <v>21000000</v>
      </c>
      <c r="AQ25">
        <v>322000000</v>
      </c>
      <c r="AR25">
        <v>-132000000</v>
      </c>
      <c r="AS25" s="3">
        <v>32450000</v>
      </c>
      <c r="AT25" s="3">
        <v>315700000</v>
      </c>
      <c r="AU25" s="3">
        <v>550000</v>
      </c>
      <c r="AV25" s="3" t="s">
        <v>473</v>
      </c>
      <c r="AW25">
        <v>18970</v>
      </c>
    </row>
    <row r="26" spans="1:54" x14ac:dyDescent="0.2">
      <c r="A26">
        <v>3</v>
      </c>
      <c r="B26" t="s">
        <v>113</v>
      </c>
      <c r="C26" t="s">
        <v>112</v>
      </c>
      <c r="D26" s="1" t="s">
        <v>114</v>
      </c>
      <c r="E26" t="s">
        <v>55</v>
      </c>
      <c r="F26" t="s">
        <v>111</v>
      </c>
      <c r="G26" s="2" t="d">
        <v>2023-05-05</v>
      </c>
      <c r="H26" s="2" t="d">
        <v>2023-05-05</v>
      </c>
      <c r="I26">
        <v>2023</v>
      </c>
      <c r="J26" t="s">
        <v>58</v>
      </c>
      <c r="K26">
        <v>1</v>
      </c>
      <c r="L26" s="2" t="d">
        <v>2022-12-25</v>
      </c>
      <c r="M26" s="2" t="d">
        <v>2023-03-25</v>
      </c>
      <c r="N26" t="s">
        <v>467</v>
      </c>
      <c r="O26" t="s">
        <v>467</v>
      </c>
      <c r="P26">
        <v>2023</v>
      </c>
      <c r="Q26" t="s">
        <v>57</v>
      </c>
      <c r="R26" t="s">
        <v>59</v>
      </c>
      <c r="S26" t="s">
        <v>110</v>
      </c>
      <c r="T26" t="s">
        <v>109</v>
      </c>
      <c r="U26">
        <v>266854000</v>
      </c>
      <c r="V26">
        <v>224007000</v>
      </c>
      <c r="W26">
        <v>-57717000</v>
      </c>
      <c r="X26">
        <v>49666000</v>
      </c>
      <c r="Y26">
        <v>17000</v>
      </c>
      <c r="Z26">
        <v>-55433000</v>
      </c>
      <c r="AA26" s="9">
        <v>21441000</v>
      </c>
      <c r="AB26">
        <v>0</v>
      </c>
      <c r="AC26">
        <v>0</v>
      </c>
      <c r="AD26">
        <v>5497000</v>
      </c>
      <c r="AE26">
        <v>256954000</v>
      </c>
      <c r="AF26">
        <v>205495000</v>
      </c>
      <c r="AG26">
        <v>31312000</v>
      </c>
      <c r="AH26">
        <v>-6017000</v>
      </c>
      <c r="AI26">
        <v>2069000</v>
      </c>
      <c r="AJ26">
        <v>0</v>
      </c>
      <c r="AK26">
        <v>124525000</v>
      </c>
      <c r="AL26">
        <v>140441000</v>
      </c>
      <c r="AM26">
        <v>88139000</v>
      </c>
      <c r="AN26">
        <v>-55416000</v>
      </c>
      <c r="AO26">
        <v>909529000</v>
      </c>
      <c r="AP26">
        <v>35223000</v>
      </c>
      <c r="AQ26">
        <v>60503119</v>
      </c>
      <c r="AR26">
        <v>0</v>
      </c>
      <c r="AS26" s="3">
        <v>8690350</v>
      </c>
      <c r="AT26" s="3">
        <v>158289375</v>
      </c>
      <c r="AU26" s="3">
        <v>40975650</v>
      </c>
      <c r="AV26" s="3" t="s">
        <v>473</v>
      </c>
      <c r="AW26">
        <v>1120</v>
      </c>
      <c r="BA26" s="3"/>
      <c r="BB26" s="3"/>
    </row>
    <row r="27" spans="1:54" x14ac:dyDescent="0.2">
      <c r="A27">
        <v>3</v>
      </c>
      <c r="B27" t="s">
        <v>113</v>
      </c>
      <c r="C27" t="s">
        <v>112</v>
      </c>
      <c r="D27" s="1" t="s">
        <v>114</v>
      </c>
      <c r="E27" t="s">
        <v>55</v>
      </c>
      <c r="F27" t="s">
        <v>115</v>
      </c>
      <c r="G27" s="2" t="d">
        <v>2023-08-02</v>
      </c>
      <c r="H27" s="2" t="d">
        <v>2023-08-02</v>
      </c>
      <c r="I27">
        <v>2023</v>
      </c>
      <c r="J27" t="s">
        <v>63</v>
      </c>
      <c r="K27">
        <v>2</v>
      </c>
      <c r="L27" s="2" t="d">
        <v>2023-03-26</v>
      </c>
      <c r="M27" s="2" t="d">
        <v>2023-06-24</v>
      </c>
      <c r="N27" t="s">
        <v>467</v>
      </c>
      <c r="O27" t="s">
        <v>467</v>
      </c>
      <c r="P27">
        <v>2023</v>
      </c>
      <c r="Q27" t="s">
        <v>58</v>
      </c>
      <c r="R27" t="s">
        <v>59</v>
      </c>
      <c r="S27" t="s">
        <v>110</v>
      </c>
      <c r="T27" t="s">
        <v>109</v>
      </c>
      <c r="U27">
        <v>311837000</v>
      </c>
      <c r="V27">
        <v>258928000</v>
      </c>
      <c r="W27">
        <v>-42009000</v>
      </c>
      <c r="X27">
        <v>48845000</v>
      </c>
      <c r="Y27">
        <v>-5000</v>
      </c>
      <c r="Z27">
        <v>-39072000</v>
      </c>
      <c r="AA27" s="9">
        <v>21631000</v>
      </c>
      <c r="AB27">
        <v>0</v>
      </c>
      <c r="AC27">
        <v>0</v>
      </c>
      <c r="AD27">
        <v>5078000</v>
      </c>
      <c r="AE27">
        <v>255490000</v>
      </c>
      <c r="AF27">
        <v>255413000</v>
      </c>
      <c r="AG27">
        <v>53902000</v>
      </c>
      <c r="AH27">
        <v>-7356000</v>
      </c>
      <c r="AI27">
        <v>2460000</v>
      </c>
      <c r="AJ27">
        <v>0</v>
      </c>
      <c r="AK27">
        <v>73696000</v>
      </c>
      <c r="AL27">
        <v>166877000</v>
      </c>
      <c r="AM27">
        <v>74377000</v>
      </c>
      <c r="AN27">
        <v>-39077000</v>
      </c>
      <c r="AO27">
        <v>969740000</v>
      </c>
      <c r="AP27">
        <v>36999000</v>
      </c>
      <c r="AQ27">
        <v>61782886</v>
      </c>
      <c r="AR27">
        <v>0</v>
      </c>
      <c r="AS27" s="3">
        <v>11132600</v>
      </c>
      <c r="AT27" s="3">
        <v>198444025</v>
      </c>
      <c r="AU27" s="3">
        <v>37712400</v>
      </c>
      <c r="AV27" s="3" t="s">
        <v>473</v>
      </c>
      <c r="AW27">
        <v>1120</v>
      </c>
      <c r="BA27" s="3"/>
      <c r="BB27" s="3"/>
    </row>
    <row r="28" spans="1:54" x14ac:dyDescent="0.2">
      <c r="A28">
        <v>3</v>
      </c>
      <c r="B28" t="s">
        <v>113</v>
      </c>
      <c r="C28" t="s">
        <v>112</v>
      </c>
      <c r="D28" s="1" t="s">
        <v>114</v>
      </c>
      <c r="E28" t="s">
        <v>66</v>
      </c>
      <c r="F28" t="s">
        <v>116</v>
      </c>
      <c r="G28" s="2" t="d">
        <v>2023-12-11</v>
      </c>
      <c r="H28" s="2" t="d">
        <v>2023-12-11</v>
      </c>
      <c r="I28">
        <v>2023</v>
      </c>
      <c r="J28" t="s">
        <v>65</v>
      </c>
      <c r="K28">
        <v>3</v>
      </c>
      <c r="L28" s="2" t="d">
        <v>2023-06-25</v>
      </c>
      <c r="M28" s="2" t="d">
        <v>2023-09-30</v>
      </c>
      <c r="N28" t="s">
        <v>467</v>
      </c>
      <c r="O28" t="s">
        <v>467</v>
      </c>
      <c r="P28">
        <v>2023</v>
      </c>
      <c r="Q28" t="s">
        <v>63</v>
      </c>
      <c r="R28" t="s">
        <v>59</v>
      </c>
      <c r="S28" t="s">
        <v>117</v>
      </c>
      <c r="T28" t="s">
        <v>109</v>
      </c>
      <c r="U28">
        <v>391888000</v>
      </c>
      <c r="V28">
        <v>333099000</v>
      </c>
      <c r="W28">
        <v>-53935000</v>
      </c>
      <c r="X28">
        <v>96531000</v>
      </c>
      <c r="Y28">
        <v>4608000</v>
      </c>
      <c r="Z28">
        <v>-118009000</v>
      </c>
      <c r="AA28" s="9">
        <v>-2716000</v>
      </c>
      <c r="AB28">
        <v>0</v>
      </c>
      <c r="AC28">
        <v>0</v>
      </c>
      <c r="AD28">
        <v>13638000</v>
      </c>
      <c r="AE28">
        <v>258770000</v>
      </c>
      <c r="AF28">
        <v>286736000</v>
      </c>
      <c r="AG28">
        <v>44528000</v>
      </c>
      <c r="AH28">
        <v>4675000</v>
      </c>
      <c r="AI28">
        <v>4705000</v>
      </c>
      <c r="AJ28">
        <v>0</v>
      </c>
      <c r="AK28">
        <v>69206000</v>
      </c>
      <c r="AL28">
        <v>136121000</v>
      </c>
      <c r="AM28">
        <v>109918000</v>
      </c>
      <c r="AN28">
        <v>-45415000</v>
      </c>
      <c r="AO28">
        <v>1050710000</v>
      </c>
      <c r="AP28">
        <v>32465000</v>
      </c>
      <c r="AQ28">
        <v>64338580</v>
      </c>
      <c r="AR28">
        <v>0</v>
      </c>
      <c r="AS28" s="3">
        <v>15959150</v>
      </c>
      <c r="AT28" s="3">
        <v>283842425</v>
      </c>
      <c r="AU28" s="3">
        <v>80571850</v>
      </c>
      <c r="AV28" s="3" t="s">
        <v>473</v>
      </c>
      <c r="AW28">
        <v>1300</v>
      </c>
      <c r="BA28" s="3"/>
      <c r="BB28" s="3"/>
    </row>
    <row r="29" spans="1:54" x14ac:dyDescent="0.2">
      <c r="A29">
        <v>3</v>
      </c>
      <c r="B29" t="s">
        <v>113</v>
      </c>
      <c r="C29" t="s">
        <v>112</v>
      </c>
      <c r="D29" s="1" t="s">
        <v>114</v>
      </c>
      <c r="E29" t="s">
        <v>55</v>
      </c>
      <c r="F29" t="s">
        <v>124</v>
      </c>
      <c r="G29" s="2" t="d">
        <v>2024-12-04</v>
      </c>
      <c r="H29" s="2" t="d">
        <v>2024-12-04</v>
      </c>
      <c r="I29">
        <v>2024</v>
      </c>
      <c r="J29" t="s">
        <v>57</v>
      </c>
      <c r="K29">
        <v>4</v>
      </c>
      <c r="L29" s="2" t="d">
        <v>2023-10-01</v>
      </c>
      <c r="M29" s="2" t="d">
        <v>2023-12-30</v>
      </c>
      <c r="N29" t="s">
        <v>468</v>
      </c>
      <c r="O29" t="s">
        <v>468</v>
      </c>
      <c r="P29">
        <v>2023</v>
      </c>
      <c r="Q29" t="s">
        <v>65</v>
      </c>
      <c r="R29" t="s">
        <v>59</v>
      </c>
      <c r="S29" t="s">
        <v>135</v>
      </c>
      <c r="T29" t="s">
        <v>109</v>
      </c>
      <c r="U29">
        <v>359943000</v>
      </c>
      <c r="V29">
        <v>295886000</v>
      </c>
      <c r="W29">
        <v>-25099000</v>
      </c>
      <c r="X29">
        <v>42144000</v>
      </c>
      <c r="Y29">
        <v>-172000</v>
      </c>
      <c r="Z29">
        <v>-18900000</v>
      </c>
      <c r="AA29" s="9">
        <v>165770000</v>
      </c>
      <c r="AB29">
        <v>0</v>
      </c>
      <c r="AC29">
        <v>0</v>
      </c>
      <c r="AD29">
        <v>19243000</v>
      </c>
      <c r="AE29">
        <v>485952000</v>
      </c>
      <c r="AF29">
        <v>189011000</v>
      </c>
      <c r="AG29">
        <v>-30150000</v>
      </c>
      <c r="AH29">
        <v>-2173000</v>
      </c>
      <c r="AI29">
        <v>3197000</v>
      </c>
      <c r="AJ29">
        <v>0</v>
      </c>
      <c r="AK29">
        <v>153058000</v>
      </c>
      <c r="AL29">
        <v>137666000</v>
      </c>
      <c r="AM29">
        <v>102657000</v>
      </c>
      <c r="AN29">
        <v>-19072000</v>
      </c>
      <c r="AO29">
        <v>1315797000</v>
      </c>
      <c r="AP29">
        <v>29462000</v>
      </c>
      <c r="AQ29">
        <v>83320943</v>
      </c>
      <c r="AR29">
        <v>0</v>
      </c>
      <c r="AS29" s="3">
        <v>18066350</v>
      </c>
      <c r="AT29" s="3">
        <v>310027275</v>
      </c>
      <c r="AU29" s="3">
        <v>24077650</v>
      </c>
      <c r="AV29" s="3" t="s">
        <v>473</v>
      </c>
      <c r="AW29">
        <v>1300</v>
      </c>
      <c r="BA29" s="3"/>
      <c r="BB29" s="3"/>
    </row>
    <row r="30" spans="1:54" x14ac:dyDescent="0.2">
      <c r="A30">
        <v>3</v>
      </c>
      <c r="B30" t="s">
        <v>113</v>
      </c>
      <c r="C30" t="s">
        <v>112</v>
      </c>
      <c r="D30" s="1" t="s">
        <v>114</v>
      </c>
      <c r="E30" t="s">
        <v>55</v>
      </c>
      <c r="F30" t="s">
        <v>125</v>
      </c>
      <c r="G30" s="2" t="d">
        <v>2024-12-04</v>
      </c>
      <c r="H30" s="2" t="d">
        <v>2024-12-04</v>
      </c>
      <c r="I30">
        <v>2024</v>
      </c>
      <c r="J30" t="s">
        <v>58</v>
      </c>
      <c r="K30">
        <v>5</v>
      </c>
      <c r="L30" s="2" t="d">
        <v>2023-12-31</v>
      </c>
      <c r="M30" s="2" t="d">
        <v>2024-03-30</v>
      </c>
      <c r="N30" t="s">
        <v>467</v>
      </c>
      <c r="O30" t="s">
        <v>467</v>
      </c>
      <c r="P30">
        <v>2024</v>
      </c>
      <c r="Q30" t="s">
        <v>57</v>
      </c>
      <c r="R30" t="s">
        <v>59</v>
      </c>
      <c r="S30" t="s">
        <v>136</v>
      </c>
      <c r="T30" t="s">
        <v>109</v>
      </c>
      <c r="U30">
        <v>393332000</v>
      </c>
      <c r="V30">
        <v>363112000</v>
      </c>
      <c r="W30">
        <v>-64894000</v>
      </c>
      <c r="X30">
        <v>46462000</v>
      </c>
      <c r="Y30">
        <v>252000</v>
      </c>
      <c r="Z30">
        <v>-55082000</v>
      </c>
      <c r="AA30" s="9">
        <v>393643000</v>
      </c>
      <c r="AB30">
        <v>0</v>
      </c>
      <c r="AC30">
        <v>0</v>
      </c>
      <c r="AD30">
        <v>18624000</v>
      </c>
      <c r="AE30">
        <v>901382000</v>
      </c>
      <c r="AF30">
        <v>49978000</v>
      </c>
      <c r="AG30">
        <v>21072000</v>
      </c>
      <c r="AH30">
        <v>-2488000</v>
      </c>
      <c r="AI30">
        <v>3155000</v>
      </c>
      <c r="AJ30">
        <v>0</v>
      </c>
      <c r="AK30">
        <v>127677000</v>
      </c>
      <c r="AL30">
        <v>119772000</v>
      </c>
      <c r="AM30">
        <v>133234000</v>
      </c>
      <c r="AN30">
        <v>-54830000</v>
      </c>
      <c r="AO30">
        <v>1552918000</v>
      </c>
      <c r="AP30">
        <v>28065000</v>
      </c>
      <c r="AQ30">
        <v>93043769</v>
      </c>
      <c r="AR30">
        <v>0</v>
      </c>
      <c r="AS30" s="3">
        <v>20389450</v>
      </c>
      <c r="AT30" s="3">
        <v>338422925</v>
      </c>
      <c r="AU30" s="3">
        <v>26072550</v>
      </c>
      <c r="AV30" s="3" t="s">
        <v>473</v>
      </c>
      <c r="AW30">
        <v>1300</v>
      </c>
      <c r="BA30" s="3"/>
      <c r="BB30" s="3"/>
    </row>
    <row r="31" spans="1:54" x14ac:dyDescent="0.2">
      <c r="A31">
        <v>3</v>
      </c>
      <c r="B31" t="s">
        <v>113</v>
      </c>
      <c r="C31" t="s">
        <v>112</v>
      </c>
      <c r="D31" s="1" t="s">
        <v>114</v>
      </c>
      <c r="E31" t="s">
        <v>55</v>
      </c>
      <c r="F31" t="s">
        <v>126</v>
      </c>
      <c r="G31" s="2" t="d">
        <v>2024-12-04</v>
      </c>
      <c r="H31" s="2" t="d">
        <v>2024-12-04</v>
      </c>
      <c r="I31">
        <v>2024</v>
      </c>
      <c r="J31" t="s">
        <v>63</v>
      </c>
      <c r="K31">
        <v>6</v>
      </c>
      <c r="L31" s="2" t="d">
        <v>2024-03-31</v>
      </c>
      <c r="M31" s="2" t="d">
        <v>2024-06-29</v>
      </c>
      <c r="N31" t="s">
        <v>467</v>
      </c>
      <c r="O31" t="s">
        <v>467</v>
      </c>
      <c r="P31">
        <v>2024</v>
      </c>
      <c r="Q31" t="s">
        <v>58</v>
      </c>
      <c r="R31" t="s">
        <v>59</v>
      </c>
      <c r="S31" t="s">
        <v>134</v>
      </c>
      <c r="T31" t="s">
        <v>109</v>
      </c>
      <c r="U31">
        <v>470338000</v>
      </c>
      <c r="V31">
        <v>415365000</v>
      </c>
      <c r="W31">
        <v>-37620000</v>
      </c>
      <c r="X31">
        <v>44722000</v>
      </c>
      <c r="Y31">
        <v>-182000</v>
      </c>
      <c r="Z31">
        <v>-26005000</v>
      </c>
      <c r="AA31" s="9">
        <v>346792000</v>
      </c>
      <c r="AB31">
        <v>0</v>
      </c>
      <c r="AC31">
        <v>0</v>
      </c>
      <c r="AD31">
        <v>18175000</v>
      </c>
      <c r="AE31">
        <v>870469000</v>
      </c>
      <c r="AF31">
        <v>0</v>
      </c>
      <c r="AG31">
        <v>50384000</v>
      </c>
      <c r="AH31">
        <v>-16846000</v>
      </c>
      <c r="AI31">
        <v>10696000</v>
      </c>
      <c r="AJ31">
        <v>-66489000</v>
      </c>
      <c r="AK31">
        <v>100499000</v>
      </c>
      <c r="AL31">
        <v>132111000</v>
      </c>
      <c r="AM31">
        <v>127789000</v>
      </c>
      <c r="AN31">
        <v>-26724000</v>
      </c>
      <c r="AO31">
        <v>1500392000</v>
      </c>
      <c r="AP31">
        <v>29331000</v>
      </c>
      <c r="AQ31">
        <v>102414284</v>
      </c>
      <c r="AR31">
        <v>0</v>
      </c>
      <c r="AS31" s="3">
        <v>22625550</v>
      </c>
      <c r="AT31" s="3">
        <v>362755475</v>
      </c>
      <c r="AU31" s="3">
        <v>22096450</v>
      </c>
      <c r="AV31" s="3" t="s">
        <v>473</v>
      </c>
      <c r="AW31">
        <v>1300</v>
      </c>
      <c r="BA31" s="3"/>
      <c r="BB31" s="3"/>
    </row>
    <row r="32" spans="1:54" x14ac:dyDescent="0.2">
      <c r="A32">
        <v>3</v>
      </c>
      <c r="B32" t="s">
        <v>113</v>
      </c>
      <c r="C32" t="s">
        <v>112</v>
      </c>
      <c r="D32" s="1" t="s">
        <v>114</v>
      </c>
      <c r="E32" t="s">
        <v>66</v>
      </c>
      <c r="F32" t="s">
        <v>127</v>
      </c>
      <c r="G32" s="2" t="d">
        <v>2024-12-04</v>
      </c>
      <c r="H32" s="2" t="d">
        <v>2024-12-04</v>
      </c>
      <c r="I32">
        <v>2024</v>
      </c>
      <c r="J32" t="s">
        <v>65</v>
      </c>
      <c r="K32">
        <v>7</v>
      </c>
      <c r="L32" s="2" t="d">
        <v>2024-06-30</v>
      </c>
      <c r="M32" s="2" t="d">
        <v>2024-09-28</v>
      </c>
      <c r="N32" t="s">
        <v>467</v>
      </c>
      <c r="O32" t="s">
        <v>467</v>
      </c>
      <c r="P32">
        <v>2024</v>
      </c>
      <c r="Q32" t="s">
        <v>63</v>
      </c>
      <c r="R32" t="s">
        <v>59</v>
      </c>
      <c r="S32" t="s">
        <v>133</v>
      </c>
      <c r="T32" t="s">
        <v>109</v>
      </c>
      <c r="U32">
        <v>564566000</v>
      </c>
      <c r="V32">
        <v>468150000</v>
      </c>
      <c r="W32">
        <v>10888000</v>
      </c>
      <c r="X32">
        <v>40129000</v>
      </c>
      <c r="Y32">
        <v>-4110000</v>
      </c>
      <c r="Z32">
        <v>20304000</v>
      </c>
      <c r="AA32" s="9">
        <v>390130000</v>
      </c>
      <c r="AB32">
        <v>0</v>
      </c>
      <c r="AC32">
        <v>0</v>
      </c>
      <c r="AD32">
        <v>17723000</v>
      </c>
      <c r="AE32">
        <v>727310000</v>
      </c>
      <c r="AF32">
        <v>0</v>
      </c>
      <c r="AG32">
        <v>-99383000</v>
      </c>
      <c r="AH32">
        <v>-20730000</v>
      </c>
      <c r="AI32">
        <v>6432000</v>
      </c>
      <c r="AJ32">
        <v>-23996000</v>
      </c>
      <c r="AK32">
        <v>201548000</v>
      </c>
      <c r="AL32">
        <v>106136000</v>
      </c>
      <c r="AM32">
        <v>175188000</v>
      </c>
      <c r="AN32">
        <v>15954000</v>
      </c>
      <c r="AO32">
        <v>1578552000</v>
      </c>
      <c r="AP32">
        <v>25350000</v>
      </c>
      <c r="AQ32">
        <v>95697368</v>
      </c>
      <c r="AR32">
        <v>0</v>
      </c>
      <c r="AS32" s="3">
        <v>24632000</v>
      </c>
      <c r="AT32" s="3">
        <v>380258925</v>
      </c>
      <c r="AU32" s="3">
        <v>15497000</v>
      </c>
      <c r="AV32" s="3" t="s">
        <v>473</v>
      </c>
      <c r="AW32" s="7">
        <v>1600</v>
      </c>
      <c r="BA32" s="3"/>
      <c r="BB32" s="3"/>
    </row>
    <row r="33" spans="1:55" x14ac:dyDescent="0.2">
      <c r="A33">
        <v>3</v>
      </c>
      <c r="B33" t="s">
        <v>113</v>
      </c>
      <c r="C33" t="s">
        <v>112</v>
      </c>
      <c r="D33" s="1" t="s">
        <v>114</v>
      </c>
      <c r="E33" t="s">
        <v>55</v>
      </c>
      <c r="F33" t="s">
        <v>129</v>
      </c>
      <c r="G33" s="2" t="d">
        <v>2025-02-05</v>
      </c>
      <c r="H33" s="2" t="d">
        <v>2025-02-05</v>
      </c>
      <c r="I33">
        <v>2025</v>
      </c>
      <c r="J33" t="s">
        <v>57</v>
      </c>
      <c r="K33">
        <v>8</v>
      </c>
      <c r="L33" s="2" t="d">
        <v>2024-09-29</v>
      </c>
      <c r="M33" s="2" t="d">
        <v>2024-12-28</v>
      </c>
      <c r="N33" t="s">
        <v>468</v>
      </c>
      <c r="O33" t="s">
        <v>468</v>
      </c>
      <c r="P33">
        <v>2024</v>
      </c>
      <c r="Q33" t="s">
        <v>65</v>
      </c>
      <c r="R33" t="s">
        <v>59</v>
      </c>
      <c r="S33" t="s">
        <v>132</v>
      </c>
      <c r="T33" t="s">
        <v>109</v>
      </c>
      <c r="U33">
        <v>486693000</v>
      </c>
      <c r="V33">
        <v>406654000</v>
      </c>
      <c r="W33">
        <v>-24629000</v>
      </c>
      <c r="X33">
        <v>43592000</v>
      </c>
      <c r="Y33">
        <v>-150000</v>
      </c>
      <c r="Z33">
        <v>-16806000</v>
      </c>
      <c r="AA33" s="9">
        <v>393925000</v>
      </c>
      <c r="AB33">
        <v>0</v>
      </c>
      <c r="AC33">
        <v>0</v>
      </c>
      <c r="AD33">
        <v>24759000</v>
      </c>
      <c r="AE33">
        <v>903034000</v>
      </c>
      <c r="AF33">
        <v>0</v>
      </c>
      <c r="AG33">
        <v>205027000</v>
      </c>
      <c r="AH33">
        <v>-7357000</v>
      </c>
      <c r="AI33">
        <v>7645000</v>
      </c>
      <c r="AJ33">
        <v>-17992000</v>
      </c>
      <c r="AK33">
        <v>134391000</v>
      </c>
      <c r="AL33">
        <v>108691000</v>
      </c>
      <c r="AM33">
        <v>206324000</v>
      </c>
      <c r="AN33">
        <v>-18520000</v>
      </c>
      <c r="AO33">
        <v>1715622000</v>
      </c>
      <c r="AP33">
        <v>26773000</v>
      </c>
      <c r="AQ33">
        <v>106098566</v>
      </c>
      <c r="AR33">
        <v>0</v>
      </c>
      <c r="AS33" s="3">
        <v>26811600</v>
      </c>
      <c r="AT33" s="3">
        <v>399218925</v>
      </c>
      <c r="AU33" s="3">
        <v>16780400</v>
      </c>
      <c r="AV33" s="3" t="s">
        <v>473</v>
      </c>
      <c r="AW33" s="7">
        <v>1600</v>
      </c>
      <c r="BA33" s="3"/>
      <c r="BB33" s="3"/>
    </row>
    <row r="34" spans="1:55" x14ac:dyDescent="0.2">
      <c r="A34">
        <v>3</v>
      </c>
      <c r="B34" t="s">
        <v>113</v>
      </c>
      <c r="C34" t="s">
        <v>112</v>
      </c>
      <c r="D34" s="1" t="s">
        <v>114</v>
      </c>
      <c r="E34" t="s">
        <v>55</v>
      </c>
      <c r="F34" t="s">
        <v>130</v>
      </c>
      <c r="G34" s="2" t="d">
        <v>2025-05-07</v>
      </c>
      <c r="H34" s="2" t="d">
        <v>2024-05-07</v>
      </c>
      <c r="I34">
        <v>2025</v>
      </c>
      <c r="J34" t="s">
        <v>58</v>
      </c>
      <c r="K34">
        <v>9</v>
      </c>
      <c r="L34" s="2" t="d">
        <v>2024-12-29</v>
      </c>
      <c r="M34" s="2" t="d">
        <v>2025-03-29</v>
      </c>
      <c r="N34" t="s">
        <v>467</v>
      </c>
      <c r="O34" t="s">
        <v>467</v>
      </c>
      <c r="P34">
        <v>2025</v>
      </c>
      <c r="Q34" t="s">
        <v>57</v>
      </c>
      <c r="R34" t="s">
        <v>59</v>
      </c>
      <c r="S34" t="s">
        <v>131</v>
      </c>
      <c r="T34" t="s">
        <v>109</v>
      </c>
      <c r="U34">
        <v>549651000</v>
      </c>
      <c r="V34">
        <v>441823000</v>
      </c>
      <c r="W34">
        <v>-32059000</v>
      </c>
      <c r="X34">
        <v>61540000</v>
      </c>
      <c r="Y34">
        <v>1397000</v>
      </c>
      <c r="Z34">
        <v>-20345000</v>
      </c>
      <c r="AA34" s="9">
        <v>421574000</v>
      </c>
      <c r="AB34">
        <v>0</v>
      </c>
      <c r="AC34">
        <v>0</v>
      </c>
      <c r="AD34">
        <v>28308000</v>
      </c>
      <c r="AE34">
        <v>954944000</v>
      </c>
      <c r="AF34">
        <v>0</v>
      </c>
      <c r="AG34">
        <v>269575000</v>
      </c>
      <c r="AH34">
        <v>-20560000</v>
      </c>
      <c r="AI34">
        <v>12279000</v>
      </c>
      <c r="AJ34">
        <v>-200000000</v>
      </c>
      <c r="AK34">
        <v>137562000</v>
      </c>
      <c r="AL34">
        <v>146281000</v>
      </c>
      <c r="AM34">
        <v>220027000</v>
      </c>
      <c r="AN34">
        <v>-21438000</v>
      </c>
      <c r="AO34">
        <v>1964185000</v>
      </c>
      <c r="AP34">
        <v>43355000</v>
      </c>
      <c r="AQ34">
        <v>107726978</v>
      </c>
      <c r="AR34">
        <v>0</v>
      </c>
      <c r="AS34" s="3">
        <v>29888600</v>
      </c>
      <c r="AT34" s="3">
        <v>433947325</v>
      </c>
      <c r="AU34" s="3">
        <v>31651400</v>
      </c>
      <c r="AV34" s="3" t="s">
        <v>473</v>
      </c>
      <c r="AW34" s="7">
        <v>1600</v>
      </c>
      <c r="BA34" s="3"/>
      <c r="BB34" s="3"/>
    </row>
    <row r="35" spans="1:55" x14ac:dyDescent="0.2">
      <c r="A35">
        <v>3</v>
      </c>
      <c r="B35" t="s">
        <v>113</v>
      </c>
      <c r="C35" t="s">
        <v>112</v>
      </c>
      <c r="D35" s="1" t="s">
        <v>114</v>
      </c>
      <c r="E35" t="s">
        <v>55</v>
      </c>
      <c r="F35" t="s">
        <v>137</v>
      </c>
      <c r="G35" s="2" t="d">
        <v>2025-08-06</v>
      </c>
      <c r="H35" s="2" t="d">
        <v>2025-08-06</v>
      </c>
      <c r="I35">
        <v>2025</v>
      </c>
      <c r="J35" t="s">
        <v>63</v>
      </c>
      <c r="K35">
        <v>10</v>
      </c>
      <c r="L35" s="2" t="d">
        <v>2025-03-30</v>
      </c>
      <c r="M35" s="2" t="d">
        <v>2025-06-28</v>
      </c>
      <c r="N35" t="s">
        <v>467</v>
      </c>
      <c r="O35" t="s">
        <v>467</v>
      </c>
      <c r="P35">
        <v>2025</v>
      </c>
      <c r="Q35" t="s">
        <v>58</v>
      </c>
      <c r="R35" t="s">
        <v>59</v>
      </c>
      <c r="S35" t="s">
        <v>131</v>
      </c>
      <c r="T35" t="s">
        <v>109</v>
      </c>
      <c r="U35">
        <v>592121000</v>
      </c>
      <c r="V35">
        <v>484499000</v>
      </c>
      <c r="W35">
        <v>-36556000</v>
      </c>
      <c r="X35">
        <v>52147000</v>
      </c>
      <c r="Y35">
        <v>-44000</v>
      </c>
      <c r="Z35">
        <v>-28105000</v>
      </c>
      <c r="AA35" s="9">
        <v>443412000</v>
      </c>
      <c r="AB35">
        <v>0</v>
      </c>
      <c r="AC35">
        <v>0</v>
      </c>
      <c r="AD35">
        <v>27568000</v>
      </c>
      <c r="AE35">
        <v>777576000</v>
      </c>
      <c r="AF35">
        <v>0</v>
      </c>
      <c r="AG35">
        <v>-138343000</v>
      </c>
      <c r="AH35">
        <v>-14867000</v>
      </c>
      <c r="AI35">
        <v>14202000</v>
      </c>
      <c r="AJ35">
        <v>-24233000</v>
      </c>
      <c r="AK35">
        <v>136237000</v>
      </c>
      <c r="AL35">
        <v>138901000</v>
      </c>
      <c r="AM35">
        <v>215624000</v>
      </c>
      <c r="AN35">
        <v>-31925000</v>
      </c>
      <c r="AO35">
        <v>1827411000</v>
      </c>
      <c r="AP35">
        <v>49440000</v>
      </c>
      <c r="AQ35">
        <v>109201745</v>
      </c>
      <c r="AR35">
        <v>0</v>
      </c>
      <c r="AS35" s="3">
        <v>32495950</v>
      </c>
      <c r="AT35" s="3">
        <v>456205725</v>
      </c>
      <c r="AU35" s="3">
        <v>19651050</v>
      </c>
      <c r="AV35" s="3" t="s">
        <v>473</v>
      </c>
      <c r="AW35" s="7">
        <v>1600</v>
      </c>
      <c r="BA35" s="3"/>
      <c r="BB35" s="3"/>
    </row>
    <row r="36" spans="1:55" x14ac:dyDescent="0.2">
      <c r="A36">
        <v>3</v>
      </c>
      <c r="B36" t="s">
        <v>113</v>
      </c>
      <c r="C36" t="s">
        <v>112</v>
      </c>
      <c r="D36" s="1" t="s">
        <v>114</v>
      </c>
      <c r="E36" t="s">
        <v>66</v>
      </c>
      <c r="F36" t="s">
        <v>138</v>
      </c>
      <c r="G36" s="2" t="d">
        <v>2025-11-24</v>
      </c>
      <c r="H36" s="2" t="d">
        <v>2025-11-24</v>
      </c>
      <c r="I36">
        <v>2025</v>
      </c>
      <c r="J36" t="s">
        <v>65</v>
      </c>
      <c r="K36">
        <v>11</v>
      </c>
      <c r="L36" s="2" t="d">
        <v>2025-06-29</v>
      </c>
      <c r="M36" s="2" t="d">
        <v>2025-09-27</v>
      </c>
      <c r="N36" t="s">
        <v>467</v>
      </c>
      <c r="O36" t="s">
        <v>467</v>
      </c>
      <c r="P36">
        <v>2025</v>
      </c>
      <c r="Q36" t="s">
        <v>63</v>
      </c>
      <c r="R36" t="s">
        <v>59</v>
      </c>
      <c r="S36" t="s">
        <v>131</v>
      </c>
      <c r="T36" t="s">
        <v>109</v>
      </c>
      <c r="U36">
        <v>618457000</v>
      </c>
      <c r="V36">
        <v>491336000</v>
      </c>
      <c r="W36">
        <v>-21762000</v>
      </c>
      <c r="X36">
        <v>58734000</v>
      </c>
      <c r="Y36">
        <v>424000</v>
      </c>
      <c r="Z36">
        <v>-30493000</v>
      </c>
      <c r="AA36" s="9">
        <v>483213000</v>
      </c>
      <c r="AB36">
        <v>0</v>
      </c>
      <c r="AC36">
        <v>0</v>
      </c>
      <c r="AD36">
        <v>31680000</v>
      </c>
      <c r="AE36">
        <v>1244993000</v>
      </c>
      <c r="AF36">
        <v>0</v>
      </c>
      <c r="AG36">
        <v>530680000</v>
      </c>
      <c r="AH36">
        <v>-36246000</v>
      </c>
      <c r="AI36">
        <v>13123000</v>
      </c>
      <c r="AJ36">
        <v>-29487000</v>
      </c>
      <c r="AK36">
        <v>186705000</v>
      </c>
      <c r="AL36">
        <v>164390000</v>
      </c>
      <c r="AM36">
        <v>286669000</v>
      </c>
      <c r="AN36">
        <v>-19149000</v>
      </c>
      <c r="AO36">
        <v>2401197000</v>
      </c>
      <c r="AP36">
        <v>64368000</v>
      </c>
      <c r="AQ36">
        <v>108670159</v>
      </c>
      <c r="AR36">
        <v>0</v>
      </c>
      <c r="AS36" s="3">
        <v>35432650</v>
      </c>
      <c r="AT36" s="3">
        <v>482443775</v>
      </c>
      <c r="AU36" s="3">
        <v>23301350</v>
      </c>
      <c r="AV36" s="3" t="s">
        <v>473</v>
      </c>
      <c r="AW36" s="7">
        <v>2000</v>
      </c>
    </row>
    <row r="37" spans="1:55" x14ac:dyDescent="0.2">
      <c r="A37">
        <v>3</v>
      </c>
      <c r="B37" t="s">
        <v>113</v>
      </c>
      <c r="C37" t="s">
        <v>112</v>
      </c>
      <c r="D37" s="1" t="s">
        <v>114</v>
      </c>
      <c r="E37" t="s">
        <v>55</v>
      </c>
      <c r="F37" t="s">
        <v>139</v>
      </c>
      <c r="G37" s="2" t="d">
        <v>2026-02-04</v>
      </c>
      <c r="H37" s="2" t="d">
        <v>2026-02-04</v>
      </c>
      <c r="I37">
        <v>2026</v>
      </c>
      <c r="J37" t="s">
        <v>57</v>
      </c>
      <c r="K37">
        <v>12</v>
      </c>
      <c r="L37" s="2" t="d">
        <v>2025-09-28</v>
      </c>
      <c r="M37" s="2" t="d">
        <v>2025-12-27</v>
      </c>
      <c r="N37" t="s">
        <v>468</v>
      </c>
      <c r="O37" t="s">
        <v>468</v>
      </c>
      <c r="P37">
        <v>2025</v>
      </c>
      <c r="Q37" t="s">
        <v>65</v>
      </c>
      <c r="R37" t="s">
        <v>59</v>
      </c>
      <c r="S37" t="s">
        <v>140</v>
      </c>
      <c r="T37" t="s">
        <v>109</v>
      </c>
      <c r="U37">
        <v>629985000</v>
      </c>
      <c r="V37">
        <v>496561000</v>
      </c>
      <c r="W37">
        <v>6526000</v>
      </c>
      <c r="X37">
        <v>43006000</v>
      </c>
      <c r="Y37">
        <v>-615000</v>
      </c>
      <c r="Z37">
        <v>19772000</v>
      </c>
      <c r="AA37" s="9">
        <v>960211000</v>
      </c>
      <c r="AB37">
        <v>0</v>
      </c>
      <c r="AC37">
        <v>0</v>
      </c>
      <c r="AD37">
        <v>30020000</v>
      </c>
      <c r="AE37">
        <v>1819102000</v>
      </c>
      <c r="AF37">
        <v>0</v>
      </c>
      <c r="AG37">
        <v>191540000</v>
      </c>
      <c r="AH37">
        <v>-2052000</v>
      </c>
      <c r="AI37">
        <v>8704000</v>
      </c>
      <c r="AJ37">
        <v>-38528000</v>
      </c>
      <c r="AK37">
        <v>107631000</v>
      </c>
      <c r="AL37">
        <v>183680000</v>
      </c>
      <c r="AM37">
        <v>266102000</v>
      </c>
      <c r="AN37">
        <v>13358000</v>
      </c>
      <c r="AO37">
        <v>2994058000</v>
      </c>
      <c r="AP37">
        <v>45941000</v>
      </c>
      <c r="AQ37">
        <v>127870238</v>
      </c>
      <c r="AR37">
        <v>0</v>
      </c>
      <c r="AS37" s="3">
        <v>37582950</v>
      </c>
      <c r="AT37" s="3">
        <v>490017125</v>
      </c>
      <c r="AU37" s="3">
        <v>5423050</v>
      </c>
      <c r="AV37" s="3" t="s">
        <v>473</v>
      </c>
      <c r="AW37" s="7">
        <v>2000</v>
      </c>
      <c r="BB37" s="3"/>
    </row>
    <row r="38" spans="1:55" x14ac:dyDescent="0.2">
      <c r="A38">
        <v>4</v>
      </c>
      <c r="B38" t="s">
        <v>143</v>
      </c>
      <c r="C38" t="s">
        <v>142</v>
      </c>
      <c r="D38" s="8" t="s">
        <v>144</v>
      </c>
      <c r="E38" t="s">
        <v>55</v>
      </c>
      <c r="F38" t="s">
        <v>145</v>
      </c>
      <c r="G38" s="2" t="d">
        <v>2023-06-12</v>
      </c>
      <c r="H38" s="2" t="d">
        <v>2023-06-12</v>
      </c>
      <c r="I38">
        <v>2024</v>
      </c>
      <c r="J38" t="s">
        <v>57</v>
      </c>
      <c r="K38">
        <v>1</v>
      </c>
      <c r="L38" s="2" t="d">
        <v>2023-02-04</v>
      </c>
      <c r="M38" s="2" t="d">
        <v>2023-05-05</v>
      </c>
      <c r="N38" t="s">
        <v>467</v>
      </c>
      <c r="O38" t="s">
        <v>467</v>
      </c>
      <c r="P38">
        <v>2023</v>
      </c>
      <c r="Q38" t="s">
        <v>58</v>
      </c>
      <c r="R38" t="s">
        <v>59</v>
      </c>
      <c r="S38" t="s">
        <v>146</v>
      </c>
      <c r="T38" t="s">
        <v>61</v>
      </c>
      <c r="U38">
        <v>20922000000</v>
      </c>
      <c r="V38">
        <v>15842000000</v>
      </c>
      <c r="W38">
        <v>1131000000</v>
      </c>
      <c r="X38">
        <v>688000000</v>
      </c>
      <c r="Y38">
        <v>135000000</v>
      </c>
      <c r="Z38">
        <v>767000000</v>
      </c>
      <c r="AA38" s="9">
        <v>-2924000000</v>
      </c>
      <c r="AB38">
        <v>5470000000</v>
      </c>
      <c r="AC38">
        <v>22962000000</v>
      </c>
      <c r="AD38">
        <v>891000000</v>
      </c>
      <c r="AE38">
        <v>7631000000</v>
      </c>
      <c r="AF38">
        <v>0</v>
      </c>
      <c r="AG38">
        <v>1777000000</v>
      </c>
      <c r="AH38">
        <v>-701000000</v>
      </c>
      <c r="AI38">
        <v>809000000</v>
      </c>
      <c r="AJ38">
        <v>0</v>
      </c>
      <c r="AK38">
        <v>9399000000</v>
      </c>
      <c r="AL38">
        <v>4016000000</v>
      </c>
      <c r="AM38">
        <v>17796000000</v>
      </c>
      <c r="AN38">
        <v>632000000</v>
      </c>
      <c r="AO38">
        <v>84094000000</v>
      </c>
      <c r="AP38">
        <v>225000000</v>
      </c>
      <c r="AQ38">
        <v>737000000</v>
      </c>
      <c r="AR38">
        <v>-405000000</v>
      </c>
      <c r="AS38" s="3">
        <v>302200000</v>
      </c>
      <c r="AT38" s="3">
        <v>4566725000</v>
      </c>
      <c r="AU38" s="3">
        <v>385800000</v>
      </c>
      <c r="AV38" s="3" t="s">
        <v>492</v>
      </c>
      <c r="AW38" s="7">
        <v>133000</v>
      </c>
      <c r="BB38" s="3"/>
      <c r="BC38" s="3"/>
    </row>
    <row r="39" spans="1:55" x14ac:dyDescent="0.2">
      <c r="A39">
        <v>4</v>
      </c>
      <c r="B39" t="s">
        <v>143</v>
      </c>
      <c r="C39" t="s">
        <v>142</v>
      </c>
      <c r="D39" s="8" t="s">
        <v>144</v>
      </c>
      <c r="E39" t="s">
        <v>55</v>
      </c>
      <c r="F39" t="s">
        <v>147</v>
      </c>
      <c r="G39" s="2" t="d">
        <v>2023-09-12</v>
      </c>
      <c r="H39" s="2" t="d">
        <v>2023-09-12</v>
      </c>
      <c r="I39">
        <v>2024</v>
      </c>
      <c r="J39" t="s">
        <v>58</v>
      </c>
      <c r="K39">
        <v>2</v>
      </c>
      <c r="L39" s="2" t="d">
        <v>2023-05-06</v>
      </c>
      <c r="M39" s="2" t="d">
        <v>2023-08-04</v>
      </c>
      <c r="N39" t="s">
        <v>467</v>
      </c>
      <c r="O39" t="s">
        <v>467</v>
      </c>
      <c r="P39">
        <v>2023</v>
      </c>
      <c r="Q39" t="s">
        <v>63</v>
      </c>
      <c r="R39" t="s">
        <v>59</v>
      </c>
      <c r="S39" t="s">
        <v>146</v>
      </c>
      <c r="T39" t="s">
        <v>61</v>
      </c>
      <c r="U39">
        <v>22934000000</v>
      </c>
      <c r="V39">
        <v>17518000000</v>
      </c>
      <c r="W39">
        <v>1194000000</v>
      </c>
      <c r="X39">
        <v>705000000</v>
      </c>
      <c r="Y39">
        <v>261000000</v>
      </c>
      <c r="Z39">
        <v>743000000</v>
      </c>
      <c r="AA39" s="9">
        <v>-2677000000</v>
      </c>
      <c r="AB39">
        <v>6961000000</v>
      </c>
      <c r="AC39">
        <v>20177000000</v>
      </c>
      <c r="AD39">
        <v>855000000</v>
      </c>
      <c r="AE39">
        <v>8364000000</v>
      </c>
      <c r="AF39">
        <v>0</v>
      </c>
      <c r="AG39">
        <v>3214000000</v>
      </c>
      <c r="AH39">
        <v>-624000000</v>
      </c>
      <c r="AI39">
        <v>831000000</v>
      </c>
      <c r="AJ39">
        <v>0</v>
      </c>
      <c r="AK39">
        <v>10351000000</v>
      </c>
      <c r="AL39">
        <v>3584000000</v>
      </c>
      <c r="AM39">
        <v>19969000000</v>
      </c>
      <c r="AN39">
        <v>482000000</v>
      </c>
      <c r="AO39">
        <v>85658000000</v>
      </c>
      <c r="AP39">
        <v>223000000</v>
      </c>
      <c r="AQ39">
        <v>738000000</v>
      </c>
      <c r="AR39">
        <v>-352000000</v>
      </c>
      <c r="AS39" s="3">
        <v>337450000</v>
      </c>
      <c r="AT39" s="3">
        <v>4934275000</v>
      </c>
      <c r="AU39" s="3">
        <v>367550000</v>
      </c>
      <c r="AV39" s="3" t="s">
        <v>492</v>
      </c>
      <c r="AW39" s="7">
        <v>133000</v>
      </c>
      <c r="BB39" s="3"/>
      <c r="BC39" s="3"/>
    </row>
    <row r="40" spans="1:55" x14ac:dyDescent="0.2">
      <c r="A40">
        <v>4</v>
      </c>
      <c r="B40" t="s">
        <v>143</v>
      </c>
      <c r="C40" t="s">
        <v>142</v>
      </c>
      <c r="D40" s="8" t="s">
        <v>144</v>
      </c>
      <c r="E40" t="s">
        <v>55</v>
      </c>
      <c r="F40" t="s">
        <v>148</v>
      </c>
      <c r="G40" s="2" t="d">
        <v>2023-12-08</v>
      </c>
      <c r="H40" s="2" t="d">
        <v>2023-12-08</v>
      </c>
      <c r="I40">
        <v>2024</v>
      </c>
      <c r="J40" t="s">
        <v>63</v>
      </c>
      <c r="K40">
        <v>3</v>
      </c>
      <c r="L40" s="2" t="d">
        <v>2023-08-05</v>
      </c>
      <c r="M40" s="2" t="d">
        <v>2023-11-03</v>
      </c>
      <c r="N40" t="s">
        <v>467</v>
      </c>
      <c r="O40" t="s">
        <v>467</v>
      </c>
      <c r="P40">
        <v>2023</v>
      </c>
      <c r="Q40" t="s">
        <v>65</v>
      </c>
      <c r="R40" t="s">
        <v>59</v>
      </c>
      <c r="S40" t="s">
        <v>146</v>
      </c>
      <c r="T40" t="s">
        <v>61</v>
      </c>
      <c r="U40">
        <v>22251000000</v>
      </c>
      <c r="V40">
        <v>17050000000</v>
      </c>
      <c r="W40">
        <v>1539000000</v>
      </c>
      <c r="X40">
        <v>692000000</v>
      </c>
      <c r="Y40">
        <v>183000000</v>
      </c>
      <c r="Z40">
        <v>1233000000</v>
      </c>
      <c r="AA40" s="9">
        <v>-2570000000</v>
      </c>
      <c r="AB40">
        <v>6498000000</v>
      </c>
      <c r="AC40">
        <v>20119000000</v>
      </c>
      <c r="AD40">
        <v>834000000</v>
      </c>
      <c r="AE40">
        <v>8298000000</v>
      </c>
      <c r="AF40">
        <v>0</v>
      </c>
      <c r="AG40">
        <v>2152000000</v>
      </c>
      <c r="AH40">
        <v>-704000000</v>
      </c>
      <c r="AI40">
        <v>822000000</v>
      </c>
      <c r="AJ40">
        <v>-127000000</v>
      </c>
      <c r="AK40">
        <v>9720000000</v>
      </c>
      <c r="AL40">
        <v>3381000000</v>
      </c>
      <c r="AM40">
        <v>19478000000</v>
      </c>
      <c r="AN40">
        <v>1050000000</v>
      </c>
      <c r="AO40">
        <v>83264000000</v>
      </c>
      <c r="AP40">
        <v>227000000</v>
      </c>
      <c r="AQ40">
        <v>740000000</v>
      </c>
      <c r="AR40">
        <v>-371000000</v>
      </c>
      <c r="AS40" s="3">
        <v>372050000</v>
      </c>
      <c r="AT40" s="3">
        <v>5254225000</v>
      </c>
      <c r="AU40" s="3">
        <v>319950000</v>
      </c>
      <c r="AV40" s="3" t="s">
        <v>492</v>
      </c>
      <c r="AW40" s="7">
        <v>133000</v>
      </c>
      <c r="BB40" s="3"/>
      <c r="BC40" s="3"/>
    </row>
    <row r="41" spans="1:55" x14ac:dyDescent="0.2">
      <c r="A41">
        <v>4</v>
      </c>
      <c r="B41" t="s">
        <v>143</v>
      </c>
      <c r="C41" t="s">
        <v>142</v>
      </c>
      <c r="D41" s="8" t="s">
        <v>144</v>
      </c>
      <c r="E41" t="s">
        <v>66</v>
      </c>
      <c r="F41" t="s">
        <v>149</v>
      </c>
      <c r="G41" s="2" t="d">
        <v>2024-03-25</v>
      </c>
      <c r="H41" s="2" t="d">
        <v>2024-03-25</v>
      </c>
      <c r="I41">
        <v>2024</v>
      </c>
      <c r="J41" t="s">
        <v>65</v>
      </c>
      <c r="K41">
        <v>4</v>
      </c>
      <c r="L41" s="2" t="d">
        <v>2023-11-04</v>
      </c>
      <c r="M41" s="2" t="d">
        <v>2024-02-02</v>
      </c>
      <c r="N41" t="s">
        <v>467</v>
      </c>
      <c r="O41" t="s">
        <v>467</v>
      </c>
      <c r="P41">
        <v>2024</v>
      </c>
      <c r="Q41" t="s">
        <v>57</v>
      </c>
      <c r="R41" t="s">
        <v>59</v>
      </c>
      <c r="S41" t="s">
        <v>151</v>
      </c>
      <c r="T41" t="s">
        <v>61</v>
      </c>
      <c r="U41">
        <v>22318000000</v>
      </c>
      <c r="V41">
        <v>16946000000</v>
      </c>
      <c r="W41">
        <v>1547000000</v>
      </c>
      <c r="X41">
        <v>716000000</v>
      </c>
      <c r="Y41">
        <v>136000000</v>
      </c>
      <c r="Z41">
        <v>1344000000</v>
      </c>
      <c r="AA41" s="9">
        <v>-2132000000</v>
      </c>
      <c r="AB41">
        <v>6982000000</v>
      </c>
      <c r="AC41">
        <v>19012000000</v>
      </c>
      <c r="AD41">
        <v>829000000</v>
      </c>
      <c r="AE41">
        <v>7366000000</v>
      </c>
      <c r="AF41">
        <v>0</v>
      </c>
      <c r="AG41">
        <v>1533000000</v>
      </c>
      <c r="AH41">
        <v>-727000000</v>
      </c>
      <c r="AI41">
        <v>841000000</v>
      </c>
      <c r="AJ41">
        <v>1000000</v>
      </c>
      <c r="AK41">
        <v>9343000000</v>
      </c>
      <c r="AL41">
        <v>3622000000</v>
      </c>
      <c r="AM41">
        <v>19226000000</v>
      </c>
      <c r="AN41">
        <v>1208000000</v>
      </c>
      <c r="AO41">
        <v>82126000000</v>
      </c>
      <c r="AP41">
        <v>203000000</v>
      </c>
      <c r="AQ41">
        <v>736000000</v>
      </c>
      <c r="AR41">
        <v>-373000000</v>
      </c>
      <c r="AS41" s="3">
        <v>407850000</v>
      </c>
      <c r="AT41" s="3">
        <v>5562375000</v>
      </c>
      <c r="AU41" s="3">
        <v>308150000</v>
      </c>
      <c r="AV41" s="3" t="s">
        <v>492</v>
      </c>
      <c r="AW41">
        <v>120000</v>
      </c>
      <c r="BB41" s="3"/>
      <c r="BC41" s="3"/>
    </row>
    <row r="42" spans="1:55" x14ac:dyDescent="0.2">
      <c r="A42">
        <v>4</v>
      </c>
      <c r="B42" t="s">
        <v>143</v>
      </c>
      <c r="C42" t="s">
        <v>142</v>
      </c>
      <c r="D42" s="8" t="s">
        <v>144</v>
      </c>
      <c r="E42" t="s">
        <v>55</v>
      </c>
      <c r="F42" t="s">
        <v>150</v>
      </c>
      <c r="G42" s="2" t="d">
        <v>2024-06-11</v>
      </c>
      <c r="H42" s="2" t="d">
        <v>2024-06-11</v>
      </c>
      <c r="I42">
        <v>2025</v>
      </c>
      <c r="J42" t="s">
        <v>57</v>
      </c>
      <c r="K42">
        <v>5</v>
      </c>
      <c r="L42" s="2" t="d">
        <v>2024-02-03</v>
      </c>
      <c r="M42" s="2" t="d">
        <v>2024-05-03</v>
      </c>
      <c r="N42" t="s">
        <v>468</v>
      </c>
      <c r="O42" t="s">
        <v>468</v>
      </c>
      <c r="P42">
        <v>2024</v>
      </c>
      <c r="Q42" t="s">
        <v>58</v>
      </c>
      <c r="R42" t="s">
        <v>59</v>
      </c>
      <c r="S42" t="s">
        <v>146</v>
      </c>
      <c r="T42" t="s">
        <v>61</v>
      </c>
      <c r="U42">
        <v>22244000000</v>
      </c>
      <c r="V42">
        <v>17393000000</v>
      </c>
      <c r="W42">
        <v>965000000</v>
      </c>
      <c r="X42">
        <v>763000000</v>
      </c>
      <c r="Y42">
        <v>-400000000</v>
      </c>
      <c r="Z42">
        <v>592000000</v>
      </c>
      <c r="AA42" s="9">
        <v>-2723000000</v>
      </c>
      <c r="AB42">
        <v>6098000000</v>
      </c>
      <c r="AC42">
        <v>19382000000</v>
      </c>
      <c r="AD42">
        <v>762000000</v>
      </c>
      <c r="AE42">
        <v>5830000000</v>
      </c>
      <c r="AF42">
        <v>0</v>
      </c>
      <c r="AG42">
        <v>1043000000</v>
      </c>
      <c r="AH42">
        <v>-596000000</v>
      </c>
      <c r="AI42">
        <v>800000000</v>
      </c>
      <c r="AJ42">
        <v>0</v>
      </c>
      <c r="AK42">
        <v>8563000000</v>
      </c>
      <c r="AL42">
        <v>4782000000</v>
      </c>
      <c r="AM42">
        <v>20586000000</v>
      </c>
      <c r="AN42">
        <v>992000000</v>
      </c>
      <c r="AO42">
        <v>80190000000</v>
      </c>
      <c r="AP42">
        <v>210000000</v>
      </c>
      <c r="AQ42">
        <v>727000000</v>
      </c>
      <c r="AR42">
        <v>-343000000</v>
      </c>
      <c r="AS42" s="3">
        <v>446000000</v>
      </c>
      <c r="AT42" s="3">
        <v>5879375000</v>
      </c>
      <c r="AU42" s="3">
        <v>317000000</v>
      </c>
      <c r="AV42" s="3" t="s">
        <v>492</v>
      </c>
      <c r="AW42">
        <v>120000</v>
      </c>
      <c r="BB42" s="3"/>
      <c r="BC42" s="3"/>
    </row>
    <row r="43" spans="1:55" x14ac:dyDescent="0.2">
      <c r="A43">
        <v>4</v>
      </c>
      <c r="B43" t="s">
        <v>143</v>
      </c>
      <c r="C43" t="s">
        <v>142</v>
      </c>
      <c r="D43" s="8" t="s">
        <v>144</v>
      </c>
      <c r="E43" t="s">
        <v>55</v>
      </c>
      <c r="F43" t="s">
        <v>152</v>
      </c>
      <c r="G43" s="2" t="d">
        <v>2024-09-10</v>
      </c>
      <c r="H43" s="2" t="d">
        <v>2024-09-10</v>
      </c>
      <c r="I43">
        <v>2025</v>
      </c>
      <c r="J43" t="s">
        <v>58</v>
      </c>
      <c r="K43">
        <v>6</v>
      </c>
      <c r="L43" s="2" t="d">
        <v>2024-05-04</v>
      </c>
      <c r="M43" s="2" t="d">
        <v>2024-08-07</v>
      </c>
      <c r="N43" t="s">
        <v>467</v>
      </c>
      <c r="O43" t="s">
        <v>467</v>
      </c>
      <c r="P43">
        <v>2024</v>
      </c>
      <c r="Q43" t="s">
        <v>63</v>
      </c>
      <c r="R43" t="s">
        <v>59</v>
      </c>
      <c r="S43" t="s">
        <v>146</v>
      </c>
      <c r="T43" t="s">
        <v>61</v>
      </c>
      <c r="U43">
        <v>25026000000</v>
      </c>
      <c r="V43">
        <v>19665000000</v>
      </c>
      <c r="W43">
        <v>1392000000</v>
      </c>
      <c r="X43">
        <v>780000000</v>
      </c>
      <c r="Y43">
        <v>157000000</v>
      </c>
      <c r="Z43">
        <v>1039000000</v>
      </c>
      <c r="AA43" s="9">
        <v>-2797000000</v>
      </c>
      <c r="AB43">
        <v>6711000000</v>
      </c>
      <c r="AC43">
        <v>17811000000</v>
      </c>
      <c r="AD43">
        <v>827000000</v>
      </c>
      <c r="AE43">
        <v>4550000000</v>
      </c>
      <c r="AF43">
        <v>0</v>
      </c>
      <c r="AG43">
        <v>1340000000</v>
      </c>
      <c r="AH43">
        <v>-682000000</v>
      </c>
      <c r="AI43">
        <v>784000000</v>
      </c>
      <c r="AJ43">
        <v>0</v>
      </c>
      <c r="AK43">
        <v>11391000000</v>
      </c>
      <c r="AL43">
        <v>5953000000</v>
      </c>
      <c r="AM43">
        <v>24095000000</v>
      </c>
      <c r="AN43">
        <v>882000000</v>
      </c>
      <c r="AO43">
        <v>82687000000</v>
      </c>
      <c r="AP43">
        <v>191000000</v>
      </c>
      <c r="AQ43">
        <v>724000000</v>
      </c>
      <c r="AR43">
        <v>-387000000</v>
      </c>
      <c r="AS43" s="3">
        <v>485000000</v>
      </c>
      <c r="AT43" s="3">
        <v>6174375000</v>
      </c>
      <c r="AU43" s="3">
        <v>295000000</v>
      </c>
      <c r="AV43" s="3" t="s">
        <v>492</v>
      </c>
      <c r="AW43">
        <v>120000</v>
      </c>
      <c r="BB43" s="3"/>
      <c r="BC43" s="3"/>
    </row>
    <row r="44" spans="1:55" x14ac:dyDescent="0.2">
      <c r="A44">
        <v>4</v>
      </c>
      <c r="B44" t="s">
        <v>143</v>
      </c>
      <c r="C44" t="s">
        <v>142</v>
      </c>
      <c r="D44" s="8" t="s">
        <v>144</v>
      </c>
      <c r="E44" t="s">
        <v>55</v>
      </c>
      <c r="F44" t="s">
        <v>153</v>
      </c>
      <c r="G44" s="2" t="d">
        <v>2024-12-10</v>
      </c>
      <c r="H44" s="2" t="d">
        <v>2024-12-10</v>
      </c>
      <c r="I44">
        <v>2025</v>
      </c>
      <c r="J44" t="s">
        <v>63</v>
      </c>
      <c r="K44">
        <v>7</v>
      </c>
      <c r="L44" s="2" t="d">
        <v>2024-08-08</v>
      </c>
      <c r="M44" s="2" t="d">
        <v>2024-11-01</v>
      </c>
      <c r="N44" t="s">
        <v>467</v>
      </c>
      <c r="O44" t="s">
        <v>467</v>
      </c>
      <c r="P44">
        <v>2024</v>
      </c>
      <c r="Q44" t="s">
        <v>65</v>
      </c>
      <c r="R44" t="s">
        <v>59</v>
      </c>
      <c r="S44" t="s">
        <v>146</v>
      </c>
      <c r="T44" t="s">
        <v>61</v>
      </c>
      <c r="U44">
        <v>24366000000</v>
      </c>
      <c r="V44">
        <v>19006000000</v>
      </c>
      <c r="W44">
        <v>1721000000</v>
      </c>
      <c r="X44">
        <v>745000000</v>
      </c>
      <c r="Y44">
        <v>275000000</v>
      </c>
      <c r="Z44">
        <v>1445000000</v>
      </c>
      <c r="AA44" s="9">
        <v>-2190000000</v>
      </c>
      <c r="AB44">
        <v>5612000000</v>
      </c>
      <c r="AC44">
        <v>19410000000</v>
      </c>
      <c r="AD44">
        <v>805000000</v>
      </c>
      <c r="AE44">
        <v>5225000000</v>
      </c>
      <c r="AF44">
        <v>0</v>
      </c>
      <c r="AG44">
        <v>1553000000</v>
      </c>
      <c r="AH44">
        <v>-639000000</v>
      </c>
      <c r="AI44">
        <v>765000000</v>
      </c>
      <c r="AJ44">
        <v>0</v>
      </c>
      <c r="AK44">
        <v>11189000000</v>
      </c>
      <c r="AL44">
        <v>6652000000</v>
      </c>
      <c r="AM44">
        <v>23400000000</v>
      </c>
      <c r="AN44">
        <v>1170000000</v>
      </c>
      <c r="AO44">
        <v>81951000000</v>
      </c>
      <c r="AP44">
        <v>198000000</v>
      </c>
      <c r="AQ44">
        <v>717000000</v>
      </c>
      <c r="AR44">
        <v>-321000000</v>
      </c>
      <c r="AS44" s="3">
        <v>522250000</v>
      </c>
      <c r="AT44" s="3">
        <v>6397125000</v>
      </c>
      <c r="AU44" s="3">
        <v>222750000</v>
      </c>
      <c r="AV44" s="3" t="s">
        <v>492</v>
      </c>
      <c r="AW44">
        <v>120000</v>
      </c>
      <c r="BB44" s="3"/>
      <c r="BC44" s="3"/>
    </row>
    <row r="45" spans="1:55" x14ac:dyDescent="0.2">
      <c r="A45">
        <v>4</v>
      </c>
      <c r="B45" t="s">
        <v>143</v>
      </c>
      <c r="C45" t="s">
        <v>142</v>
      </c>
      <c r="D45" s="8" t="s">
        <v>144</v>
      </c>
      <c r="E45" t="s">
        <v>66</v>
      </c>
      <c r="F45" t="s">
        <v>154</v>
      </c>
      <c r="G45" s="2" t="d">
        <v>2025-03-25</v>
      </c>
      <c r="H45" s="2" t="d">
        <v>2025-03-25</v>
      </c>
      <c r="I45">
        <v>2025</v>
      </c>
      <c r="J45" t="s">
        <v>65</v>
      </c>
      <c r="K45">
        <v>8</v>
      </c>
      <c r="L45" s="2" t="d">
        <v>2024-11-02</v>
      </c>
      <c r="M45" s="2" t="d">
        <v>2025-01-31</v>
      </c>
      <c r="N45" t="s">
        <v>467</v>
      </c>
      <c r="O45" t="s">
        <v>467</v>
      </c>
      <c r="P45">
        <v>2025</v>
      </c>
      <c r="Q45" t="s">
        <v>57</v>
      </c>
      <c r="R45" t="s">
        <v>59</v>
      </c>
      <c r="S45" t="s">
        <v>155</v>
      </c>
      <c r="T45" t="s">
        <v>61</v>
      </c>
      <c r="U45">
        <v>23931000000</v>
      </c>
      <c r="V45">
        <v>18253000000</v>
      </c>
      <c r="W45">
        <v>2159000000</v>
      </c>
      <c r="X45">
        <v>773000000</v>
      </c>
      <c r="Y45">
        <v>440000000</v>
      </c>
      <c r="Z45">
        <v>1972000000</v>
      </c>
      <c r="AA45" s="9">
        <v>-1387000000</v>
      </c>
      <c r="AB45">
        <v>5204000000</v>
      </c>
      <c r="AC45">
        <v>19363000000</v>
      </c>
      <c r="AD45">
        <v>758000000</v>
      </c>
      <c r="AE45">
        <v>3633000000</v>
      </c>
      <c r="AF45">
        <v>0</v>
      </c>
      <c r="AG45">
        <v>585000000</v>
      </c>
      <c r="AH45">
        <v>-735000000</v>
      </c>
      <c r="AI45">
        <v>774000000</v>
      </c>
      <c r="AJ45">
        <v>0</v>
      </c>
      <c r="AK45">
        <v>10298000000</v>
      </c>
      <c r="AL45">
        <v>6716000000</v>
      </c>
      <c r="AM45">
        <v>20832000000</v>
      </c>
      <c r="AN45">
        <v>1532000000</v>
      </c>
      <c r="AO45">
        <v>79746000000</v>
      </c>
      <c r="AP45">
        <v>186000000</v>
      </c>
      <c r="AQ45">
        <v>720000000</v>
      </c>
      <c r="AR45">
        <v>-343000000</v>
      </c>
      <c r="AS45" s="3">
        <v>560900000</v>
      </c>
      <c r="AT45" s="3">
        <v>6609225000</v>
      </c>
      <c r="AU45" s="3">
        <v>212100000</v>
      </c>
      <c r="AV45" s="3" t="s">
        <v>492</v>
      </c>
      <c r="AW45">
        <v>108000</v>
      </c>
      <c r="BB45" s="3"/>
      <c r="BC45" s="3"/>
    </row>
    <row r="46" spans="1:55" x14ac:dyDescent="0.2">
      <c r="A46">
        <v>4</v>
      </c>
      <c r="B46" t="s">
        <v>143</v>
      </c>
      <c r="C46" t="s">
        <v>142</v>
      </c>
      <c r="D46" s="8" t="s">
        <v>144</v>
      </c>
      <c r="E46" t="s">
        <v>55</v>
      </c>
      <c r="F46" t="s">
        <v>156</v>
      </c>
      <c r="G46" s="2" t="d">
        <v>2025-06-10</v>
      </c>
      <c r="H46" s="2" t="d">
        <v>2025-06-10</v>
      </c>
      <c r="I46">
        <v>2026</v>
      </c>
      <c r="J46" t="s">
        <v>57</v>
      </c>
      <c r="K46">
        <v>9</v>
      </c>
      <c r="L46" s="2" t="d">
        <v>2025-02-01</v>
      </c>
      <c r="M46" s="2" t="d">
        <v>2025-05-02</v>
      </c>
      <c r="N46" t="s">
        <v>468</v>
      </c>
      <c r="O46" t="s">
        <v>468</v>
      </c>
      <c r="P46">
        <v>2025</v>
      </c>
      <c r="Q46" t="s">
        <v>58</v>
      </c>
      <c r="R46" t="s">
        <v>59</v>
      </c>
      <c r="S46" t="s">
        <v>146</v>
      </c>
      <c r="T46" t="s">
        <v>61</v>
      </c>
      <c r="U46">
        <v>23378000000</v>
      </c>
      <c r="V46">
        <v>18441000000</v>
      </c>
      <c r="W46">
        <v>1165000000</v>
      </c>
      <c r="X46">
        <v>808000000</v>
      </c>
      <c r="Y46">
        <v>118000000</v>
      </c>
      <c r="Z46">
        <v>1083000000</v>
      </c>
      <c r="AA46" s="9">
        <v>-3024000000</v>
      </c>
      <c r="AB46">
        <v>4845000000</v>
      </c>
      <c r="AC46">
        <v>23936000000</v>
      </c>
      <c r="AD46">
        <v>794000000</v>
      </c>
      <c r="AE46">
        <v>7700000000</v>
      </c>
      <c r="AF46">
        <v>0</v>
      </c>
      <c r="AG46">
        <v>2796000000</v>
      </c>
      <c r="AH46">
        <v>-568000000</v>
      </c>
      <c r="AI46">
        <v>738000000</v>
      </c>
      <c r="AJ46">
        <v>0</v>
      </c>
      <c r="AK46">
        <v>9785000000</v>
      </c>
      <c r="AL46">
        <v>7415000000</v>
      </c>
      <c r="AM46">
        <v>25349000000</v>
      </c>
      <c r="AN46">
        <v>965000000</v>
      </c>
      <c r="AO46">
        <v>86869000000</v>
      </c>
      <c r="AP46">
        <v>190000000</v>
      </c>
      <c r="AQ46">
        <v>702000000</v>
      </c>
      <c r="AR46">
        <v>-354000000</v>
      </c>
      <c r="AS46" s="3">
        <v>601300000</v>
      </c>
      <c r="AT46" s="3">
        <v>6815925000</v>
      </c>
      <c r="AU46" s="3">
        <v>206700000</v>
      </c>
      <c r="AV46" s="3" t="s">
        <v>492</v>
      </c>
      <c r="AW46">
        <v>108000</v>
      </c>
      <c r="BB46" s="3"/>
    </row>
    <row r="47" spans="1:55" x14ac:dyDescent="0.2">
      <c r="A47">
        <v>4</v>
      </c>
      <c r="B47" t="s">
        <v>143</v>
      </c>
      <c r="C47" t="s">
        <v>142</v>
      </c>
      <c r="D47" s="8" t="s">
        <v>144</v>
      </c>
      <c r="E47" t="s">
        <v>55</v>
      </c>
      <c r="F47" t="s">
        <v>157</v>
      </c>
      <c r="G47" s="2" t="d">
        <v>2025-09-08</v>
      </c>
      <c r="H47" s="2" t="d">
        <v>2025-09-08</v>
      </c>
      <c r="I47">
        <v>2026</v>
      </c>
      <c r="J47" t="s">
        <v>58</v>
      </c>
      <c r="K47">
        <v>10</v>
      </c>
      <c r="L47" s="2" t="d">
        <v>2025-05-03</v>
      </c>
      <c r="M47" s="2" t="d">
        <v>2025-08-01</v>
      </c>
      <c r="N47" t="s">
        <v>467</v>
      </c>
      <c r="O47" t="s">
        <v>467</v>
      </c>
      <c r="P47">
        <v>2025</v>
      </c>
      <c r="Q47" t="s">
        <v>63</v>
      </c>
      <c r="R47" t="s">
        <v>59</v>
      </c>
      <c r="S47" t="s">
        <v>146</v>
      </c>
      <c r="T47" t="s">
        <v>61</v>
      </c>
      <c r="U47">
        <v>29776000000</v>
      </c>
      <c r="V47">
        <v>24329000000</v>
      </c>
      <c r="W47">
        <v>1773000000</v>
      </c>
      <c r="X47">
        <v>785000000</v>
      </c>
      <c r="Y47">
        <v>276000000</v>
      </c>
      <c r="Z47">
        <v>1440000000</v>
      </c>
      <c r="AA47" s="9">
        <v>-2766000000</v>
      </c>
      <c r="AB47">
        <v>7154000000</v>
      </c>
      <c r="AC47">
        <v>21535000000</v>
      </c>
      <c r="AD47">
        <v>790000000</v>
      </c>
      <c r="AE47">
        <v>8145000000</v>
      </c>
      <c r="AF47">
        <v>0</v>
      </c>
      <c r="AG47">
        <v>2543000000</v>
      </c>
      <c r="AH47">
        <v>-675000000</v>
      </c>
      <c r="AI47">
        <v>762000000</v>
      </c>
      <c r="AJ47">
        <v>0</v>
      </c>
      <c r="AK47">
        <v>15023000000</v>
      </c>
      <c r="AL47">
        <v>7211000000</v>
      </c>
      <c r="AM47">
        <v>27463000000</v>
      </c>
      <c r="AN47">
        <v>1164000000</v>
      </c>
      <c r="AO47">
        <v>89176000000</v>
      </c>
      <c r="AP47">
        <v>179000000</v>
      </c>
      <c r="AQ47">
        <v>686000000</v>
      </c>
      <c r="AR47">
        <v>-399000000</v>
      </c>
      <c r="AS47" s="3">
        <v>640550000</v>
      </c>
      <c r="AT47" s="3">
        <v>6960375000</v>
      </c>
      <c r="AU47" s="3">
        <v>144450000</v>
      </c>
      <c r="AV47" s="3" t="s">
        <v>492</v>
      </c>
      <c r="AW47">
        <v>108000</v>
      </c>
      <c r="BB47" s="3"/>
    </row>
    <row r="48" spans="1:55" x14ac:dyDescent="0.2">
      <c r="A48">
        <v>4</v>
      </c>
      <c r="B48" t="s">
        <v>143</v>
      </c>
      <c r="C48" t="s">
        <v>142</v>
      </c>
      <c r="D48" s="8" t="s">
        <v>144</v>
      </c>
      <c r="E48" t="s">
        <v>55</v>
      </c>
      <c r="F48" t="s">
        <v>158</v>
      </c>
      <c r="G48" s="2" t="d">
        <v>2025-12-09</v>
      </c>
      <c r="H48" s="2" t="d">
        <v>2025-12-09</v>
      </c>
      <c r="I48">
        <v>2026</v>
      </c>
      <c r="J48" t="s">
        <v>63</v>
      </c>
      <c r="K48">
        <v>11</v>
      </c>
      <c r="L48" s="2" t="d">
        <v>2025-08-02</v>
      </c>
      <c r="M48" s="2" t="d">
        <v>2025-10-31</v>
      </c>
      <c r="N48" t="s">
        <v>467</v>
      </c>
      <c r="O48" t="s">
        <v>467</v>
      </c>
      <c r="P48">
        <v>2025</v>
      </c>
      <c r="Q48" t="s">
        <v>65</v>
      </c>
      <c r="R48" t="s">
        <v>59</v>
      </c>
      <c r="S48" t="s">
        <v>146</v>
      </c>
      <c r="T48" t="s">
        <v>61</v>
      </c>
      <c r="U48">
        <v>27005000000</v>
      </c>
      <c r="V48">
        <v>21412000000</v>
      </c>
      <c r="W48">
        <v>2119000000</v>
      </c>
      <c r="X48">
        <v>752000000</v>
      </c>
      <c r="Y48">
        <v>393000000</v>
      </c>
      <c r="Z48">
        <v>1941000000</v>
      </c>
      <c r="AA48" s="9">
        <v>-2620000000</v>
      </c>
      <c r="AB48">
        <v>7394000000</v>
      </c>
      <c r="AC48">
        <v>23849000000</v>
      </c>
      <c r="AD48">
        <v>764000000</v>
      </c>
      <c r="AE48">
        <v>9569000000</v>
      </c>
      <c r="AF48">
        <v>0</v>
      </c>
      <c r="AG48">
        <v>1172000000</v>
      </c>
      <c r="AH48">
        <v>-669000000</v>
      </c>
      <c r="AI48">
        <v>756000000</v>
      </c>
      <c r="AJ48">
        <v>0</v>
      </c>
      <c r="AK48">
        <v>11721000000</v>
      </c>
      <c r="AL48">
        <v>6949000000</v>
      </c>
      <c r="AM48">
        <v>23794000000</v>
      </c>
      <c r="AN48">
        <v>1548000000</v>
      </c>
      <c r="AO48" s="9">
        <v>87479000000</v>
      </c>
      <c r="AP48">
        <v>165000000</v>
      </c>
      <c r="AQ48">
        <v>680000000</v>
      </c>
      <c r="AR48">
        <v>-396000000</v>
      </c>
      <c r="AS48" s="3">
        <v>678150000</v>
      </c>
      <c r="AT48" s="3">
        <v>7034225000</v>
      </c>
      <c r="AU48" s="3">
        <v>73850000</v>
      </c>
      <c r="AV48" s="3" t="s">
        <v>492</v>
      </c>
      <c r="AW48">
        <v>108000</v>
      </c>
      <c r="BB48" s="3"/>
    </row>
    <row r="49" spans="1:77" x14ac:dyDescent="0.2">
      <c r="A49">
        <v>4</v>
      </c>
      <c r="B49" t="s">
        <v>143</v>
      </c>
      <c r="C49" t="s">
        <v>142</v>
      </c>
      <c r="D49" s="8" t="s">
        <v>144</v>
      </c>
      <c r="E49" t="s">
        <v>66</v>
      </c>
      <c r="F49" t="s">
        <v>159</v>
      </c>
      <c r="G49" s="2" t="d">
        <v>2025-03-16</v>
      </c>
      <c r="H49" s="2" t="d">
        <v>2025-03-16</v>
      </c>
      <c r="I49">
        <v>2026</v>
      </c>
      <c r="J49" t="s">
        <v>65</v>
      </c>
      <c r="K49">
        <v>12</v>
      </c>
      <c r="L49" s="2" t="d">
        <v>2025-11-01</v>
      </c>
      <c r="M49" s="2" t="d">
        <v>2026-01-30</v>
      </c>
      <c r="N49" t="s">
        <v>467</v>
      </c>
      <c r="O49" t="s">
        <v>467</v>
      </c>
      <c r="P49">
        <v>2026</v>
      </c>
      <c r="Q49" t="s">
        <v>57</v>
      </c>
      <c r="R49" t="s">
        <v>59</v>
      </c>
      <c r="S49" t="s">
        <v>155</v>
      </c>
      <c r="T49" t="s">
        <v>61</v>
      </c>
      <c r="U49">
        <v>33379000000</v>
      </c>
      <c r="V49">
        <v>26649000000</v>
      </c>
      <c r="W49">
        <v>3092000000</v>
      </c>
      <c r="X49">
        <v>797000000</v>
      </c>
      <c r="Y49">
        <v>540000000</v>
      </c>
      <c r="Z49">
        <v>2799000000</v>
      </c>
      <c r="AA49" s="9">
        <v>-2470000000</v>
      </c>
      <c r="AB49">
        <v>7990000000</v>
      </c>
      <c r="AC49">
        <v>23513000000</v>
      </c>
      <c r="AD49">
        <v>727000000</v>
      </c>
      <c r="AE49">
        <v>11528000000</v>
      </c>
      <c r="AF49">
        <v>0</v>
      </c>
      <c r="AG49">
        <v>4674000000</v>
      </c>
      <c r="AH49">
        <v>-721000000</v>
      </c>
      <c r="AI49">
        <v>773000000</v>
      </c>
      <c r="AJ49">
        <v>-84000000</v>
      </c>
      <c r="AK49">
        <v>17585000000</v>
      </c>
      <c r="AL49">
        <v>10437000000</v>
      </c>
      <c r="AM49">
        <v>33630000000</v>
      </c>
      <c r="AN49">
        <v>2259000000</v>
      </c>
      <c r="AO49" s="9">
        <v>101286000000</v>
      </c>
      <c r="AP49">
        <v>189000000</v>
      </c>
      <c r="AQ49">
        <v>684000000</v>
      </c>
      <c r="AR49">
        <v>-411000000</v>
      </c>
      <c r="AS49" s="3">
        <v>718000000</v>
      </c>
      <c r="AT49" s="3">
        <v>7113225000</v>
      </c>
      <c r="AU49" s="3">
        <v>79000000</v>
      </c>
      <c r="AV49" s="3" t="s">
        <v>492</v>
      </c>
      <c r="AW49">
        <v>97000</v>
      </c>
      <c r="BB49" s="3"/>
    </row>
    <row r="50" spans="1:77" x14ac:dyDescent="0.2">
      <c r="A50">
        <v>5</v>
      </c>
      <c r="B50" t="s">
        <v>163</v>
      </c>
      <c r="C50" t="s">
        <v>164</v>
      </c>
      <c r="D50" s="8" t="s">
        <v>165</v>
      </c>
      <c r="E50" t="s">
        <v>55</v>
      </c>
      <c r="F50" t="s">
        <v>167</v>
      </c>
      <c r="G50" s="2" t="d">
        <v>2023-04-25</v>
      </c>
      <c r="H50" s="2" t="d">
        <v>2023-04-25</v>
      </c>
      <c r="I50">
        <v>2023</v>
      </c>
      <c r="J50" t="s">
        <v>63</v>
      </c>
      <c r="K50">
        <v>1</v>
      </c>
      <c r="L50" s="2" t="d">
        <v>2023-01-01</v>
      </c>
      <c r="M50" s="2" t="d">
        <v>2023-03-31</v>
      </c>
      <c r="N50" t="s">
        <v>467</v>
      </c>
      <c r="O50" t="s">
        <v>467</v>
      </c>
      <c r="P50">
        <v>2023</v>
      </c>
      <c r="Q50" t="s">
        <v>57</v>
      </c>
      <c r="R50" t="s">
        <v>59</v>
      </c>
      <c r="S50" t="s">
        <v>166</v>
      </c>
      <c r="T50" t="s">
        <v>61</v>
      </c>
      <c r="U50">
        <v>52857000000</v>
      </c>
      <c r="V50">
        <v>16128000000</v>
      </c>
      <c r="W50">
        <v>22352000000</v>
      </c>
      <c r="X50">
        <v>6984000000</v>
      </c>
      <c r="Y50">
        <v>4374000000</v>
      </c>
      <c r="Z50">
        <v>22673000000</v>
      </c>
      <c r="AA50" s="9">
        <v>194683000000</v>
      </c>
      <c r="AB50">
        <v>6245000000</v>
      </c>
      <c r="AC50">
        <v>41965000000</v>
      </c>
      <c r="AD50">
        <v>12312000000</v>
      </c>
      <c r="AE50">
        <v>26562000000</v>
      </c>
      <c r="AF50">
        <v>77865000000</v>
      </c>
      <c r="AG50">
        <v>24441000000</v>
      </c>
      <c r="AH50">
        <v>-6607000000</v>
      </c>
      <c r="AI50">
        <v>3549000000</v>
      </c>
      <c r="AJ50">
        <v>-301000000</v>
      </c>
      <c r="AK50">
        <v>37420000000</v>
      </c>
      <c r="AL50">
        <v>2877000000</v>
      </c>
      <c r="AM50">
        <v>15305000000</v>
      </c>
      <c r="AN50">
        <v>18299000000</v>
      </c>
      <c r="AO50" s="9">
        <v>380088000000</v>
      </c>
      <c r="AP50">
        <v>2465000000</v>
      </c>
      <c r="AQ50">
        <v>7464000000</v>
      </c>
      <c r="AR50">
        <v>-496000000</v>
      </c>
      <c r="AS50">
        <v>3574050000</v>
      </c>
      <c r="AT50">
        <v>51568075000</v>
      </c>
      <c r="AU50">
        <v>3409950000</v>
      </c>
      <c r="AV50" s="3" t="s">
        <v>473</v>
      </c>
      <c r="AW50">
        <v>221000</v>
      </c>
      <c r="BA50" s="3"/>
      <c r="BB50" s="3"/>
    </row>
    <row r="51" spans="1:77" x14ac:dyDescent="0.2">
      <c r="A51">
        <v>5</v>
      </c>
      <c r="B51" t="s">
        <v>163</v>
      </c>
      <c r="C51" t="s">
        <v>164</v>
      </c>
      <c r="D51" s="8" t="s">
        <v>165</v>
      </c>
      <c r="E51" t="s">
        <v>66</v>
      </c>
      <c r="F51" t="s">
        <v>168</v>
      </c>
      <c r="G51" s="2" t="d">
        <v>2023-07-27</v>
      </c>
      <c r="H51" s="2" t="d">
        <v>2023-07-27</v>
      </c>
      <c r="I51">
        <v>2023</v>
      </c>
      <c r="J51" t="s">
        <v>65</v>
      </c>
      <c r="K51">
        <v>2</v>
      </c>
      <c r="L51" s="2" t="d">
        <v>2023-04-01</v>
      </c>
      <c r="M51" s="2" t="d">
        <v>2023-06-30</v>
      </c>
      <c r="N51" t="s">
        <v>467</v>
      </c>
      <c r="O51" t="s">
        <v>467</v>
      </c>
      <c r="P51">
        <v>2023</v>
      </c>
      <c r="Q51" t="s">
        <v>58</v>
      </c>
      <c r="R51" t="s">
        <v>59</v>
      </c>
      <c r="S51" t="s">
        <v>166</v>
      </c>
      <c r="T51" t="s">
        <v>61</v>
      </c>
      <c r="U51">
        <v>56189000000</v>
      </c>
      <c r="V51">
        <v>16795000000</v>
      </c>
      <c r="W51">
        <v>24254000000</v>
      </c>
      <c r="X51">
        <v>6739000000</v>
      </c>
      <c r="Y51">
        <v>4646000000</v>
      </c>
      <c r="Z51">
        <v>24727000000</v>
      </c>
      <c r="AA51" s="9">
        <v>206223000000</v>
      </c>
      <c r="AB51">
        <v>5247000000</v>
      </c>
      <c r="AC51">
        <v>41990000000</v>
      </c>
      <c r="AD51">
        <v>12728000000</v>
      </c>
      <c r="AE51">
        <v>34704000000</v>
      </c>
      <c r="AF51">
        <v>76558000000</v>
      </c>
      <c r="AG51">
        <v>28770000000</v>
      </c>
      <c r="AH51">
        <v>-8943000000</v>
      </c>
      <c r="AI51">
        <v>4472000000</v>
      </c>
      <c r="AJ51">
        <v>-341000000</v>
      </c>
      <c r="AK51">
        <v>48688000000</v>
      </c>
      <c r="AL51">
        <v>2500000000</v>
      </c>
      <c r="AM51">
        <v>18095000000</v>
      </c>
      <c r="AN51">
        <v>20081000000</v>
      </c>
      <c r="AO51" s="9">
        <v>411976000000</v>
      </c>
      <c r="AP51">
        <v>2416000000</v>
      </c>
      <c r="AQ51">
        <v>7472000000</v>
      </c>
      <c r="AR51">
        <v>-482000000</v>
      </c>
      <c r="AS51">
        <v>3911000000</v>
      </c>
      <c r="AT51">
        <v>54733025000</v>
      </c>
      <c r="AU51">
        <v>2828000000</v>
      </c>
      <c r="AV51" s="3" t="s">
        <v>473</v>
      </c>
      <c r="AW51">
        <v>221000</v>
      </c>
      <c r="BA51" s="3"/>
      <c r="BB51" s="3"/>
    </row>
    <row r="52" spans="1:77" x14ac:dyDescent="0.2">
      <c r="A52">
        <v>5</v>
      </c>
      <c r="B52" t="s">
        <v>163</v>
      </c>
      <c r="C52" t="s">
        <v>164</v>
      </c>
      <c r="D52" s="8" t="s">
        <v>165</v>
      </c>
      <c r="E52" t="s">
        <v>55</v>
      </c>
      <c r="F52" t="s">
        <v>169</v>
      </c>
      <c r="G52" s="2" t="d">
        <v>2023-10-24</v>
      </c>
      <c r="H52" s="2" t="d">
        <v>2023-10-24</v>
      </c>
      <c r="I52">
        <v>2024</v>
      </c>
      <c r="J52" t="s">
        <v>57</v>
      </c>
      <c r="K52">
        <v>3</v>
      </c>
      <c r="L52" s="2" t="d">
        <v>2023-07-01</v>
      </c>
      <c r="M52" s="2" t="d">
        <v>2023-09-30</v>
      </c>
      <c r="N52" t="s">
        <v>468</v>
      </c>
      <c r="O52" t="s">
        <v>468</v>
      </c>
      <c r="P52">
        <v>2023</v>
      </c>
      <c r="Q52" t="s">
        <v>63</v>
      </c>
      <c r="R52" t="s">
        <v>59</v>
      </c>
      <c r="S52" t="s">
        <v>166</v>
      </c>
      <c r="T52" t="s">
        <v>61</v>
      </c>
      <c r="U52">
        <v>56517000000</v>
      </c>
      <c r="V52">
        <v>16302000000</v>
      </c>
      <c r="W52">
        <v>26895000000</v>
      </c>
      <c r="X52">
        <v>6659000000</v>
      </c>
      <c r="Y52">
        <v>4993000000</v>
      </c>
      <c r="Z52">
        <v>27284000000</v>
      </c>
      <c r="AA52" s="9">
        <v>220714000000</v>
      </c>
      <c r="AB52">
        <v>25808000000</v>
      </c>
      <c r="AC52">
        <v>41946000000</v>
      </c>
      <c r="AD52">
        <v>13487000000</v>
      </c>
      <c r="AE52">
        <v>80452000000</v>
      </c>
      <c r="AF52">
        <v>63499000000</v>
      </c>
      <c r="AG52">
        <v>30583000000</v>
      </c>
      <c r="AH52">
        <v>-9917000000</v>
      </c>
      <c r="AI52">
        <v>3921000000</v>
      </c>
      <c r="AJ52">
        <v>-1186000000</v>
      </c>
      <c r="AK52">
        <v>36953000000</v>
      </c>
      <c r="AL52">
        <v>3000000000</v>
      </c>
      <c r="AM52">
        <v>19307000000</v>
      </c>
      <c r="AN52">
        <v>22291000000</v>
      </c>
      <c r="AO52" s="9">
        <v>445785000000</v>
      </c>
      <c r="AP52">
        <v>2507000000</v>
      </c>
      <c r="AQ52">
        <v>7462000000</v>
      </c>
      <c r="AR52">
        <v>-525000000</v>
      </c>
      <c r="AS52">
        <v>4243950000</v>
      </c>
      <c r="AT52">
        <v>57481025000</v>
      </c>
      <c r="AU52">
        <v>2415050000</v>
      </c>
      <c r="AV52" s="3" t="s">
        <v>473</v>
      </c>
      <c r="AW52">
        <v>221000</v>
      </c>
      <c r="BA52" s="3"/>
      <c r="BB52" s="3"/>
    </row>
    <row r="53" spans="1:77" x14ac:dyDescent="0.2">
      <c r="A53">
        <v>5</v>
      </c>
      <c r="B53" t="s">
        <v>163</v>
      </c>
      <c r="C53" t="s">
        <v>164</v>
      </c>
      <c r="D53" s="8" t="s">
        <v>165</v>
      </c>
      <c r="E53" t="s">
        <v>55</v>
      </c>
      <c r="F53" t="s">
        <v>170</v>
      </c>
      <c r="G53" s="2" t="d">
        <v>2024-01-30</v>
      </c>
      <c r="H53" s="2" t="d">
        <v>2024-01-30</v>
      </c>
      <c r="I53">
        <v>2024</v>
      </c>
      <c r="J53" t="s">
        <v>58</v>
      </c>
      <c r="K53">
        <v>4</v>
      </c>
      <c r="L53" s="2" t="d">
        <v>2023-10-01</v>
      </c>
      <c r="M53" s="2" t="d">
        <v>2023-12-31</v>
      </c>
      <c r="N53" t="s">
        <v>467</v>
      </c>
      <c r="O53" t="s">
        <v>467</v>
      </c>
      <c r="P53">
        <v>2023</v>
      </c>
      <c r="Q53" t="s">
        <v>65</v>
      </c>
      <c r="R53" t="s">
        <v>59</v>
      </c>
      <c r="S53" t="s">
        <v>166</v>
      </c>
      <c r="T53" t="s">
        <v>61</v>
      </c>
      <c r="U53">
        <v>62020000000</v>
      </c>
      <c r="V53">
        <v>19623000000</v>
      </c>
      <c r="W53">
        <v>27032000000</v>
      </c>
      <c r="X53">
        <v>7142000000</v>
      </c>
      <c r="Y53">
        <v>4656000000</v>
      </c>
      <c r="Z53">
        <v>26526000000</v>
      </c>
      <c r="AA53" s="9">
        <v>238268000000</v>
      </c>
      <c r="AB53">
        <v>27041000000</v>
      </c>
      <c r="AC53">
        <v>44928000000</v>
      </c>
      <c r="AD53">
        <v>14155000000</v>
      </c>
      <c r="AE53">
        <v>17305000000</v>
      </c>
      <c r="AF53">
        <v>63712000000</v>
      </c>
      <c r="AG53">
        <v>18853000000</v>
      </c>
      <c r="AH53">
        <v>-9735000000</v>
      </c>
      <c r="AI53">
        <v>5959000000</v>
      </c>
      <c r="AJ53">
        <v>-65029000000</v>
      </c>
      <c r="AK53">
        <v>42831000000</v>
      </c>
      <c r="AL53">
        <v>1615000000</v>
      </c>
      <c r="AM53">
        <v>17695000000</v>
      </c>
      <c r="AN53">
        <v>21870000000</v>
      </c>
      <c r="AO53" s="9">
        <v>470558000000</v>
      </c>
      <c r="AP53">
        <v>2828000000</v>
      </c>
      <c r="AQ53">
        <v>7468000000</v>
      </c>
      <c r="AR53">
        <v>-909000000</v>
      </c>
      <c r="AS53">
        <v>4601050000</v>
      </c>
      <c r="AT53">
        <v>60379075000</v>
      </c>
      <c r="AU53">
        <v>2540950000</v>
      </c>
      <c r="AV53" s="3" t="s">
        <v>473</v>
      </c>
      <c r="AW53">
        <v>221000</v>
      </c>
      <c r="BA53" s="3"/>
      <c r="BB53" s="3"/>
    </row>
    <row r="54" spans="1:77" x14ac:dyDescent="0.2">
      <c r="A54">
        <v>5</v>
      </c>
      <c r="B54" t="s">
        <v>163</v>
      </c>
      <c r="C54" t="s">
        <v>164</v>
      </c>
      <c r="D54" s="8" t="s">
        <v>165</v>
      </c>
      <c r="E54" t="s">
        <v>55</v>
      </c>
      <c r="F54" t="s">
        <v>171</v>
      </c>
      <c r="G54" s="2" t="d">
        <v>2024-04-25</v>
      </c>
      <c r="H54" s="2" t="d">
        <v>2024-04-25</v>
      </c>
      <c r="I54">
        <v>2024</v>
      </c>
      <c r="J54" t="s">
        <v>63</v>
      </c>
      <c r="K54">
        <v>5</v>
      </c>
      <c r="L54" s="2" t="d">
        <v>2024-01-01</v>
      </c>
      <c r="M54" s="2" t="d">
        <v>2024-03-31</v>
      </c>
      <c r="N54" t="s">
        <v>467</v>
      </c>
      <c r="O54" t="s">
        <v>467</v>
      </c>
      <c r="P54">
        <v>2024</v>
      </c>
      <c r="Q54" t="s">
        <v>57</v>
      </c>
      <c r="R54" t="s">
        <v>59</v>
      </c>
      <c r="S54" t="s">
        <v>166</v>
      </c>
      <c r="T54" t="s">
        <v>61</v>
      </c>
      <c r="U54">
        <v>61858000000</v>
      </c>
      <c r="V54">
        <v>18505000000</v>
      </c>
      <c r="W54">
        <v>27581000000</v>
      </c>
      <c r="X54">
        <v>7653000000</v>
      </c>
      <c r="Y54">
        <v>4788000000</v>
      </c>
      <c r="Z54">
        <v>26727000000</v>
      </c>
      <c r="AA54" s="9">
        <v>253152000000</v>
      </c>
      <c r="AB54">
        <v>20535000000</v>
      </c>
      <c r="AC54">
        <v>42658000000</v>
      </c>
      <c r="AD54">
        <v>14469000000</v>
      </c>
      <c r="AE54">
        <v>19634000000</v>
      </c>
      <c r="AF54">
        <v>60387000000</v>
      </c>
      <c r="AG54">
        <v>31917000000</v>
      </c>
      <c r="AH54">
        <v>-10952000000</v>
      </c>
      <c r="AI54">
        <v>6027000000</v>
      </c>
      <c r="AJ54">
        <v>-10952000000</v>
      </c>
      <c r="AK54">
        <v>44029000000</v>
      </c>
      <c r="AL54">
        <v>1304000000</v>
      </c>
      <c r="AM54">
        <v>18087000000</v>
      </c>
      <c r="AN54">
        <v>21939000000</v>
      </c>
      <c r="AO54" s="9">
        <v>484275000000</v>
      </c>
      <c r="AP54">
        <v>2703000000</v>
      </c>
      <c r="AQ54">
        <v>7472000000</v>
      </c>
      <c r="AR54">
        <v>-800000000</v>
      </c>
      <c r="AS54">
        <v>4983700000</v>
      </c>
      <c r="AT54">
        <v>63431025000</v>
      </c>
      <c r="AU54">
        <v>2669300000</v>
      </c>
      <c r="AV54" s="3" t="s">
        <v>473</v>
      </c>
      <c r="AW54">
        <v>221000</v>
      </c>
      <c r="BA54" s="3"/>
      <c r="BB54" s="3"/>
    </row>
    <row r="55" spans="1:77" x14ac:dyDescent="0.2">
      <c r="A55">
        <v>5</v>
      </c>
      <c r="B55" t="s">
        <v>163</v>
      </c>
      <c r="C55" t="s">
        <v>164</v>
      </c>
      <c r="D55" s="8" t="s">
        <v>165</v>
      </c>
      <c r="E55" t="s">
        <v>66</v>
      </c>
      <c r="F55" t="s">
        <v>172</v>
      </c>
      <c r="G55" s="2" t="d">
        <v>2024-07-30</v>
      </c>
      <c r="H55" s="2" t="d">
        <v>2024-07-30</v>
      </c>
      <c r="I55">
        <v>2024</v>
      </c>
      <c r="J55" t="s">
        <v>65</v>
      </c>
      <c r="K55">
        <v>6</v>
      </c>
      <c r="L55" s="2" t="d">
        <v>2024-04-01</v>
      </c>
      <c r="M55" s="2" t="d">
        <v>2024-06-30</v>
      </c>
      <c r="N55" t="s">
        <v>467</v>
      </c>
      <c r="O55" t="s">
        <v>467</v>
      </c>
      <c r="P55">
        <v>2024</v>
      </c>
      <c r="Q55" t="s">
        <v>58</v>
      </c>
      <c r="R55" t="s">
        <v>59</v>
      </c>
      <c r="S55" t="s">
        <v>166</v>
      </c>
      <c r="T55" t="s">
        <v>61</v>
      </c>
      <c r="U55">
        <v>64727000000</v>
      </c>
      <c r="V55">
        <v>19684000000</v>
      </c>
      <c r="W55">
        <v>27925000000</v>
      </c>
      <c r="X55">
        <v>8056000000</v>
      </c>
      <c r="Y55">
        <v>5214000000</v>
      </c>
      <c r="Z55">
        <v>27250000000</v>
      </c>
      <c r="AA55" s="9">
        <v>268477000000</v>
      </c>
      <c r="AB55">
        <v>6693000000</v>
      </c>
      <c r="AC55">
        <v>42688000000</v>
      </c>
      <c r="AD55">
        <v>15497000000</v>
      </c>
      <c r="AE55">
        <v>18315000000</v>
      </c>
      <c r="AF55">
        <v>57228000000</v>
      </c>
      <c r="AG55">
        <v>37195000000</v>
      </c>
      <c r="AH55">
        <v>-13873000000</v>
      </c>
      <c r="AI55">
        <v>6380000000</v>
      </c>
      <c r="AJ55">
        <v>8035000000</v>
      </c>
      <c r="AK55">
        <v>56924000000</v>
      </c>
      <c r="AL55">
        <v>1246000000</v>
      </c>
      <c r="AM55">
        <v>21996000000</v>
      </c>
      <c r="AN55">
        <v>22036000000</v>
      </c>
      <c r="AO55" s="9">
        <v>512163000000</v>
      </c>
      <c r="AP55">
        <v>2696000000</v>
      </c>
      <c r="AQ55">
        <v>7469000000</v>
      </c>
      <c r="AR55">
        <v>-701000000</v>
      </c>
      <c r="AS55">
        <v>5386500000</v>
      </c>
      <c r="AT55">
        <v>66503325000</v>
      </c>
      <c r="AU55">
        <v>2669500000</v>
      </c>
      <c r="AV55" s="3" t="s">
        <v>473</v>
      </c>
      <c r="AW55">
        <v>228000</v>
      </c>
      <c r="BA55" s="3"/>
      <c r="BB55" s="3"/>
    </row>
    <row r="56" spans="1:77" x14ac:dyDescent="0.2">
      <c r="A56">
        <v>5</v>
      </c>
      <c r="B56" t="s">
        <v>163</v>
      </c>
      <c r="C56" t="s">
        <v>164</v>
      </c>
      <c r="D56" s="8" t="s">
        <v>165</v>
      </c>
      <c r="E56" t="s">
        <v>55</v>
      </c>
      <c r="F56" t="s">
        <v>173</v>
      </c>
      <c r="G56" s="2" t="d">
        <v>2024-10-30</v>
      </c>
      <c r="H56" s="2" t="d">
        <v>2024-10-30</v>
      </c>
      <c r="I56">
        <v>2025</v>
      </c>
      <c r="J56" t="s">
        <v>57</v>
      </c>
      <c r="K56">
        <v>7</v>
      </c>
      <c r="L56" s="2" t="d">
        <v>2024-07-01</v>
      </c>
      <c r="M56" s="2" t="d">
        <v>2024-09-30</v>
      </c>
      <c r="N56" t="s">
        <v>468</v>
      </c>
      <c r="O56" t="s">
        <v>468</v>
      </c>
      <c r="P56">
        <v>2024</v>
      </c>
      <c r="Q56" t="s">
        <v>63</v>
      </c>
      <c r="R56" t="s">
        <v>59</v>
      </c>
      <c r="S56" t="s">
        <v>166</v>
      </c>
      <c r="T56" t="s">
        <v>61</v>
      </c>
      <c r="U56">
        <v>65585000000</v>
      </c>
      <c r="V56">
        <v>20099000000</v>
      </c>
      <c r="W56">
        <v>30552000000</v>
      </c>
      <c r="X56">
        <v>7544000000</v>
      </c>
      <c r="Y56">
        <v>5602000000</v>
      </c>
      <c r="Z56">
        <v>30269000000</v>
      </c>
      <c r="AA56" s="9">
        <v>287723000000</v>
      </c>
      <c r="AB56">
        <v>0</v>
      </c>
      <c r="AC56">
        <v>42868000000</v>
      </c>
      <c r="AD56">
        <v>16361000000</v>
      </c>
      <c r="AE56">
        <v>20840000000</v>
      </c>
      <c r="AF56">
        <v>57588000000</v>
      </c>
      <c r="AG56">
        <v>34180000000</v>
      </c>
      <c r="AH56">
        <v>-14923000000</v>
      </c>
      <c r="AI56">
        <v>7383000000</v>
      </c>
      <c r="AJ56">
        <v>-1849000000</v>
      </c>
      <c r="AK56">
        <v>44148000000</v>
      </c>
      <c r="AL56">
        <v>1626000000</v>
      </c>
      <c r="AM56">
        <v>22768000000</v>
      </c>
      <c r="AN56">
        <v>24667000000</v>
      </c>
      <c r="AO56" s="9">
        <v>523013000000</v>
      </c>
      <c r="AP56">
        <v>2832000000</v>
      </c>
      <c r="AQ56">
        <v>7470000000</v>
      </c>
      <c r="AR56">
        <v>-582000000</v>
      </c>
      <c r="AS56">
        <v>5763700000</v>
      </c>
      <c r="AT56">
        <v>68660825000</v>
      </c>
      <c r="AU56">
        <v>1780300000</v>
      </c>
      <c r="AV56" s="3" t="s">
        <v>473</v>
      </c>
      <c r="AW56">
        <v>228000</v>
      </c>
      <c r="BA56" s="3"/>
      <c r="BB56" s="3"/>
    </row>
    <row r="57" spans="1:77" x14ac:dyDescent="0.2">
      <c r="A57">
        <v>5</v>
      </c>
      <c r="B57" t="s">
        <v>163</v>
      </c>
      <c r="C57" t="s">
        <v>164</v>
      </c>
      <c r="D57" s="8" t="s">
        <v>165</v>
      </c>
      <c r="E57" t="s">
        <v>55</v>
      </c>
      <c r="F57" t="s">
        <v>174</v>
      </c>
      <c r="G57" s="2" t="d">
        <v>2025-01-29</v>
      </c>
      <c r="H57" s="2" t="d">
        <v>2025-01-29</v>
      </c>
      <c r="I57">
        <v>2025</v>
      </c>
      <c r="J57" t="s">
        <v>58</v>
      </c>
      <c r="K57">
        <v>8</v>
      </c>
      <c r="L57" s="2" t="d">
        <v>2024-10-01</v>
      </c>
      <c r="M57" s="2" t="d">
        <v>2024-12-31</v>
      </c>
      <c r="N57" t="s">
        <v>467</v>
      </c>
      <c r="O57" t="s">
        <v>467</v>
      </c>
      <c r="P57">
        <v>2024</v>
      </c>
      <c r="Q57" t="s">
        <v>65</v>
      </c>
      <c r="R57" t="s">
        <v>59</v>
      </c>
      <c r="S57" t="s">
        <v>166</v>
      </c>
      <c r="T57" t="s">
        <v>61</v>
      </c>
      <c r="U57">
        <v>69632000000</v>
      </c>
      <c r="V57">
        <v>21799000000</v>
      </c>
      <c r="W57">
        <v>31653000000</v>
      </c>
      <c r="X57">
        <v>7917000000</v>
      </c>
      <c r="Y57">
        <v>5257000000</v>
      </c>
      <c r="Z57">
        <v>29365000000</v>
      </c>
      <c r="AA57" s="9">
        <v>302695000000</v>
      </c>
      <c r="AB57">
        <v>0</v>
      </c>
      <c r="AC57">
        <v>39722000000</v>
      </c>
      <c r="AD57">
        <v>17254000000</v>
      </c>
      <c r="AE57">
        <v>17482000000</v>
      </c>
      <c r="AF57">
        <v>54073000000</v>
      </c>
      <c r="AG57">
        <v>22291000000</v>
      </c>
      <c r="AH57">
        <v>-15804000000</v>
      </c>
      <c r="AI57">
        <v>6827000000</v>
      </c>
      <c r="AJ57">
        <v>-1405000000</v>
      </c>
      <c r="AK57">
        <v>48188000000</v>
      </c>
      <c r="AL57">
        <v>909000000</v>
      </c>
      <c r="AM57">
        <v>22608000000</v>
      </c>
      <c r="AN57">
        <v>24108000000</v>
      </c>
      <c r="AO57" s="9">
        <v>533898000000</v>
      </c>
      <c r="AP57">
        <v>3089000000</v>
      </c>
      <c r="AQ57">
        <v>7468000000</v>
      </c>
      <c r="AR57">
        <v>-594000000</v>
      </c>
      <c r="AS57">
        <v>6159550000</v>
      </c>
      <c r="AT57">
        <v>70814125000</v>
      </c>
      <c r="AU57">
        <v>1757450000</v>
      </c>
      <c r="AV57" s="3" t="s">
        <v>473</v>
      </c>
      <c r="AW57">
        <v>228000</v>
      </c>
      <c r="BA57" s="3"/>
      <c r="BB57" s="3"/>
    </row>
    <row r="58" spans="1:77" x14ac:dyDescent="0.2">
      <c r="A58">
        <v>5</v>
      </c>
      <c r="B58" t="s">
        <v>163</v>
      </c>
      <c r="C58" t="s">
        <v>164</v>
      </c>
      <c r="D58" s="8" t="s">
        <v>165</v>
      </c>
      <c r="E58" t="s">
        <v>55</v>
      </c>
      <c r="F58" t="s">
        <v>175</v>
      </c>
      <c r="G58" s="2" t="d">
        <v>2025-04-30</v>
      </c>
      <c r="H58" s="2" t="d">
        <v>2025-04-30</v>
      </c>
      <c r="I58">
        <v>2025</v>
      </c>
      <c r="J58" t="s">
        <v>63</v>
      </c>
      <c r="K58">
        <v>9</v>
      </c>
      <c r="L58" s="2" t="d">
        <v>2025-01-01</v>
      </c>
      <c r="M58" s="2" t="d">
        <v>2025-03-31</v>
      </c>
      <c r="N58" t="s">
        <v>467</v>
      </c>
      <c r="O58" t="s">
        <v>467</v>
      </c>
      <c r="P58">
        <v>2025</v>
      </c>
      <c r="Q58" t="s">
        <v>57</v>
      </c>
      <c r="R58" t="s">
        <v>59</v>
      </c>
      <c r="S58" t="s">
        <v>166</v>
      </c>
      <c r="T58" t="s">
        <v>61</v>
      </c>
      <c r="U58">
        <v>70066000000</v>
      </c>
      <c r="V58">
        <v>21919000000</v>
      </c>
      <c r="W58">
        <v>32000000000</v>
      </c>
      <c r="X58">
        <v>8198000000</v>
      </c>
      <c r="Y58">
        <v>5553000000</v>
      </c>
      <c r="Z58">
        <v>31377000000</v>
      </c>
      <c r="AA58" s="9">
        <v>321891000000</v>
      </c>
      <c r="AB58">
        <v>0</v>
      </c>
      <c r="AC58">
        <v>39882000000</v>
      </c>
      <c r="AD58">
        <v>17686000000</v>
      </c>
      <c r="AE58">
        <v>28828000000</v>
      </c>
      <c r="AF58">
        <v>50790000000</v>
      </c>
      <c r="AG58">
        <v>37044000000</v>
      </c>
      <c r="AH58">
        <v>-16745000000</v>
      </c>
      <c r="AI58">
        <v>8740000000</v>
      </c>
      <c r="AJ58">
        <v>-981000000</v>
      </c>
      <c r="AK58">
        <v>51700000000</v>
      </c>
      <c r="AL58">
        <v>848000000</v>
      </c>
      <c r="AM58">
        <v>26250000000</v>
      </c>
      <c r="AN58">
        <v>25824000000</v>
      </c>
      <c r="AO58" s="9">
        <v>562624000000</v>
      </c>
      <c r="AP58">
        <v>2980000000</v>
      </c>
      <c r="AQ58">
        <v>7461000000</v>
      </c>
      <c r="AR58">
        <v>-594000000</v>
      </c>
      <c r="AS58">
        <v>6328587500</v>
      </c>
      <c r="AT58">
        <v>72852575000</v>
      </c>
      <c r="AU58">
        <v>1869412500</v>
      </c>
      <c r="AV58" s="3" t="s">
        <v>473</v>
      </c>
      <c r="AW58">
        <v>228000</v>
      </c>
      <c r="BA58" s="3"/>
      <c r="BB58" s="3"/>
    </row>
    <row r="59" spans="1:77" x14ac:dyDescent="0.2">
      <c r="A59">
        <v>5</v>
      </c>
      <c r="B59" t="s">
        <v>163</v>
      </c>
      <c r="C59" t="s">
        <v>164</v>
      </c>
      <c r="D59" s="8" t="s">
        <v>165</v>
      </c>
      <c r="E59" t="s">
        <v>66</v>
      </c>
      <c r="F59" t="s">
        <v>176</v>
      </c>
      <c r="G59" s="2" t="d">
        <v>2025-07-30</v>
      </c>
      <c r="H59" s="2" t="d">
        <v>2025-07-30</v>
      </c>
      <c r="I59">
        <v>2025</v>
      </c>
      <c r="J59" t="s">
        <v>65</v>
      </c>
      <c r="K59">
        <v>10</v>
      </c>
      <c r="L59" s="2" t="d">
        <v>2025-04-01</v>
      </c>
      <c r="M59" s="2" t="d">
        <v>2025-06-30</v>
      </c>
      <c r="N59" t="s">
        <v>467</v>
      </c>
      <c r="O59" t="s">
        <v>467</v>
      </c>
      <c r="P59">
        <v>2025</v>
      </c>
      <c r="Q59" t="s">
        <v>58</v>
      </c>
      <c r="R59" t="s">
        <v>59</v>
      </c>
      <c r="S59" t="s">
        <v>166</v>
      </c>
      <c r="T59" t="s">
        <v>61</v>
      </c>
      <c r="U59">
        <v>76441000000</v>
      </c>
      <c r="V59">
        <v>24014000000</v>
      </c>
      <c r="W59">
        <v>34323000000</v>
      </c>
      <c r="X59">
        <v>8829000000</v>
      </c>
      <c r="Y59">
        <v>5383000000</v>
      </c>
      <c r="Z59">
        <v>32616000000</v>
      </c>
      <c r="AA59" s="9">
        <v>343479000000</v>
      </c>
      <c r="AB59">
        <v>0</v>
      </c>
      <c r="AC59">
        <v>40152000000</v>
      </c>
      <c r="AD59">
        <v>17437000000</v>
      </c>
      <c r="AE59">
        <v>30242000000</v>
      </c>
      <c r="AF59">
        <v>64323000000</v>
      </c>
      <c r="AG59">
        <v>42647000000</v>
      </c>
      <c r="AH59">
        <v>-17079000000</v>
      </c>
      <c r="AI59">
        <v>11203000000</v>
      </c>
      <c r="AJ59">
        <v>-1743000000</v>
      </c>
      <c r="AK59">
        <v>69905000000</v>
      </c>
      <c r="AL59">
        <v>938000000</v>
      </c>
      <c r="AM59">
        <v>27724000000</v>
      </c>
      <c r="AN59">
        <v>27233000000</v>
      </c>
      <c r="AO59" s="9">
        <v>619003000000</v>
      </c>
      <c r="AP59">
        <v>3073000000</v>
      </c>
      <c r="AQ59">
        <v>7465000000</v>
      </c>
      <c r="AR59">
        <v>-615000000</v>
      </c>
      <c r="AS59">
        <v>6529175000</v>
      </c>
      <c r="AT59">
        <v>75352987500</v>
      </c>
      <c r="AU59">
        <v>2299825000</v>
      </c>
      <c r="AV59" s="3" t="s">
        <v>473</v>
      </c>
      <c r="AW59">
        <v>228000</v>
      </c>
      <c r="BA59" s="3"/>
      <c r="BB59" s="3"/>
    </row>
    <row r="60" spans="1:77" x14ac:dyDescent="0.2">
      <c r="A60">
        <v>5</v>
      </c>
      <c r="B60" t="s">
        <v>163</v>
      </c>
      <c r="C60" t="s">
        <v>164</v>
      </c>
      <c r="D60" s="8" t="s">
        <v>165</v>
      </c>
      <c r="E60" t="s">
        <v>55</v>
      </c>
      <c r="F60" t="s">
        <v>177</v>
      </c>
      <c r="G60" s="2" t="d">
        <v>2025-10-29</v>
      </c>
      <c r="H60" s="2" t="d">
        <v>2025-10-29</v>
      </c>
      <c r="I60">
        <v>2026</v>
      </c>
      <c r="J60" t="s">
        <v>57</v>
      </c>
      <c r="K60">
        <v>11</v>
      </c>
      <c r="L60" s="2" t="d">
        <v>2025-07-01</v>
      </c>
      <c r="M60" s="2" t="d">
        <v>2025-09-30</v>
      </c>
      <c r="N60" t="s">
        <v>468</v>
      </c>
      <c r="O60" t="s">
        <v>468</v>
      </c>
      <c r="P60">
        <v>2025</v>
      </c>
      <c r="Q60" t="s">
        <v>63</v>
      </c>
      <c r="R60" t="s">
        <v>59</v>
      </c>
      <c r="S60" t="s">
        <v>166</v>
      </c>
      <c r="T60" t="s">
        <v>61</v>
      </c>
      <c r="U60">
        <v>77673000000</v>
      </c>
      <c r="V60">
        <v>24043000000</v>
      </c>
      <c r="W60">
        <v>37961000000</v>
      </c>
      <c r="X60">
        <v>8146000000</v>
      </c>
      <c r="Y60">
        <v>6554000000</v>
      </c>
      <c r="Z60">
        <v>34301000000</v>
      </c>
      <c r="AA60" s="9">
        <v>363076000000</v>
      </c>
      <c r="AB60">
        <v>7832000000</v>
      </c>
      <c r="AC60">
        <v>35376000000</v>
      </c>
      <c r="AD60">
        <v>17348000000</v>
      </c>
      <c r="AE60">
        <v>28849000000</v>
      </c>
      <c r="AF60">
        <v>73163000000</v>
      </c>
      <c r="AG60">
        <v>45057000000</v>
      </c>
      <c r="AH60">
        <v>-19394000000</v>
      </c>
      <c r="AI60">
        <v>13061000000</v>
      </c>
      <c r="AJ60">
        <v>-578000000</v>
      </c>
      <c r="AK60">
        <v>52894000000</v>
      </c>
      <c r="AL60">
        <v>1130000000</v>
      </c>
      <c r="AM60">
        <v>32580000000</v>
      </c>
      <c r="AN60">
        <v>27747000000</v>
      </c>
      <c r="AO60" s="9">
        <v>636351000000</v>
      </c>
      <c r="AP60">
        <v>2983000000</v>
      </c>
      <c r="AQ60">
        <v>7466000000</v>
      </c>
      <c r="AR60">
        <v>-698000000</v>
      </c>
      <c r="AS60">
        <v>6695612500</v>
      </c>
      <c r="AT60">
        <v>76969812500</v>
      </c>
      <c r="AU60">
        <v>1450387500</v>
      </c>
      <c r="AV60" s="3" t="s">
        <v>473</v>
      </c>
      <c r="AW60">
        <v>228000</v>
      </c>
      <c r="BA60" s="3"/>
      <c r="BB60" s="3"/>
      <c r="BV60">
        <v>2023</v>
      </c>
      <c r="BW60" t="s">
        <v>57</v>
      </c>
      <c r="BX60">
        <f>70.7+97+1.8</f>
        <v>169.5</v>
      </c>
    </row>
    <row r="61" spans="1:77" x14ac:dyDescent="0.2">
      <c r="A61">
        <v>5</v>
      </c>
      <c r="B61" t="s">
        <v>163</v>
      </c>
      <c r="C61" t="s">
        <v>164</v>
      </c>
      <c r="D61" s="8" t="s">
        <v>165</v>
      </c>
      <c r="E61" t="s">
        <v>55</v>
      </c>
      <c r="F61" t="s">
        <v>178</v>
      </c>
      <c r="G61" s="2" t="d">
        <v>2026-01-28</v>
      </c>
      <c r="H61" s="2" t="d">
        <v>2026-01-28</v>
      </c>
      <c r="I61">
        <v>2026</v>
      </c>
      <c r="J61" t="s">
        <v>58</v>
      </c>
      <c r="K61">
        <v>12</v>
      </c>
      <c r="L61" s="2" t="d">
        <v>2025-10-01</v>
      </c>
      <c r="M61" s="2" t="d">
        <v>2025-12-31</v>
      </c>
      <c r="N61" t="s">
        <v>467</v>
      </c>
      <c r="O61" t="s">
        <v>467</v>
      </c>
      <c r="P61">
        <v>2025</v>
      </c>
      <c r="Q61" t="s">
        <v>65</v>
      </c>
      <c r="R61" t="s">
        <v>59</v>
      </c>
      <c r="S61" t="s">
        <v>166</v>
      </c>
      <c r="T61" t="s">
        <v>61</v>
      </c>
      <c r="U61">
        <v>81273000000</v>
      </c>
      <c r="V61">
        <v>25978000000</v>
      </c>
      <c r="W61">
        <v>38275000000</v>
      </c>
      <c r="X61">
        <v>8504000000</v>
      </c>
      <c r="Y61">
        <v>9788000000</v>
      </c>
      <c r="Z61">
        <v>48246000000</v>
      </c>
      <c r="AA61" s="9">
        <v>390875000000</v>
      </c>
      <c r="AB61">
        <v>4837000000</v>
      </c>
      <c r="AC61">
        <v>35425000000</v>
      </c>
      <c r="AD61">
        <v>17345000000</v>
      </c>
      <c r="AE61">
        <v>24296000000</v>
      </c>
      <c r="AF61">
        <v>65166000000</v>
      </c>
      <c r="AG61">
        <v>35758000000</v>
      </c>
      <c r="AH61">
        <v>-29876000000</v>
      </c>
      <c r="AI61">
        <v>9198000000</v>
      </c>
      <c r="AJ61">
        <v>-455000000</v>
      </c>
      <c r="AK61">
        <v>56535000000</v>
      </c>
      <c r="AL61">
        <v>1059000000</v>
      </c>
      <c r="AM61">
        <v>37328000000</v>
      </c>
      <c r="AN61">
        <v>38458000000</v>
      </c>
      <c r="AO61" s="9">
        <v>665302000000</v>
      </c>
      <c r="AP61">
        <v>3219000000</v>
      </c>
      <c r="AQ61">
        <v>7460000000</v>
      </c>
      <c r="AR61">
        <v>-736000000</v>
      </c>
      <c r="AS61">
        <v>6879950000</v>
      </c>
      <c r="AT61">
        <v>78778200000</v>
      </c>
      <c r="AU61">
        <v>1624050000</v>
      </c>
      <c r="AV61" s="3" t="s">
        <v>473</v>
      </c>
      <c r="AW61">
        <v>228000</v>
      </c>
      <c r="BA61" s="3"/>
      <c r="BB61" s="3"/>
      <c r="BV61">
        <v>2023</v>
      </c>
      <c r="BW61" t="s">
        <v>58</v>
      </c>
      <c r="BX61">
        <f>140.6+196+3.5-BX60</f>
        <v>170.60000000000002</v>
      </c>
    </row>
    <row r="62" spans="1:77" x14ac:dyDescent="0.2">
      <c r="A62">
        <v>6</v>
      </c>
      <c r="B62" t="s">
        <v>179</v>
      </c>
      <c r="C62" t="s">
        <v>180</v>
      </c>
      <c r="D62" s="8" t="s">
        <v>181</v>
      </c>
      <c r="E62" t="s">
        <v>55</v>
      </c>
      <c r="F62" t="s">
        <v>182</v>
      </c>
      <c r="G62" s="2" t="d">
        <v>2023-05-24</v>
      </c>
      <c r="H62" s="2" t="d">
        <v>2023-05-23</v>
      </c>
      <c r="I62">
        <v>2023</v>
      </c>
      <c r="J62" t="s">
        <v>63</v>
      </c>
      <c r="K62">
        <v>1</v>
      </c>
      <c r="L62" s="2" t="d">
        <v>2023-02-01</v>
      </c>
      <c r="M62" s="2" t="d">
        <v>2023-04-30</v>
      </c>
      <c r="N62" t="s">
        <v>467</v>
      </c>
      <c r="O62" t="s">
        <v>467</v>
      </c>
      <c r="P62">
        <v>2023</v>
      </c>
      <c r="Q62" t="s">
        <v>58</v>
      </c>
      <c r="R62" t="s">
        <v>59</v>
      </c>
      <c r="T62" t="s">
        <v>61</v>
      </c>
      <c r="U62">
        <v>1720900000</v>
      </c>
      <c r="V62">
        <v>474800000</v>
      </c>
      <c r="W62">
        <v>78700000</v>
      </c>
      <c r="X62">
        <v>413700000</v>
      </c>
      <c r="Y62">
        <v>23200000</v>
      </c>
      <c r="Z62">
        <v>131000000</v>
      </c>
      <c r="AA62" s="9">
        <v>1232400000</v>
      </c>
      <c r="AB62">
        <v>3682100000</v>
      </c>
      <c r="AC62">
        <v>0</v>
      </c>
      <c r="AD62">
        <v>264500000</v>
      </c>
      <c r="AE62">
        <v>1992900000</v>
      </c>
      <c r="AF62">
        <v>1965300000</v>
      </c>
      <c r="AG62">
        <v>432100000.00000012</v>
      </c>
      <c r="AH62">
        <v>-31199999.999999981</v>
      </c>
      <c r="AI62">
        <v>155400000</v>
      </c>
      <c r="AJ62">
        <v>-18900000.000000007</v>
      </c>
      <c r="AK62">
        <v>1443600000</v>
      </c>
      <c r="AL62">
        <v>0</v>
      </c>
      <c r="AM62">
        <v>91600000</v>
      </c>
      <c r="AN62">
        <v>107800000</v>
      </c>
      <c r="AO62" s="9">
        <v>14170500000</v>
      </c>
      <c r="AP62">
        <v>271000000</v>
      </c>
      <c r="AQ62">
        <v>344700000</v>
      </c>
      <c r="AR62">
        <v>-7800000</v>
      </c>
      <c r="AS62">
        <v>162180000</v>
      </c>
      <c r="AT62">
        <v>2468530000</v>
      </c>
      <c r="AU62">
        <v>251520000</v>
      </c>
      <c r="AV62" s="10" t="s">
        <v>474</v>
      </c>
      <c r="AW62">
        <v>12561</v>
      </c>
      <c r="BA62" s="3"/>
      <c r="BB62" s="3"/>
      <c r="BV62">
        <v>2023</v>
      </c>
      <c r="BW62" t="s">
        <v>63</v>
      </c>
      <c r="BX62">
        <f>212.9+297.4+5.3-BX61-BX60</f>
        <v>175.49999999999989</v>
      </c>
      <c r="BY62">
        <f t="shared" ref="BY62:BY72" si="0">+BX62*1000000</f>
        <v>175499999.99999988</v>
      </c>
    </row>
    <row r="63" spans="1:77" x14ac:dyDescent="0.2">
      <c r="A63">
        <v>6</v>
      </c>
      <c r="B63" t="s">
        <v>179</v>
      </c>
      <c r="C63" t="s">
        <v>180</v>
      </c>
      <c r="D63" s="8" t="s">
        <v>181</v>
      </c>
      <c r="E63" t="s">
        <v>66</v>
      </c>
      <c r="F63" t="s">
        <v>183</v>
      </c>
      <c r="G63" s="2" t="d">
        <v>2023-09-01</v>
      </c>
      <c r="H63" s="2" t="d">
        <v>2023-09-01</v>
      </c>
      <c r="I63">
        <v>2023</v>
      </c>
      <c r="J63" t="s">
        <v>65</v>
      </c>
      <c r="K63">
        <v>2</v>
      </c>
      <c r="L63" s="2" t="d">
        <v>2023-05-01</v>
      </c>
      <c r="M63" s="2" t="d">
        <v>2023-07-31</v>
      </c>
      <c r="N63" t="s">
        <v>467</v>
      </c>
      <c r="O63" t="s">
        <v>467</v>
      </c>
      <c r="P63">
        <v>2023</v>
      </c>
      <c r="Q63" t="s">
        <v>63</v>
      </c>
      <c r="R63" t="s">
        <v>59</v>
      </c>
      <c r="T63" t="s">
        <v>61</v>
      </c>
      <c r="U63">
        <v>1953299999.9999993</v>
      </c>
      <c r="V63">
        <v>506800000.00000006</v>
      </c>
      <c r="W63">
        <v>253500000.00000006</v>
      </c>
      <c r="X63">
        <v>414399999.99999994</v>
      </c>
      <c r="Y63">
        <v>88799999.999999985</v>
      </c>
      <c r="Z63">
        <v>316500000</v>
      </c>
      <c r="AA63" s="9">
        <v>1748400000</v>
      </c>
      <c r="AB63">
        <v>1991500000</v>
      </c>
      <c r="AC63">
        <v>0</v>
      </c>
      <c r="AD63">
        <v>339400000</v>
      </c>
      <c r="AE63">
        <v>1135300000</v>
      </c>
      <c r="AF63">
        <v>1254700000</v>
      </c>
      <c r="AG63">
        <v>414099999.9999997</v>
      </c>
      <c r="AH63">
        <v>-37200000.000000007</v>
      </c>
      <c r="AI63">
        <v>168899999.99999997</v>
      </c>
      <c r="AJ63">
        <v>0</v>
      </c>
      <c r="AK63">
        <v>2463200000</v>
      </c>
      <c r="AL63">
        <v>0</v>
      </c>
      <c r="AM63">
        <v>132300000.00000001</v>
      </c>
      <c r="AN63">
        <v>227700000</v>
      </c>
      <c r="AO63" s="9">
        <v>14501100000</v>
      </c>
      <c r="AP63">
        <v>254200000.00000006</v>
      </c>
      <c r="AQ63">
        <v>342300000</v>
      </c>
      <c r="AR63">
        <v>-5699999.9999999981</v>
      </c>
      <c r="AS63">
        <v>182900000</v>
      </c>
      <c r="AT63">
        <v>2700030000</v>
      </c>
      <c r="AU63">
        <v>231499999.99999994</v>
      </c>
      <c r="AV63" s="10" t="s">
        <v>474</v>
      </c>
      <c r="AW63">
        <v>13948</v>
      </c>
      <c r="BA63" s="3"/>
      <c r="BB63" s="3"/>
      <c r="BV63">
        <v>2023</v>
      </c>
      <c r="BW63" t="s">
        <v>65</v>
      </c>
      <c r="BX63">
        <f>282.2+413.4+6.7-BX62-BX61-BX60</f>
        <v>186.70000000000005</v>
      </c>
      <c r="BY63">
        <f t="shared" si="0"/>
        <v>186700000.00000006</v>
      </c>
    </row>
    <row r="64" spans="1:77" x14ac:dyDescent="0.2">
      <c r="A64">
        <v>6</v>
      </c>
      <c r="B64" t="s">
        <v>179</v>
      </c>
      <c r="C64" t="s">
        <v>180</v>
      </c>
      <c r="D64" s="8" t="s">
        <v>181</v>
      </c>
      <c r="E64" t="s">
        <v>55</v>
      </c>
      <c r="F64" t="s">
        <v>184</v>
      </c>
      <c r="G64" s="2" t="d">
        <v>2023-11-17</v>
      </c>
      <c r="H64" s="2" t="d">
        <v>2023-11-17</v>
      </c>
      <c r="I64">
        <v>2024</v>
      </c>
      <c r="J64" t="s">
        <v>57</v>
      </c>
      <c r="K64">
        <v>3</v>
      </c>
      <c r="L64" s="2" t="d">
        <v>2023-08-01</v>
      </c>
      <c r="M64" s="2" t="d">
        <v>2023-10-31</v>
      </c>
      <c r="N64" t="s">
        <v>468</v>
      </c>
      <c r="O64" t="s">
        <v>468</v>
      </c>
      <c r="P64">
        <v>2023</v>
      </c>
      <c r="Q64" t="s">
        <v>65</v>
      </c>
      <c r="R64" t="s">
        <v>59</v>
      </c>
      <c r="T64" t="s">
        <v>61</v>
      </c>
      <c r="U64">
        <v>1878100000</v>
      </c>
      <c r="V64">
        <v>472800000</v>
      </c>
      <c r="W64">
        <v>215200000</v>
      </c>
      <c r="X64">
        <v>409500000</v>
      </c>
      <c r="Y64">
        <v>88400000</v>
      </c>
      <c r="Z64">
        <v>282600000</v>
      </c>
      <c r="AA64" s="9">
        <v>2170500000</v>
      </c>
      <c r="AB64">
        <v>1946700000</v>
      </c>
      <c r="AC64">
        <v>0</v>
      </c>
      <c r="AD64">
        <v>275800000</v>
      </c>
      <c r="AE64">
        <v>2491400000</v>
      </c>
      <c r="AF64">
        <v>1402400000</v>
      </c>
      <c r="AG64">
        <v>1526000000</v>
      </c>
      <c r="AH64">
        <v>-36800000</v>
      </c>
      <c r="AI64">
        <v>156100000.00000003</v>
      </c>
      <c r="AJ64">
        <v>0</v>
      </c>
      <c r="AK64">
        <v>1413000000</v>
      </c>
      <c r="AL64">
        <v>0</v>
      </c>
      <c r="AM64">
        <v>131800000.00000001</v>
      </c>
      <c r="AN64">
        <v>194200000</v>
      </c>
      <c r="AO64" s="9">
        <v>14808500000</v>
      </c>
      <c r="AP64">
        <v>271000000</v>
      </c>
      <c r="AQ64">
        <v>349800000</v>
      </c>
      <c r="AR64">
        <v>-2900000</v>
      </c>
      <c r="AS64">
        <v>203375000</v>
      </c>
      <c r="AT64">
        <v>2906155000</v>
      </c>
      <c r="AU64">
        <v>206125000</v>
      </c>
      <c r="AV64" s="10" t="s">
        <v>474</v>
      </c>
      <c r="AW64">
        <v>13948</v>
      </c>
      <c r="BB64" s="3"/>
      <c r="BD64" s="3"/>
      <c r="BV64">
        <v>2024</v>
      </c>
      <c r="BW64" t="s">
        <v>57</v>
      </c>
      <c r="BX64">
        <f>64.3+105.5+1</f>
        <v>170.8</v>
      </c>
      <c r="BY64">
        <f t="shared" si="0"/>
        <v>170800000</v>
      </c>
    </row>
    <row r="65" spans="1:77" x14ac:dyDescent="0.2">
      <c r="A65">
        <v>6</v>
      </c>
      <c r="B65" t="s">
        <v>179</v>
      </c>
      <c r="C65" t="s">
        <v>180</v>
      </c>
      <c r="D65" s="8" t="s">
        <v>181</v>
      </c>
      <c r="E65" t="s">
        <v>55</v>
      </c>
      <c r="F65" t="s">
        <v>185</v>
      </c>
      <c r="G65" s="2" t="d">
        <v>2024-02-21</v>
      </c>
      <c r="H65" s="2" t="d">
        <v>2023-02-20</v>
      </c>
      <c r="I65">
        <v>2024</v>
      </c>
      <c r="J65" t="s">
        <v>58</v>
      </c>
      <c r="K65">
        <v>4</v>
      </c>
      <c r="L65" s="2" t="d">
        <v>2023-11-01</v>
      </c>
      <c r="M65" s="2" t="d">
        <v>2024-01-31</v>
      </c>
      <c r="N65" t="s">
        <v>467</v>
      </c>
      <c r="O65" t="s">
        <v>467</v>
      </c>
      <c r="P65">
        <v>2024</v>
      </c>
      <c r="Q65" t="s">
        <v>57</v>
      </c>
      <c r="R65" t="s">
        <v>59</v>
      </c>
      <c r="T65" t="s">
        <v>61</v>
      </c>
      <c r="U65">
        <v>1975100000</v>
      </c>
      <c r="V65">
        <v>499100000</v>
      </c>
      <c r="W65">
        <v>53600000</v>
      </c>
      <c r="X65">
        <v>447900000</v>
      </c>
      <c r="Y65">
        <v>-1611400000</v>
      </c>
      <c r="Z65">
        <v>135500000</v>
      </c>
      <c r="AA65" s="9">
        <v>4357200000</v>
      </c>
      <c r="AB65">
        <v>1821800000</v>
      </c>
      <c r="AC65">
        <v>0</v>
      </c>
      <c r="AD65">
        <v>362700000</v>
      </c>
      <c r="AE65">
        <v>1782500000</v>
      </c>
      <c r="AF65">
        <v>1588500000</v>
      </c>
      <c r="AG65">
        <v>690000000</v>
      </c>
      <c r="AH65">
        <v>-35200000</v>
      </c>
      <c r="AI65">
        <v>162400000.00000003</v>
      </c>
      <c r="AJ65">
        <v>-610600000</v>
      </c>
      <c r="AK65">
        <v>1896300000</v>
      </c>
      <c r="AL65">
        <v>0</v>
      </c>
      <c r="AM65">
        <v>178800000</v>
      </c>
      <c r="AN65">
        <v>1746900000</v>
      </c>
      <c r="AO65" s="9">
        <v>18292000000</v>
      </c>
      <c r="AP65">
        <v>272000000</v>
      </c>
      <c r="AQ65">
        <v>357500000</v>
      </c>
      <c r="AR65">
        <v>-2800000</v>
      </c>
      <c r="AS65">
        <v>225770000</v>
      </c>
      <c r="AT65">
        <v>3128285000</v>
      </c>
      <c r="AU65">
        <v>222130000</v>
      </c>
      <c r="AV65" s="10" t="s">
        <v>474</v>
      </c>
      <c r="AW65">
        <v>13948</v>
      </c>
      <c r="BB65" s="3"/>
      <c r="BD65" s="3"/>
      <c r="BV65">
        <v>2024</v>
      </c>
      <c r="BW65" t="s">
        <v>58</v>
      </c>
      <c r="BX65">
        <f>132.9+214.4+2.1-BX64</f>
        <v>178.60000000000002</v>
      </c>
      <c r="BY65">
        <f t="shared" si="0"/>
        <v>178600000.00000003</v>
      </c>
    </row>
    <row r="66" spans="1:77" x14ac:dyDescent="0.2">
      <c r="A66">
        <v>6</v>
      </c>
      <c r="B66" t="s">
        <v>179</v>
      </c>
      <c r="C66" t="s">
        <v>180</v>
      </c>
      <c r="D66" s="8" t="s">
        <v>181</v>
      </c>
      <c r="E66" t="s">
        <v>55</v>
      </c>
      <c r="F66" t="s">
        <v>186</v>
      </c>
      <c r="G66" s="2" t="d">
        <v>2024-05-21</v>
      </c>
      <c r="H66" s="2" t="d">
        <v>2024-05-20</v>
      </c>
      <c r="I66">
        <v>2024</v>
      </c>
      <c r="J66" t="s">
        <v>63</v>
      </c>
      <c r="K66">
        <v>5</v>
      </c>
      <c r="L66" s="2" t="d">
        <v>2024-02-01</v>
      </c>
      <c r="M66" s="2" t="d">
        <v>2024-04-30</v>
      </c>
      <c r="N66" t="s">
        <v>467</v>
      </c>
      <c r="O66" t="s">
        <v>467</v>
      </c>
      <c r="P66">
        <v>2024</v>
      </c>
      <c r="Q66" t="s">
        <v>58</v>
      </c>
      <c r="R66" t="s">
        <v>59</v>
      </c>
      <c r="T66" t="s">
        <v>61</v>
      </c>
      <c r="U66">
        <v>1984800000</v>
      </c>
      <c r="V66">
        <v>513600000</v>
      </c>
      <c r="W66">
        <v>176700000</v>
      </c>
      <c r="X66">
        <v>457200000</v>
      </c>
      <c r="Y66">
        <v>-27600000</v>
      </c>
      <c r="Z66">
        <v>251200000</v>
      </c>
      <c r="AA66" s="9">
        <v>4467800000</v>
      </c>
      <c r="AB66">
        <v>1162500000</v>
      </c>
      <c r="AC66">
        <v>0</v>
      </c>
      <c r="AD66">
        <v>369800000</v>
      </c>
      <c r="AE66">
        <v>1373700000</v>
      </c>
      <c r="AF66">
        <v>1516700000</v>
      </c>
      <c r="AG66">
        <v>528900000.00000012</v>
      </c>
      <c r="AH66">
        <v>-37400000.000000007</v>
      </c>
      <c r="AI66">
        <v>169799999.99999991</v>
      </c>
      <c r="AJ66">
        <v>0</v>
      </c>
      <c r="AK66">
        <v>1715400000</v>
      </c>
      <c r="AL66">
        <v>0</v>
      </c>
      <c r="AM66">
        <v>108900000</v>
      </c>
      <c r="AN66">
        <v>278800000</v>
      </c>
      <c r="AO66" s="9">
        <v>17930800000</v>
      </c>
      <c r="AP66">
        <v>263500000</v>
      </c>
      <c r="AQ66">
        <v>354600000</v>
      </c>
      <c r="AR66">
        <v>-2300000</v>
      </c>
      <c r="AS66">
        <v>248630000</v>
      </c>
      <c r="AT66">
        <v>3336855000</v>
      </c>
      <c r="AU66">
        <v>208570000</v>
      </c>
      <c r="AV66" s="10" t="s">
        <v>474</v>
      </c>
      <c r="AW66">
        <v>13948</v>
      </c>
      <c r="BB66" s="3"/>
      <c r="BD66" s="3"/>
      <c r="BV66">
        <v>2024</v>
      </c>
      <c r="BW66" t="s">
        <v>63</v>
      </c>
      <c r="BX66">
        <f>207.2+324.7+2.9-BX65-BX64</f>
        <v>185.39999999999992</v>
      </c>
      <c r="BY66">
        <f t="shared" si="0"/>
        <v>185399999.99999991</v>
      </c>
    </row>
    <row r="67" spans="1:77" x14ac:dyDescent="0.2">
      <c r="A67">
        <v>6</v>
      </c>
      <c r="B67" t="s">
        <v>179</v>
      </c>
      <c r="C67" t="s">
        <v>180</v>
      </c>
      <c r="D67" s="8" t="s">
        <v>181</v>
      </c>
      <c r="E67" t="s">
        <v>66</v>
      </c>
      <c r="F67" t="s">
        <v>187</v>
      </c>
      <c r="G67" s="2" t="d">
        <v>2024-09-06</v>
      </c>
      <c r="H67" s="2" t="d">
        <v>2024-09-06</v>
      </c>
      <c r="I67">
        <v>2024</v>
      </c>
      <c r="J67" t="s">
        <v>65</v>
      </c>
      <c r="K67">
        <v>6</v>
      </c>
      <c r="L67" s="2" t="d">
        <v>2024-05-01</v>
      </c>
      <c r="M67" s="2" t="d">
        <v>2024-07-31</v>
      </c>
      <c r="N67" t="s">
        <v>467</v>
      </c>
      <c r="O67" t="s">
        <v>467</v>
      </c>
      <c r="P67">
        <v>2024</v>
      </c>
      <c r="Q67" t="s">
        <v>63</v>
      </c>
      <c r="R67" t="s">
        <v>59</v>
      </c>
      <c r="T67" t="s">
        <v>61</v>
      </c>
      <c r="U67">
        <v>2189500000</v>
      </c>
      <c r="V67">
        <v>573700000</v>
      </c>
      <c r="W67">
        <v>238399999.99999997</v>
      </c>
      <c r="X67">
        <v>494800000.00000006</v>
      </c>
      <c r="Y67">
        <v>-38699999.999999963</v>
      </c>
      <c r="Z67">
        <v>318999999.99999988</v>
      </c>
      <c r="AA67" s="9">
        <v>5169700000</v>
      </c>
      <c r="AB67">
        <v>963900000</v>
      </c>
      <c r="AC67">
        <v>0</v>
      </c>
      <c r="AD67">
        <v>446400000</v>
      </c>
      <c r="AE67">
        <v>1535200000</v>
      </c>
      <c r="AF67">
        <v>1043599999.9999999</v>
      </c>
      <c r="AG67">
        <v>512699999.99999982</v>
      </c>
      <c r="AH67">
        <v>-47400000.000000007</v>
      </c>
      <c r="AI67">
        <v>184399999.99999997</v>
      </c>
      <c r="AJ67">
        <v>0</v>
      </c>
      <c r="AK67">
        <v>2618600000</v>
      </c>
      <c r="AL67">
        <v>0</v>
      </c>
      <c r="AM67">
        <v>116300000</v>
      </c>
      <c r="AN67">
        <v>357699999.99999964</v>
      </c>
      <c r="AO67" s="9">
        <v>19990900000</v>
      </c>
      <c r="AP67">
        <v>268900000.00000012</v>
      </c>
      <c r="AQ67">
        <v>354000000</v>
      </c>
      <c r="AR67">
        <v>-300000.00000000116</v>
      </c>
      <c r="AS67">
        <v>273370000</v>
      </c>
      <c r="AT67">
        <v>3558285000</v>
      </c>
      <c r="AU67">
        <v>221430000.00000006</v>
      </c>
      <c r="AV67" s="10" t="s">
        <v>474</v>
      </c>
      <c r="AW67">
        <v>15289</v>
      </c>
      <c r="BB67" s="3"/>
      <c r="BD67" s="3"/>
      <c r="BV67">
        <v>2024</v>
      </c>
      <c r="BW67" t="s">
        <v>65</v>
      </c>
      <c r="BX67">
        <f>283.3+446+3.5-BX66-BX65-BX64</f>
        <v>198.00000000000006</v>
      </c>
      <c r="BY67">
        <f t="shared" si="0"/>
        <v>198000000.00000006</v>
      </c>
    </row>
    <row r="68" spans="1:77" x14ac:dyDescent="0.2">
      <c r="A68">
        <v>6</v>
      </c>
      <c r="B68" t="s">
        <v>179</v>
      </c>
      <c r="C68" t="s">
        <v>180</v>
      </c>
      <c r="D68" s="8" t="s">
        <v>181</v>
      </c>
      <c r="E68" t="s">
        <v>55</v>
      </c>
      <c r="F68" t="s">
        <v>188</v>
      </c>
      <c r="G68" s="2" t="d">
        <v>2024-11-21</v>
      </c>
      <c r="H68" s="2" t="d">
        <v>2024-11-20</v>
      </c>
      <c r="I68">
        <v>2025</v>
      </c>
      <c r="J68" t="s">
        <v>57</v>
      </c>
      <c r="K68">
        <v>7</v>
      </c>
      <c r="L68" s="2" t="d">
        <v>2024-08-01</v>
      </c>
      <c r="M68" s="2" t="d">
        <v>2024-10-31</v>
      </c>
      <c r="N68" t="s">
        <v>468</v>
      </c>
      <c r="O68" t="s">
        <v>468</v>
      </c>
      <c r="P68">
        <v>2024</v>
      </c>
      <c r="Q68" t="s">
        <v>65</v>
      </c>
      <c r="R68" t="s">
        <v>59</v>
      </c>
      <c r="T68" t="s">
        <v>61</v>
      </c>
      <c r="U68">
        <v>2138800000.0000002</v>
      </c>
      <c r="V68">
        <v>554100000</v>
      </c>
      <c r="W68">
        <v>286500000</v>
      </c>
      <c r="X68">
        <v>480400000</v>
      </c>
      <c r="Y68">
        <v>17900000</v>
      </c>
      <c r="Z68">
        <v>368600000</v>
      </c>
      <c r="AA68" s="9">
        <v>5911800000</v>
      </c>
      <c r="AB68">
        <v>645800000</v>
      </c>
      <c r="AC68">
        <v>0</v>
      </c>
      <c r="AD68">
        <v>379600000</v>
      </c>
      <c r="AE68">
        <v>2282800000</v>
      </c>
      <c r="AF68">
        <v>1108200000</v>
      </c>
      <c r="AG68">
        <v>1509600000</v>
      </c>
      <c r="AH68">
        <v>-44100000</v>
      </c>
      <c r="AI68">
        <v>179800000</v>
      </c>
      <c r="AJ68">
        <v>-500000000</v>
      </c>
      <c r="AK68">
        <v>1132900000</v>
      </c>
      <c r="AL68">
        <v>0</v>
      </c>
      <c r="AM68">
        <v>211600000</v>
      </c>
      <c r="AN68">
        <v>350700000</v>
      </c>
      <c r="AO68" s="9">
        <v>20374600000</v>
      </c>
      <c r="AP68">
        <v>294300000</v>
      </c>
      <c r="AQ68">
        <v>354500000</v>
      </c>
      <c r="AR68">
        <v>-1200000</v>
      </c>
      <c r="AS68">
        <v>297390000</v>
      </c>
      <c r="AT68">
        <v>3741295000</v>
      </c>
      <c r="AU68">
        <v>183010000</v>
      </c>
      <c r="AV68" s="10" t="s">
        <v>474</v>
      </c>
      <c r="AW68">
        <v>15289</v>
      </c>
      <c r="BA68" s="3"/>
      <c r="BB68" s="3"/>
      <c r="BV68">
        <v>2025</v>
      </c>
      <c r="BW68" t="s">
        <v>57</v>
      </c>
      <c r="BX68">
        <f>83.9+110.4+0.5</f>
        <v>194.8</v>
      </c>
      <c r="BY68">
        <f t="shared" si="0"/>
        <v>194800000</v>
      </c>
    </row>
    <row r="69" spans="1:77" x14ac:dyDescent="0.2">
      <c r="A69">
        <v>6</v>
      </c>
      <c r="B69" t="s">
        <v>179</v>
      </c>
      <c r="C69" t="s">
        <v>180</v>
      </c>
      <c r="D69" s="8" t="s">
        <v>181</v>
      </c>
      <c r="E69" t="s">
        <v>55</v>
      </c>
      <c r="F69" t="s">
        <v>189</v>
      </c>
      <c r="G69" s="2" t="d">
        <v>2025-02-14</v>
      </c>
      <c r="H69" s="2" t="d">
        <v>2025-02-14</v>
      </c>
      <c r="I69">
        <v>2025</v>
      </c>
      <c r="J69" t="s">
        <v>58</v>
      </c>
      <c r="K69">
        <v>8</v>
      </c>
      <c r="L69" s="2" t="d">
        <v>2024-11-01</v>
      </c>
      <c r="M69" s="2" t="d">
        <v>2025-01-31</v>
      </c>
      <c r="N69" t="s">
        <v>467</v>
      </c>
      <c r="O69" t="s">
        <v>467</v>
      </c>
      <c r="P69">
        <v>2025</v>
      </c>
      <c r="Q69" t="s">
        <v>57</v>
      </c>
      <c r="R69" t="s">
        <v>59</v>
      </c>
      <c r="T69" t="s">
        <v>61</v>
      </c>
      <c r="U69">
        <v>2257400000</v>
      </c>
      <c r="V69">
        <v>599200000</v>
      </c>
      <c r="W69">
        <v>240400000</v>
      </c>
      <c r="X69">
        <v>505700000</v>
      </c>
      <c r="Y69">
        <v>57500000</v>
      </c>
      <c r="Z69">
        <v>324800000</v>
      </c>
      <c r="AA69" s="9">
        <v>6375300000</v>
      </c>
      <c r="AB69">
        <v>533799999.99999994</v>
      </c>
      <c r="AC69">
        <v>0</v>
      </c>
      <c r="AD69">
        <v>363000000</v>
      </c>
      <c r="AE69">
        <v>2226300000</v>
      </c>
      <c r="AF69">
        <v>1006600000</v>
      </c>
      <c r="AG69">
        <v>556900000.00000012</v>
      </c>
      <c r="AH69">
        <v>-47499999.999999993</v>
      </c>
      <c r="AI69">
        <v>191700000</v>
      </c>
      <c r="AJ69">
        <v>500000</v>
      </c>
      <c r="AK69">
        <v>1495500000</v>
      </c>
      <c r="AL69">
        <v>0</v>
      </c>
      <c r="AM69">
        <v>149300000</v>
      </c>
      <c r="AN69">
        <v>267300000</v>
      </c>
      <c r="AO69" s="9">
        <v>20951700000</v>
      </c>
      <c r="AP69">
        <v>320499999.99999994</v>
      </c>
      <c r="AQ69">
        <v>709000000</v>
      </c>
      <c r="AR69">
        <v>-900000</v>
      </c>
      <c r="AS69">
        <v>322675000</v>
      </c>
      <c r="AT69">
        <v>3924320000</v>
      </c>
      <c r="AU69">
        <v>183025000</v>
      </c>
      <c r="AV69" s="10" t="s">
        <v>474</v>
      </c>
      <c r="AW69">
        <v>15289</v>
      </c>
      <c r="BA69" s="3"/>
      <c r="BB69" s="3"/>
      <c r="BV69">
        <v>2025</v>
      </c>
      <c r="BW69" t="s">
        <v>58</v>
      </c>
      <c r="BX69">
        <f>171.5+225+0.8-BX68</f>
        <v>202.5</v>
      </c>
      <c r="BY69">
        <f t="shared" si="0"/>
        <v>202500000</v>
      </c>
    </row>
    <row r="70" spans="1:77" x14ac:dyDescent="0.2">
      <c r="A70">
        <v>6</v>
      </c>
      <c r="B70" t="s">
        <v>179</v>
      </c>
      <c r="C70" t="s">
        <v>180</v>
      </c>
      <c r="D70" s="8" t="s">
        <v>181</v>
      </c>
      <c r="E70" t="s">
        <v>55</v>
      </c>
      <c r="F70" t="s">
        <v>190</v>
      </c>
      <c r="G70" s="2" t="d">
        <v>2025-05-21</v>
      </c>
      <c r="H70" s="2" t="d">
        <v>2025-05-20</v>
      </c>
      <c r="I70">
        <v>2025</v>
      </c>
      <c r="J70" t="s">
        <v>63</v>
      </c>
      <c r="K70">
        <v>9</v>
      </c>
      <c r="L70" s="2" t="d">
        <v>2025-02-01</v>
      </c>
      <c r="M70" s="2" t="d">
        <v>2025-04-30</v>
      </c>
      <c r="N70" t="s">
        <v>467</v>
      </c>
      <c r="O70" t="s">
        <v>467</v>
      </c>
      <c r="P70">
        <v>2025</v>
      </c>
      <c r="Q70" t="s">
        <v>58</v>
      </c>
      <c r="R70" t="s">
        <v>59</v>
      </c>
      <c r="T70" t="s">
        <v>61</v>
      </c>
      <c r="U70">
        <v>2289000000</v>
      </c>
      <c r="V70">
        <v>619300000</v>
      </c>
      <c r="W70">
        <v>218800000</v>
      </c>
      <c r="X70">
        <v>494500000</v>
      </c>
      <c r="Y70">
        <v>48400000</v>
      </c>
      <c r="Z70">
        <v>310500000</v>
      </c>
      <c r="AA70" s="9">
        <v>7230500000</v>
      </c>
      <c r="AB70">
        <v>383200000</v>
      </c>
      <c r="AC70">
        <v>0</v>
      </c>
      <c r="AD70">
        <v>345700000</v>
      </c>
      <c r="AE70">
        <v>2383400000</v>
      </c>
      <c r="AF70">
        <v>916800000</v>
      </c>
      <c r="AG70">
        <v>628699999.99999976</v>
      </c>
      <c r="AH70">
        <v>-68300000.000000015</v>
      </c>
      <c r="AI70">
        <v>198000000</v>
      </c>
      <c r="AJ70">
        <v>0</v>
      </c>
      <c r="AK70">
        <v>1950000000</v>
      </c>
      <c r="AL70">
        <v>0</v>
      </c>
      <c r="AM70">
        <v>234800000</v>
      </c>
      <c r="AN70">
        <v>262100000.00000003</v>
      </c>
      <c r="AO70" s="9">
        <v>22002800000</v>
      </c>
      <c r="AP70">
        <v>325900000.00000006</v>
      </c>
      <c r="AQ70">
        <v>707400000</v>
      </c>
      <c r="AR70">
        <v>-700000</v>
      </c>
      <c r="AS70">
        <v>347400000</v>
      </c>
      <c r="AT70">
        <v>4071420000</v>
      </c>
      <c r="AU70">
        <v>147100000</v>
      </c>
      <c r="AV70" s="10" t="s">
        <v>474</v>
      </c>
      <c r="AW70">
        <v>15289</v>
      </c>
      <c r="BA70" s="3"/>
      <c r="BB70" s="3"/>
      <c r="BV70">
        <v>2025</v>
      </c>
      <c r="BW70" t="s">
        <v>63</v>
      </c>
      <c r="BX70">
        <f>259.6+344.1+1-BX69-BX68</f>
        <v>207.40000000000003</v>
      </c>
      <c r="BY70">
        <f t="shared" si="0"/>
        <v>207400000.00000003</v>
      </c>
    </row>
    <row r="71" spans="1:77" x14ac:dyDescent="0.2">
      <c r="A71">
        <v>6</v>
      </c>
      <c r="B71" t="s">
        <v>179</v>
      </c>
      <c r="C71" t="s">
        <v>180</v>
      </c>
      <c r="D71" s="8" t="s">
        <v>181</v>
      </c>
      <c r="E71" t="s">
        <v>66</v>
      </c>
      <c r="F71" t="s">
        <v>191</v>
      </c>
      <c r="G71" s="2" t="d">
        <v>2025-08-29</v>
      </c>
      <c r="H71" s="2" t="d">
        <v>2025-08-29</v>
      </c>
      <c r="I71">
        <v>2025</v>
      </c>
      <c r="J71" t="s">
        <v>65</v>
      </c>
      <c r="K71">
        <v>10</v>
      </c>
      <c r="L71" s="2" t="d">
        <v>2025-05-01</v>
      </c>
      <c r="M71" s="2" t="d">
        <v>2025-07-31</v>
      </c>
      <c r="N71" t="s">
        <v>467</v>
      </c>
      <c r="O71" t="s">
        <v>467</v>
      </c>
      <c r="P71">
        <v>2025</v>
      </c>
      <c r="Q71" t="s">
        <v>63</v>
      </c>
      <c r="R71" t="s">
        <v>59</v>
      </c>
      <c r="T71" t="s">
        <v>61</v>
      </c>
      <c r="U71">
        <v>2536300000</v>
      </c>
      <c r="V71">
        <v>678999999.99999988</v>
      </c>
      <c r="W71">
        <v>497200000.00000018</v>
      </c>
      <c r="X71">
        <v>503499999.99999988</v>
      </c>
      <c r="Y71">
        <v>338000000.00000006</v>
      </c>
      <c r="Z71">
        <v>591800000.00000012</v>
      </c>
      <c r="AA71" s="9">
        <v>7824400000</v>
      </c>
      <c r="AB71">
        <v>0</v>
      </c>
      <c r="AC71">
        <v>0</v>
      </c>
      <c r="AD71">
        <v>417400000</v>
      </c>
      <c r="AE71">
        <v>2268600000</v>
      </c>
      <c r="AF71">
        <v>634600000</v>
      </c>
      <c r="AG71">
        <v>1020800000.0000002</v>
      </c>
      <c r="AH71">
        <v>-86299999.999999985</v>
      </c>
      <c r="AI71">
        <v>214500000</v>
      </c>
      <c r="AJ71">
        <v>-554900000.00000012</v>
      </c>
      <c r="AK71">
        <v>2965000000</v>
      </c>
      <c r="AL71">
        <v>0</v>
      </c>
      <c r="AM71">
        <v>232200000</v>
      </c>
      <c r="AN71">
        <v>253800000</v>
      </c>
      <c r="AO71" s="9">
        <v>23576200000</v>
      </c>
      <c r="AP71">
        <v>354399999.99999982</v>
      </c>
      <c r="AQ71">
        <v>709300000</v>
      </c>
      <c r="AR71">
        <v>-199999.99999999994</v>
      </c>
      <c r="AS71">
        <v>372575000</v>
      </c>
      <c r="AT71">
        <v>4202345000</v>
      </c>
      <c r="AU71">
        <v>130924999.99999988</v>
      </c>
      <c r="AV71" s="10" t="s">
        <v>474</v>
      </c>
      <c r="AW71">
        <v>16068</v>
      </c>
      <c r="BA71" s="3"/>
      <c r="BB71" s="3"/>
      <c r="BV71">
        <v>2025</v>
      </c>
      <c r="BW71" t="s">
        <v>65</v>
      </c>
      <c r="BX71">
        <f>343.4+480.6+1.1-BX70-BX69-BX68</f>
        <v>220.40000000000003</v>
      </c>
      <c r="BY71">
        <f t="shared" si="0"/>
        <v>220400000.00000003</v>
      </c>
    </row>
    <row r="72" spans="1:77" x14ac:dyDescent="0.2">
      <c r="A72">
        <v>6</v>
      </c>
      <c r="B72" t="s">
        <v>179</v>
      </c>
      <c r="C72" t="s">
        <v>180</v>
      </c>
      <c r="D72" s="8" t="s">
        <v>181</v>
      </c>
      <c r="E72" t="s">
        <v>55</v>
      </c>
      <c r="F72" t="s">
        <v>192</v>
      </c>
      <c r="G72" s="2" t="d">
        <v>2025-11-20</v>
      </c>
      <c r="H72" s="2" t="d">
        <v>2025-11-19</v>
      </c>
      <c r="I72">
        <v>2026</v>
      </c>
      <c r="J72" t="s">
        <v>57</v>
      </c>
      <c r="K72">
        <v>11</v>
      </c>
      <c r="L72" s="2" t="d">
        <v>2025-08-01</v>
      </c>
      <c r="M72" s="2" t="d">
        <v>2025-10-31</v>
      </c>
      <c r="N72" t="s">
        <v>468</v>
      </c>
      <c r="O72" t="s">
        <v>468</v>
      </c>
      <c r="P72">
        <v>2025</v>
      </c>
      <c r="Q72" t="s">
        <v>65</v>
      </c>
      <c r="R72" t="s">
        <v>59</v>
      </c>
      <c r="T72" t="s">
        <v>61</v>
      </c>
      <c r="U72">
        <v>2474000000</v>
      </c>
      <c r="V72">
        <v>638000000</v>
      </c>
      <c r="W72">
        <v>309000000</v>
      </c>
      <c r="X72">
        <v>528000000</v>
      </c>
      <c r="Y72">
        <v>78000000</v>
      </c>
      <c r="Z72">
        <v>412000000</v>
      </c>
      <c r="AA72" s="9">
        <v>8665000000</v>
      </c>
      <c r="AB72">
        <v>0</v>
      </c>
      <c r="AC72">
        <v>0</v>
      </c>
      <c r="AD72">
        <v>346000000</v>
      </c>
      <c r="AE72">
        <v>3066000000</v>
      </c>
      <c r="AF72">
        <v>1144000000</v>
      </c>
      <c r="AG72">
        <v>1771000000</v>
      </c>
      <c r="AH72">
        <v>-84000000</v>
      </c>
      <c r="AI72">
        <v>208000000</v>
      </c>
      <c r="AJ72">
        <v>-2000000</v>
      </c>
      <c r="AK72">
        <v>1343000000</v>
      </c>
      <c r="AL72">
        <v>0</v>
      </c>
      <c r="AM72">
        <v>223000000</v>
      </c>
      <c r="AN72">
        <v>334000000</v>
      </c>
      <c r="AO72" s="9">
        <v>23536000000</v>
      </c>
      <c r="AP72">
        <v>370000000</v>
      </c>
      <c r="AQ72">
        <v>709000000</v>
      </c>
      <c r="AR72">
        <v>0</v>
      </c>
      <c r="AS72">
        <v>398975000</v>
      </c>
      <c r="AT72">
        <v>4331370000</v>
      </c>
      <c r="AU72">
        <v>129025000</v>
      </c>
      <c r="AV72" s="10" t="s">
        <v>474</v>
      </c>
      <c r="AW72">
        <v>16068</v>
      </c>
      <c r="BA72" s="3"/>
      <c r="BB72" s="3"/>
      <c r="BV72">
        <v>2026</v>
      </c>
      <c r="BW72" t="s">
        <v>57</v>
      </c>
      <c r="BX72">
        <f>89+126</f>
        <v>215</v>
      </c>
      <c r="BY72">
        <f t="shared" si="0"/>
        <v>215000000</v>
      </c>
    </row>
    <row r="73" spans="1:77" x14ac:dyDescent="0.2">
      <c r="A73">
        <v>6</v>
      </c>
      <c r="B73" t="s">
        <v>179</v>
      </c>
      <c r="C73" t="s">
        <v>180</v>
      </c>
      <c r="D73" s="8" t="s">
        <v>181</v>
      </c>
      <c r="E73" t="s">
        <v>55</v>
      </c>
      <c r="F73" t="s">
        <v>193</v>
      </c>
      <c r="G73" s="2" t="d">
        <v>2026-02-18</v>
      </c>
      <c r="H73" s="2" t="d">
        <v>2026-02-17</v>
      </c>
      <c r="I73">
        <v>2026</v>
      </c>
      <c r="J73" t="s">
        <v>58</v>
      </c>
      <c r="K73">
        <v>12</v>
      </c>
      <c r="L73" s="2" t="d">
        <v>2025-11-01</v>
      </c>
      <c r="M73" s="2" t="d">
        <v>2026-01-31</v>
      </c>
      <c r="N73" t="s">
        <v>467</v>
      </c>
      <c r="O73" t="s">
        <v>467</v>
      </c>
      <c r="P73">
        <v>2026</v>
      </c>
      <c r="Q73" t="s">
        <v>57</v>
      </c>
      <c r="R73" t="s">
        <v>59</v>
      </c>
      <c r="T73" t="s">
        <v>61</v>
      </c>
      <c r="U73">
        <v>2594000000</v>
      </c>
      <c r="V73">
        <v>685000000</v>
      </c>
      <c r="W73">
        <v>397000000</v>
      </c>
      <c r="X73">
        <v>511000000</v>
      </c>
      <c r="Y73">
        <v>117000000</v>
      </c>
      <c r="Z73">
        <v>549000000</v>
      </c>
      <c r="AA73" s="9">
        <v>9393000000</v>
      </c>
      <c r="AB73">
        <v>0</v>
      </c>
      <c r="AC73">
        <v>0</v>
      </c>
      <c r="AD73">
        <v>372000000</v>
      </c>
      <c r="AE73">
        <v>4158000000</v>
      </c>
      <c r="AF73">
        <v>378000000</v>
      </c>
      <c r="AG73">
        <v>554000000</v>
      </c>
      <c r="AH73">
        <v>-170000000</v>
      </c>
      <c r="AI73">
        <v>181000000</v>
      </c>
      <c r="AJ73">
        <v>-2576000000</v>
      </c>
      <c r="AK73">
        <v>2116000000</v>
      </c>
      <c r="AL73">
        <v>0</v>
      </c>
      <c r="AM73">
        <v>262000000</v>
      </c>
      <c r="AN73">
        <v>432000000</v>
      </c>
      <c r="AO73" s="9">
        <v>24979000000</v>
      </c>
      <c r="AP73">
        <v>301000000</v>
      </c>
      <c r="AQ73">
        <v>711000000</v>
      </c>
      <c r="AR73">
        <v>0</v>
      </c>
      <c r="AS73">
        <v>424525000</v>
      </c>
      <c r="AT73">
        <v>4417845000</v>
      </c>
      <c r="AU73">
        <v>86475000</v>
      </c>
      <c r="AV73" s="10" t="s">
        <v>474</v>
      </c>
      <c r="AW73">
        <v>16068</v>
      </c>
      <c r="BA73" s="3"/>
      <c r="BB73" s="3"/>
      <c r="BV73">
        <v>2026</v>
      </c>
      <c r="BW73" t="s">
        <v>58</v>
      </c>
      <c r="BX73">
        <f>180+261-BX72</f>
        <v>226</v>
      </c>
      <c r="BY73">
        <f>+BX73*1000000</f>
        <v>226000000</v>
      </c>
    </row>
    <row r="74" spans="1:77" x14ac:dyDescent="0.2">
      <c r="A74">
        <v>7</v>
      </c>
      <c r="B74" t="s">
        <v>194</v>
      </c>
      <c r="C74" t="s">
        <v>195</v>
      </c>
      <c r="D74" s="8" t="s">
        <v>196</v>
      </c>
      <c r="E74" t="s">
        <v>55</v>
      </c>
      <c r="F74" t="s">
        <v>197</v>
      </c>
      <c r="G74" s="2" t="d">
        <v>2023-04-20</v>
      </c>
      <c r="H74" s="2" t="d">
        <v>2023-04-20</v>
      </c>
      <c r="I74">
        <v>2023</v>
      </c>
      <c r="J74" t="s">
        <v>57</v>
      </c>
      <c r="K74">
        <v>1</v>
      </c>
      <c r="L74" s="2" t="d">
        <v>2023-01-01</v>
      </c>
      <c r="M74" s="2" t="d">
        <v>2023-03-31</v>
      </c>
      <c r="N74" t="s">
        <v>468</v>
      </c>
      <c r="O74" t="s">
        <v>468</v>
      </c>
      <c r="P74">
        <v>2023</v>
      </c>
      <c r="Q74" t="s">
        <v>57</v>
      </c>
      <c r="R74" t="s">
        <v>59</v>
      </c>
      <c r="S74" t="s">
        <v>198</v>
      </c>
      <c r="T74" t="s">
        <v>61</v>
      </c>
      <c r="U74">
        <v>6056000000</v>
      </c>
      <c r="W74">
        <v>2294000000</v>
      </c>
      <c r="X74">
        <v>0</v>
      </c>
      <c r="Y74">
        <v>512000000</v>
      </c>
      <c r="Z74">
        <v>2142000000</v>
      </c>
      <c r="AA74">
        <v>12454000000</v>
      </c>
      <c r="AB74">
        <v>2592000000</v>
      </c>
      <c r="AC74">
        <v>31192000000</v>
      </c>
      <c r="AD74">
        <v>1233000000</v>
      </c>
      <c r="AE74">
        <v>1079000000</v>
      </c>
      <c r="AF74">
        <v>0</v>
      </c>
      <c r="AG74">
        <v>1840000000</v>
      </c>
      <c r="AH74">
        <v>-772000000</v>
      </c>
      <c r="AI74">
        <v>572000000</v>
      </c>
      <c r="AJ74">
        <v>0</v>
      </c>
      <c r="AK74">
        <v>1955000000</v>
      </c>
      <c r="AL74">
        <v>728000000</v>
      </c>
      <c r="AM74">
        <v>952000000</v>
      </c>
      <c r="AN74">
        <v>1630000000</v>
      </c>
      <c r="AO74" s="9">
        <v>65968000000</v>
      </c>
      <c r="AP74">
        <v>28000000</v>
      </c>
      <c r="AQ74">
        <v>611500000</v>
      </c>
      <c r="AR74">
        <v>-336000000</v>
      </c>
      <c r="AS74">
        <v>0</v>
      </c>
      <c r="AT74">
        <v>0</v>
      </c>
      <c r="AV74" s="10" t="s">
        <v>474</v>
      </c>
      <c r="AW74">
        <v>33179</v>
      </c>
    </row>
    <row r="75" spans="1:77" x14ac:dyDescent="0.2">
      <c r="A75">
        <v>7</v>
      </c>
      <c r="B75" t="s">
        <v>194</v>
      </c>
      <c r="C75" t="s">
        <v>195</v>
      </c>
      <c r="D75" s="8" t="s">
        <v>196</v>
      </c>
      <c r="E75" t="s">
        <v>55</v>
      </c>
      <c r="F75" t="s">
        <v>199</v>
      </c>
      <c r="G75" s="2" t="d">
        <v>2023-07-26</v>
      </c>
      <c r="H75" s="2" t="d">
        <v>2023-07-26</v>
      </c>
      <c r="I75">
        <v>2023</v>
      </c>
      <c r="J75" t="s">
        <v>58</v>
      </c>
      <c r="K75">
        <v>2</v>
      </c>
      <c r="L75" s="2" t="d">
        <v>2023-04-01</v>
      </c>
      <c r="M75" s="2" t="d">
        <v>2023-06-30</v>
      </c>
      <c r="N75" t="s">
        <v>467</v>
      </c>
      <c r="O75" t="s">
        <v>467</v>
      </c>
      <c r="P75">
        <v>2023</v>
      </c>
      <c r="Q75" t="s">
        <v>58</v>
      </c>
      <c r="R75" t="s">
        <v>59</v>
      </c>
      <c r="S75" t="s">
        <v>198</v>
      </c>
      <c r="T75" t="s">
        <v>61</v>
      </c>
      <c r="U75">
        <v>5963000000</v>
      </c>
      <c r="W75">
        <v>2204000000</v>
      </c>
      <c r="X75">
        <v>0</v>
      </c>
      <c r="Y75">
        <v>389000000</v>
      </c>
      <c r="Z75">
        <v>1958000000</v>
      </c>
      <c r="AA75">
        <v>13194000000</v>
      </c>
      <c r="AB75">
        <v>1745000000</v>
      </c>
      <c r="AC75">
        <v>31557000000</v>
      </c>
      <c r="AD75">
        <v>1217000000</v>
      </c>
      <c r="AE75">
        <v>830000000</v>
      </c>
      <c r="AF75">
        <v>0</v>
      </c>
      <c r="AG75">
        <v>2018000000</v>
      </c>
      <c r="AH75">
        <v>-835000000</v>
      </c>
      <c r="AI75">
        <v>577000000</v>
      </c>
      <c r="AJ75">
        <v>0</v>
      </c>
      <c r="AK75">
        <v>1826000000</v>
      </c>
      <c r="AL75">
        <v>742000000</v>
      </c>
      <c r="AM75">
        <v>894000000</v>
      </c>
      <c r="AN75">
        <v>1569000000</v>
      </c>
      <c r="AO75" s="9">
        <v>66033000000</v>
      </c>
      <c r="AP75">
        <v>24000000</v>
      </c>
      <c r="AQ75">
        <v>609500000</v>
      </c>
      <c r="AR75">
        <v>-339000000</v>
      </c>
      <c r="AS75">
        <v>0</v>
      </c>
      <c r="AT75">
        <v>0</v>
      </c>
      <c r="AV75" s="10" t="s">
        <v>474</v>
      </c>
      <c r="AW75">
        <v>33179</v>
      </c>
    </row>
    <row r="76" spans="1:77" x14ac:dyDescent="0.2">
      <c r="A76">
        <v>7</v>
      </c>
      <c r="B76" t="s">
        <v>194</v>
      </c>
      <c r="C76" t="s">
        <v>195</v>
      </c>
      <c r="D76" s="8" t="s">
        <v>196</v>
      </c>
      <c r="E76" t="s">
        <v>55</v>
      </c>
      <c r="F76" t="s">
        <v>200</v>
      </c>
      <c r="G76" s="2" t="d">
        <v>2023-10-19</v>
      </c>
      <c r="H76" s="2" t="d">
        <v>2023-10-19</v>
      </c>
      <c r="I76">
        <v>2023</v>
      </c>
      <c r="J76" t="s">
        <v>63</v>
      </c>
      <c r="K76">
        <v>3</v>
      </c>
      <c r="L76" s="2" t="d">
        <v>2023-07-01</v>
      </c>
      <c r="M76" s="2" t="d">
        <v>2023-09-30</v>
      </c>
      <c r="N76" t="s">
        <v>467</v>
      </c>
      <c r="O76" t="s">
        <v>467</v>
      </c>
      <c r="P76">
        <v>2023</v>
      </c>
      <c r="Q76" t="s">
        <v>63</v>
      </c>
      <c r="R76" t="s">
        <v>59</v>
      </c>
      <c r="S76" t="s">
        <v>198</v>
      </c>
      <c r="T76" t="s">
        <v>61</v>
      </c>
      <c r="U76">
        <v>5941000000</v>
      </c>
      <c r="W76">
        <v>2177000000</v>
      </c>
      <c r="X76">
        <v>0</v>
      </c>
      <c r="Y76">
        <v>421000000</v>
      </c>
      <c r="Z76">
        <v>1949000000</v>
      </c>
      <c r="AA76">
        <v>14004000000</v>
      </c>
      <c r="AB76">
        <v>1724000000</v>
      </c>
      <c r="AC76">
        <v>31153000000</v>
      </c>
      <c r="AD76">
        <v>1244000000</v>
      </c>
      <c r="AE76">
        <v>750000000</v>
      </c>
      <c r="AF76">
        <v>16000000</v>
      </c>
      <c r="AG76">
        <v>2126000000</v>
      </c>
      <c r="AH76">
        <v>-975000000</v>
      </c>
      <c r="AI76">
        <v>580000000</v>
      </c>
      <c r="AJ76">
        <v>0</v>
      </c>
      <c r="AK76">
        <v>1934000000</v>
      </c>
      <c r="AL76">
        <v>770000000</v>
      </c>
      <c r="AM76">
        <v>936000000</v>
      </c>
      <c r="AN76">
        <v>1528000000</v>
      </c>
      <c r="AO76" s="9">
        <v>66540000000</v>
      </c>
      <c r="AP76">
        <v>32000000</v>
      </c>
      <c r="AQ76">
        <v>609800000</v>
      </c>
      <c r="AR76">
        <v>-334000000</v>
      </c>
      <c r="AS76">
        <v>0</v>
      </c>
      <c r="AT76">
        <v>0</v>
      </c>
      <c r="AV76" s="10" t="s">
        <v>474</v>
      </c>
      <c r="AW76">
        <v>33179</v>
      </c>
    </row>
    <row r="77" spans="1:77" x14ac:dyDescent="0.2">
      <c r="A77">
        <v>7</v>
      </c>
      <c r="B77" t="s">
        <v>194</v>
      </c>
      <c r="C77" t="s">
        <v>195</v>
      </c>
      <c r="D77" s="8" t="s">
        <v>196</v>
      </c>
      <c r="E77" t="s">
        <v>66</v>
      </c>
      <c r="F77" t="s">
        <v>201</v>
      </c>
      <c r="G77" s="2" t="d">
        <v>2024-02-09</v>
      </c>
      <c r="H77" s="2" t="d">
        <v>2024-02-09</v>
      </c>
      <c r="I77">
        <v>2023</v>
      </c>
      <c r="J77" t="s">
        <v>65</v>
      </c>
      <c r="K77">
        <v>4</v>
      </c>
      <c r="L77" s="2" t="d">
        <v>2023-10-01</v>
      </c>
      <c r="M77" s="2" t="d">
        <v>2023-12-31</v>
      </c>
      <c r="N77" t="s">
        <v>467</v>
      </c>
      <c r="O77" t="s">
        <v>467</v>
      </c>
      <c r="P77">
        <v>2023</v>
      </c>
      <c r="Q77" t="s">
        <v>65</v>
      </c>
      <c r="R77" t="s">
        <v>59</v>
      </c>
      <c r="S77" t="s">
        <v>198</v>
      </c>
      <c r="T77" t="s">
        <v>61</v>
      </c>
      <c r="U77">
        <v>6159000000</v>
      </c>
      <c r="W77">
        <v>2407000000</v>
      </c>
      <c r="X77">
        <v>0</v>
      </c>
      <c r="Y77">
        <v>532000000</v>
      </c>
      <c r="Z77">
        <v>2184000000</v>
      </c>
      <c r="AA77">
        <v>14788000000</v>
      </c>
      <c r="AB77">
        <v>1423000000</v>
      </c>
      <c r="AC77">
        <v>31156000000</v>
      </c>
      <c r="AD77">
        <v>1245000000</v>
      </c>
      <c r="AE77">
        <v>1055000000</v>
      </c>
      <c r="AF77">
        <v>16000000</v>
      </c>
      <c r="AG77">
        <v>2395000000</v>
      </c>
      <c r="AH77">
        <v>-1024000000</v>
      </c>
      <c r="AI77">
        <v>589000000</v>
      </c>
      <c r="AJ77">
        <v>0</v>
      </c>
      <c r="AK77">
        <v>2073000000</v>
      </c>
      <c r="AL77">
        <v>743000000</v>
      </c>
      <c r="AM77">
        <v>856000000</v>
      </c>
      <c r="AN77">
        <v>1652000000</v>
      </c>
      <c r="AO77" s="9">
        <v>67132000000</v>
      </c>
      <c r="AP77">
        <v>23000000</v>
      </c>
      <c r="AQ77">
        <v>610200000</v>
      </c>
      <c r="AR77">
        <v>-331000000</v>
      </c>
      <c r="AS77">
        <v>0</v>
      </c>
      <c r="AT77">
        <v>0</v>
      </c>
      <c r="AV77" s="10" t="s">
        <v>474</v>
      </c>
      <c r="AW77">
        <v>32973</v>
      </c>
    </row>
    <row r="78" spans="1:77" x14ac:dyDescent="0.2">
      <c r="A78">
        <v>7</v>
      </c>
      <c r="B78" t="s">
        <v>194</v>
      </c>
      <c r="C78" t="s">
        <v>195</v>
      </c>
      <c r="D78" s="8" t="s">
        <v>196</v>
      </c>
      <c r="E78" t="s">
        <v>55</v>
      </c>
      <c r="F78" t="s">
        <v>202</v>
      </c>
      <c r="G78" s="2" t="d">
        <v>2024-04-25</v>
      </c>
      <c r="H78" s="2" t="d">
        <v>2024-04-25</v>
      </c>
      <c r="I78" s="7">
        <v>2024</v>
      </c>
      <c r="J78" t="s">
        <v>57</v>
      </c>
      <c r="K78">
        <v>5</v>
      </c>
      <c r="L78" s="2" t="d">
        <v>2024-01-01</v>
      </c>
      <c r="M78" s="2" t="d">
        <v>2024-03-31</v>
      </c>
      <c r="N78" t="s">
        <v>468</v>
      </c>
      <c r="O78" t="s">
        <v>468</v>
      </c>
      <c r="P78" s="7">
        <v>2024</v>
      </c>
      <c r="Q78" t="s">
        <v>57</v>
      </c>
      <c r="R78" t="s">
        <v>59</v>
      </c>
      <c r="S78" t="s">
        <v>198</v>
      </c>
      <c r="T78" t="s">
        <v>61</v>
      </c>
      <c r="U78">
        <v>6031000000</v>
      </c>
      <c r="W78">
        <v>2372000000</v>
      </c>
      <c r="X78">
        <v>0</v>
      </c>
      <c r="Y78">
        <v>499000000</v>
      </c>
      <c r="Z78">
        <v>2140000000</v>
      </c>
      <c r="AA78">
        <v>15665000000</v>
      </c>
      <c r="AB78">
        <v>733000000</v>
      </c>
      <c r="AC78">
        <v>31195000000</v>
      </c>
      <c r="AD78">
        <v>1338000000</v>
      </c>
      <c r="AE78">
        <v>925000000</v>
      </c>
      <c r="AF78">
        <v>20000000</v>
      </c>
      <c r="AG78">
        <v>2122000000</v>
      </c>
      <c r="AH78">
        <v>-797000000</v>
      </c>
      <c r="AI78">
        <v>594000000</v>
      </c>
      <c r="AJ78">
        <v>0</v>
      </c>
      <c r="AK78">
        <v>2162000000</v>
      </c>
      <c r="AL78">
        <v>770000000</v>
      </c>
      <c r="AM78">
        <v>814000000</v>
      </c>
      <c r="AN78">
        <v>1641000000</v>
      </c>
      <c r="AO78">
        <v>67266000000</v>
      </c>
      <c r="AP78">
        <v>26000000</v>
      </c>
      <c r="AQ78">
        <v>610200000</v>
      </c>
      <c r="AR78">
        <v>-324000000</v>
      </c>
      <c r="AS78">
        <v>0</v>
      </c>
      <c r="AT78">
        <v>0</v>
      </c>
      <c r="AV78" s="10" t="s">
        <v>474</v>
      </c>
      <c r="AW78">
        <v>32973</v>
      </c>
    </row>
    <row r="79" spans="1:77" x14ac:dyDescent="0.2">
      <c r="A79">
        <v>7</v>
      </c>
      <c r="B79" t="s">
        <v>194</v>
      </c>
      <c r="C79" t="s">
        <v>195</v>
      </c>
      <c r="D79" s="8" t="s">
        <v>196</v>
      </c>
      <c r="E79" t="s">
        <v>55</v>
      </c>
      <c r="F79" t="s">
        <v>203</v>
      </c>
      <c r="G79" s="2" t="d">
        <v>2024-07-25</v>
      </c>
      <c r="H79" s="2" t="d">
        <v>2024-07-25</v>
      </c>
      <c r="I79" s="7">
        <v>2024</v>
      </c>
      <c r="J79" t="s">
        <v>58</v>
      </c>
      <c r="K79">
        <v>6</v>
      </c>
      <c r="L79" s="2" t="d">
        <v>2024-04-01</v>
      </c>
      <c r="M79" s="2" t="d">
        <v>2024-06-30</v>
      </c>
      <c r="N79" t="s">
        <v>467</v>
      </c>
      <c r="O79" t="s">
        <v>467</v>
      </c>
      <c r="P79" s="7">
        <v>2024</v>
      </c>
      <c r="Q79" t="s">
        <v>58</v>
      </c>
      <c r="R79" t="s">
        <v>59</v>
      </c>
      <c r="S79" t="s">
        <v>198</v>
      </c>
      <c r="T79" t="s">
        <v>61</v>
      </c>
      <c r="U79">
        <v>6007000000</v>
      </c>
      <c r="W79">
        <v>2400000000</v>
      </c>
      <c r="X79">
        <v>0</v>
      </c>
      <c r="Y79">
        <v>511000000</v>
      </c>
      <c r="Z79">
        <v>2184000000</v>
      </c>
      <c r="AA79">
        <v>16489000000</v>
      </c>
      <c r="AB79">
        <v>727000000</v>
      </c>
      <c r="AC79">
        <v>31165000000</v>
      </c>
      <c r="AD79">
        <v>1305000000</v>
      </c>
      <c r="AE79">
        <v>1137000000</v>
      </c>
      <c r="AF79">
        <v>20000000</v>
      </c>
      <c r="AG79">
        <v>1911000000</v>
      </c>
      <c r="AH79">
        <v>-902000000</v>
      </c>
      <c r="AI79">
        <v>596000000</v>
      </c>
      <c r="AJ79">
        <v>0</v>
      </c>
      <c r="AK79">
        <v>2118000000</v>
      </c>
      <c r="AL79">
        <v>807000000</v>
      </c>
      <c r="AM79">
        <v>870000000</v>
      </c>
      <c r="AN79">
        <v>1673000000</v>
      </c>
      <c r="AO79" s="9">
        <v>67817000000</v>
      </c>
      <c r="AP79">
        <v>28000000</v>
      </c>
      <c r="AQ79">
        <v>610300000</v>
      </c>
      <c r="AR79">
        <v>-319000000</v>
      </c>
      <c r="AS79">
        <v>0</v>
      </c>
      <c r="AT79">
        <v>0</v>
      </c>
      <c r="AV79" s="10" t="s">
        <v>474</v>
      </c>
      <c r="AW79">
        <v>32973</v>
      </c>
    </row>
    <row r="80" spans="1:77" x14ac:dyDescent="0.2">
      <c r="A80">
        <v>7</v>
      </c>
      <c r="B80" t="s">
        <v>194</v>
      </c>
      <c r="C80" t="s">
        <v>195</v>
      </c>
      <c r="D80" s="8" t="s">
        <v>196</v>
      </c>
      <c r="E80" t="s">
        <v>55</v>
      </c>
      <c r="F80" t="s">
        <v>204</v>
      </c>
      <c r="G80" s="2" t="d">
        <v>2024-10-24</v>
      </c>
      <c r="H80" s="2" t="d">
        <v>2024-10-24</v>
      </c>
      <c r="I80" s="7">
        <v>2024</v>
      </c>
      <c r="J80" t="s">
        <v>63</v>
      </c>
      <c r="K80">
        <v>7</v>
      </c>
      <c r="L80" s="2" t="d">
        <v>2024-07-01</v>
      </c>
      <c r="M80" s="2" t="d">
        <v>2024-09-30</v>
      </c>
      <c r="N80" t="s">
        <v>467</v>
      </c>
      <c r="O80" t="s">
        <v>467</v>
      </c>
      <c r="P80" s="7">
        <v>2024</v>
      </c>
      <c r="Q80" t="s">
        <v>63</v>
      </c>
      <c r="R80" t="s">
        <v>59</v>
      </c>
      <c r="S80" t="s">
        <v>198</v>
      </c>
      <c r="T80" t="s">
        <v>61</v>
      </c>
      <c r="U80">
        <v>6091000000</v>
      </c>
      <c r="W80">
        <v>2416000000</v>
      </c>
      <c r="X80">
        <v>0</v>
      </c>
      <c r="Y80">
        <v>518000000</v>
      </c>
      <c r="Z80">
        <v>2189000000</v>
      </c>
      <c r="AA80">
        <v>16584000000</v>
      </c>
      <c r="AB80">
        <v>1652000000</v>
      </c>
      <c r="AC80">
        <v>29761000000</v>
      </c>
      <c r="AD80">
        <v>1283000000</v>
      </c>
      <c r="AE80">
        <v>947000000</v>
      </c>
      <c r="AF80">
        <v>20000000</v>
      </c>
      <c r="AG80">
        <v>2651000000</v>
      </c>
      <c r="AH80">
        <v>-831000000</v>
      </c>
      <c r="AI80">
        <v>602000000</v>
      </c>
      <c r="AJ80">
        <v>0</v>
      </c>
      <c r="AK80">
        <v>2036000000</v>
      </c>
      <c r="AL80">
        <v>775000000</v>
      </c>
      <c r="AM80">
        <v>830000000</v>
      </c>
      <c r="AN80">
        <v>1671000000</v>
      </c>
      <c r="AO80" s="9">
        <v>67570000000</v>
      </c>
      <c r="AP80">
        <v>33000000</v>
      </c>
      <c r="AQ80">
        <v>608600000</v>
      </c>
      <c r="AR80">
        <v>-314000000</v>
      </c>
      <c r="AS80">
        <v>0</v>
      </c>
      <c r="AT80">
        <v>0</v>
      </c>
      <c r="AV80" s="10" t="s">
        <v>474</v>
      </c>
      <c r="AW80">
        <v>32973</v>
      </c>
    </row>
    <row r="81" spans="1:49" x14ac:dyDescent="0.2">
      <c r="A81">
        <v>7</v>
      </c>
      <c r="B81" t="s">
        <v>194</v>
      </c>
      <c r="C81" t="s">
        <v>195</v>
      </c>
      <c r="D81" s="8" t="s">
        <v>196</v>
      </c>
      <c r="E81" t="s">
        <v>66</v>
      </c>
      <c r="F81" t="s">
        <v>205</v>
      </c>
      <c r="G81" s="2" t="d">
        <v>2025-02-07</v>
      </c>
      <c r="H81" s="2" t="d">
        <v>2025-02-07</v>
      </c>
      <c r="I81" s="7">
        <v>2024</v>
      </c>
      <c r="J81" t="s">
        <v>65</v>
      </c>
      <c r="K81">
        <v>8</v>
      </c>
      <c r="L81" s="2" t="d">
        <v>2024-10-01</v>
      </c>
      <c r="M81" s="2" t="d">
        <v>2024-12-31</v>
      </c>
      <c r="N81" t="s">
        <v>467</v>
      </c>
      <c r="O81" t="s">
        <v>467</v>
      </c>
      <c r="P81" s="7">
        <v>2024</v>
      </c>
      <c r="Q81" t="s">
        <v>65</v>
      </c>
      <c r="R81" t="s">
        <v>59</v>
      </c>
      <c r="S81" t="s">
        <v>198</v>
      </c>
      <c r="T81" t="s">
        <v>61</v>
      </c>
      <c r="U81">
        <v>6121000000</v>
      </c>
      <c r="W81">
        <v>2525000000</v>
      </c>
      <c r="X81">
        <v>0</v>
      </c>
      <c r="Y81">
        <v>519000000</v>
      </c>
      <c r="Z81">
        <v>2281000000</v>
      </c>
      <c r="AA81">
        <v>16890000000</v>
      </c>
      <c r="AB81">
        <v>1425000000</v>
      </c>
      <c r="AC81">
        <v>29767000000</v>
      </c>
      <c r="AD81">
        <v>1271000000</v>
      </c>
      <c r="AE81">
        <v>1016000000</v>
      </c>
      <c r="AF81">
        <v>20000000</v>
      </c>
      <c r="AG81">
        <v>2662000000</v>
      </c>
      <c r="AH81">
        <v>-922000000</v>
      </c>
      <c r="AI81">
        <v>606000000</v>
      </c>
      <c r="AJ81">
        <v>0</v>
      </c>
      <c r="AK81">
        <v>1894000000</v>
      </c>
      <c r="AL81">
        <v>769000000</v>
      </c>
      <c r="AM81">
        <v>847000000</v>
      </c>
      <c r="AN81">
        <v>1762000000</v>
      </c>
      <c r="AO81" s="9">
        <v>67715000000</v>
      </c>
      <c r="AP81">
        <v>31000000</v>
      </c>
      <c r="AQ81">
        <v>608600000</v>
      </c>
      <c r="AR81">
        <v>-312000000</v>
      </c>
      <c r="AS81">
        <v>0</v>
      </c>
      <c r="AT81">
        <v>0</v>
      </c>
      <c r="AV81" s="10" t="s">
        <v>474</v>
      </c>
      <c r="AW81">
        <v>32439</v>
      </c>
    </row>
    <row r="82" spans="1:49" x14ac:dyDescent="0.2">
      <c r="A82">
        <v>7</v>
      </c>
      <c r="B82" t="s">
        <v>194</v>
      </c>
      <c r="C82" t="s">
        <v>195</v>
      </c>
      <c r="D82" s="8" t="s">
        <v>196</v>
      </c>
      <c r="E82" t="s">
        <v>55</v>
      </c>
      <c r="F82" t="s">
        <v>206</v>
      </c>
      <c r="G82" s="2" t="d">
        <v>2025-04-24</v>
      </c>
      <c r="H82" s="2" t="d">
        <v>2025-04-24</v>
      </c>
      <c r="I82" s="7">
        <v>2025</v>
      </c>
      <c r="J82" t="s">
        <v>57</v>
      </c>
      <c r="K82">
        <v>9</v>
      </c>
      <c r="L82" s="2" t="d">
        <v>2025-01-01</v>
      </c>
      <c r="M82" s="2" t="d">
        <v>2025-03-31</v>
      </c>
      <c r="N82" t="s">
        <v>468</v>
      </c>
      <c r="O82" t="s">
        <v>468</v>
      </c>
      <c r="P82" s="7">
        <v>2025</v>
      </c>
      <c r="Q82" t="s">
        <v>57</v>
      </c>
      <c r="R82" t="s">
        <v>59</v>
      </c>
      <c r="S82" t="s">
        <v>198</v>
      </c>
      <c r="T82" t="s">
        <v>61</v>
      </c>
      <c r="U82">
        <v>6027000000</v>
      </c>
      <c r="W82">
        <v>2371000000</v>
      </c>
      <c r="X82">
        <v>0</v>
      </c>
      <c r="Y82">
        <v>501000000</v>
      </c>
      <c r="Z82">
        <v>2127000000</v>
      </c>
      <c r="AA82">
        <v>16039000000</v>
      </c>
      <c r="AB82">
        <v>2227000000</v>
      </c>
      <c r="AC82">
        <v>30615000000</v>
      </c>
      <c r="AD82">
        <v>1062000000</v>
      </c>
      <c r="AE82">
        <v>1411000000</v>
      </c>
      <c r="AF82">
        <v>0</v>
      </c>
      <c r="AG82">
        <v>2210000000</v>
      </c>
      <c r="AH82">
        <v>-906000000</v>
      </c>
      <c r="AI82">
        <v>610000000</v>
      </c>
      <c r="AJ82">
        <v>0</v>
      </c>
      <c r="AK82">
        <v>1965000000</v>
      </c>
      <c r="AL82">
        <v>747000000</v>
      </c>
      <c r="AM82">
        <v>898000000</v>
      </c>
      <c r="AN82">
        <v>1626000000</v>
      </c>
      <c r="AO82" s="9">
        <v>68492000000</v>
      </c>
      <c r="AP82">
        <v>34000000</v>
      </c>
      <c r="AQ82">
        <v>601900000</v>
      </c>
      <c r="AR82">
        <v>-322000000</v>
      </c>
      <c r="AS82">
        <v>0</v>
      </c>
      <c r="AT82">
        <v>0</v>
      </c>
      <c r="AV82" s="10" t="s">
        <v>474</v>
      </c>
      <c r="AW82">
        <v>32439</v>
      </c>
    </row>
    <row r="83" spans="1:49" x14ac:dyDescent="0.2">
      <c r="A83">
        <v>7</v>
      </c>
      <c r="B83" t="s">
        <v>194</v>
      </c>
      <c r="C83" t="s">
        <v>195</v>
      </c>
      <c r="D83" s="8" t="s">
        <v>196</v>
      </c>
      <c r="E83" t="s">
        <v>55</v>
      </c>
      <c r="F83" t="s">
        <v>207</v>
      </c>
      <c r="G83" s="2" t="d">
        <v>2025-07-24</v>
      </c>
      <c r="H83" s="2" t="d">
        <v>2025-07-24</v>
      </c>
      <c r="I83" s="7">
        <v>2025</v>
      </c>
      <c r="J83" t="s">
        <v>58</v>
      </c>
      <c r="K83">
        <v>10</v>
      </c>
      <c r="L83" s="2" t="d">
        <v>2025-04-01</v>
      </c>
      <c r="M83" s="2" t="d">
        <v>2025-06-30</v>
      </c>
      <c r="N83" t="s">
        <v>467</v>
      </c>
      <c r="O83" t="s">
        <v>467</v>
      </c>
      <c r="P83" s="7">
        <v>2025</v>
      </c>
      <c r="Q83" t="s">
        <v>58</v>
      </c>
      <c r="R83" t="s">
        <v>59</v>
      </c>
      <c r="S83" t="s">
        <v>198</v>
      </c>
      <c r="T83" t="s">
        <v>61</v>
      </c>
      <c r="U83">
        <v>6154000000</v>
      </c>
      <c r="W83">
        <v>2525000000</v>
      </c>
      <c r="X83">
        <v>0</v>
      </c>
      <c r="Y83">
        <v>437000000</v>
      </c>
      <c r="Z83">
        <v>2313000000</v>
      </c>
      <c r="AA83">
        <v>16258000000</v>
      </c>
      <c r="AB83">
        <v>2522000000</v>
      </c>
      <c r="AC83">
        <v>30291000000</v>
      </c>
      <c r="AD83">
        <v>1143000000</v>
      </c>
      <c r="AE83">
        <v>1060000000</v>
      </c>
      <c r="AF83">
        <v>0</v>
      </c>
      <c r="AG83">
        <v>2333000000</v>
      </c>
      <c r="AH83">
        <v>-936000000</v>
      </c>
      <c r="AI83">
        <v>613000000</v>
      </c>
      <c r="AJ83">
        <v>0</v>
      </c>
      <c r="AK83">
        <v>1915000000</v>
      </c>
      <c r="AL83">
        <v>774000000</v>
      </c>
      <c r="AM83">
        <v>815000000</v>
      </c>
      <c r="AN83">
        <v>1876000000</v>
      </c>
      <c r="AO83" s="9">
        <v>68576000000</v>
      </c>
      <c r="AP83">
        <v>37000000</v>
      </c>
      <c r="AQ83">
        <v>594800000</v>
      </c>
      <c r="AR83">
        <v>-335000000</v>
      </c>
      <c r="AS83">
        <v>0</v>
      </c>
      <c r="AT83">
        <v>0</v>
      </c>
      <c r="AV83" s="10" t="s">
        <v>474</v>
      </c>
      <c r="AW83">
        <v>32439</v>
      </c>
    </row>
    <row r="84" spans="1:49" x14ac:dyDescent="0.2">
      <c r="A84">
        <v>7</v>
      </c>
      <c r="B84" t="s">
        <v>194</v>
      </c>
      <c r="C84" t="s">
        <v>195</v>
      </c>
      <c r="D84" s="8" t="s">
        <v>196</v>
      </c>
      <c r="E84" t="s">
        <v>55</v>
      </c>
      <c r="F84" t="s">
        <v>208</v>
      </c>
      <c r="G84" s="2" t="d">
        <v>2024-10-23</v>
      </c>
      <c r="H84" s="2" t="d">
        <v>2024-10-23</v>
      </c>
      <c r="I84" s="7">
        <v>2025</v>
      </c>
      <c r="J84" t="s">
        <v>63</v>
      </c>
      <c r="K84">
        <v>11</v>
      </c>
      <c r="L84" s="2" t="d">
        <v>2025-07-01</v>
      </c>
      <c r="M84" s="2" t="d">
        <v>2025-09-30</v>
      </c>
      <c r="N84" t="s">
        <v>467</v>
      </c>
      <c r="O84" t="s">
        <v>467</v>
      </c>
      <c r="P84" s="7">
        <v>2025</v>
      </c>
      <c r="Q84" t="s">
        <v>63</v>
      </c>
      <c r="R84" t="s">
        <v>59</v>
      </c>
      <c r="S84" t="s">
        <v>198</v>
      </c>
      <c r="T84" t="s">
        <v>61</v>
      </c>
      <c r="U84">
        <v>6244000000</v>
      </c>
      <c r="W84">
        <v>2549000000</v>
      </c>
      <c r="X84">
        <v>0</v>
      </c>
      <c r="Y84">
        <v>530000000</v>
      </c>
      <c r="Z84">
        <v>2318000000</v>
      </c>
      <c r="AA84">
        <v>17304000000</v>
      </c>
      <c r="AB84">
        <v>1521000000</v>
      </c>
      <c r="AC84">
        <v>30286000000</v>
      </c>
      <c r="AD84">
        <v>1041000000</v>
      </c>
      <c r="AE84">
        <v>808000000</v>
      </c>
      <c r="AF84">
        <v>0</v>
      </c>
      <c r="AG84">
        <v>2522000000</v>
      </c>
      <c r="AH84">
        <v>-950000000</v>
      </c>
      <c r="AI84">
        <v>618000000</v>
      </c>
      <c r="AJ84">
        <v>0</v>
      </c>
      <c r="AK84">
        <v>1921000000</v>
      </c>
      <c r="AL84">
        <v>782000000</v>
      </c>
      <c r="AM84">
        <v>853000000</v>
      </c>
      <c r="AN84">
        <v>1788000000</v>
      </c>
      <c r="AO84" s="9">
        <v>68647000000</v>
      </c>
      <c r="AP84">
        <v>39000000</v>
      </c>
      <c r="AQ84">
        <v>593200000</v>
      </c>
      <c r="AR84">
        <v>-327000000</v>
      </c>
      <c r="AS84">
        <v>0</v>
      </c>
      <c r="AT84">
        <v>0</v>
      </c>
      <c r="AV84" s="10" t="s">
        <v>474</v>
      </c>
      <c r="AW84">
        <v>32439</v>
      </c>
    </row>
    <row r="85" spans="1:49" x14ac:dyDescent="0.2">
      <c r="A85">
        <v>7</v>
      </c>
      <c r="B85" t="s">
        <v>194</v>
      </c>
      <c r="C85" t="s">
        <v>195</v>
      </c>
      <c r="D85" s="8" t="s">
        <v>196</v>
      </c>
      <c r="E85" t="s">
        <v>66</v>
      </c>
      <c r="F85" t="s">
        <v>209</v>
      </c>
      <c r="G85" s="2" t="d">
        <v>2026-02-06</v>
      </c>
      <c r="H85" s="2" t="d">
        <v>2026-02-06</v>
      </c>
      <c r="I85" s="7">
        <v>2025</v>
      </c>
      <c r="J85" t="s">
        <v>65</v>
      </c>
      <c r="K85">
        <v>12</v>
      </c>
      <c r="L85" s="2" t="d">
        <v>2025-10-01</v>
      </c>
      <c r="M85" s="2" t="d">
        <v>2025-12-31</v>
      </c>
      <c r="N85" t="s">
        <v>467</v>
      </c>
      <c r="O85" t="s">
        <v>467</v>
      </c>
      <c r="P85" s="7">
        <v>2025</v>
      </c>
      <c r="Q85" t="s">
        <v>65</v>
      </c>
      <c r="R85" t="s">
        <v>59</v>
      </c>
      <c r="S85" t="s">
        <v>198</v>
      </c>
      <c r="T85" t="s">
        <v>61</v>
      </c>
      <c r="U85">
        <v>6085000000</v>
      </c>
      <c r="W85">
        <v>2401000000</v>
      </c>
      <c r="X85">
        <v>0</v>
      </c>
      <c r="Y85">
        <v>560000000</v>
      </c>
      <c r="Z85">
        <v>2408000000</v>
      </c>
      <c r="AA85">
        <v>18467000000</v>
      </c>
      <c r="AB85">
        <v>1520000000</v>
      </c>
      <c r="AC85">
        <v>30294000000</v>
      </c>
      <c r="AD85">
        <v>1008000000</v>
      </c>
      <c r="AE85">
        <v>1266000000</v>
      </c>
      <c r="AF85">
        <v>250000000</v>
      </c>
      <c r="AG85">
        <v>2225000000</v>
      </c>
      <c r="AH85">
        <v>-999000000</v>
      </c>
      <c r="AI85">
        <v>624000000</v>
      </c>
      <c r="AJ85">
        <v>0</v>
      </c>
      <c r="AK85">
        <v>1860000000</v>
      </c>
      <c r="AL85">
        <v>787000000</v>
      </c>
      <c r="AM85">
        <v>804000000</v>
      </c>
      <c r="AN85">
        <v>1848000000</v>
      </c>
      <c r="AO85" s="9">
        <v>69698000000</v>
      </c>
      <c r="AP85">
        <v>32000000</v>
      </c>
      <c r="AQ85">
        <v>595900000</v>
      </c>
      <c r="AR85">
        <v>-325000000</v>
      </c>
      <c r="AS85">
        <v>0</v>
      </c>
      <c r="AT85">
        <v>0</v>
      </c>
      <c r="AV85" s="10" t="s">
        <v>474</v>
      </c>
      <c r="AW85">
        <v>29287</v>
      </c>
    </row>
    <row r="86" spans="1:49" x14ac:dyDescent="0.2">
      <c r="A86">
        <v>8</v>
      </c>
      <c r="B86" t="s">
        <v>211</v>
      </c>
      <c r="C86" t="s">
        <v>210</v>
      </c>
      <c r="D86" s="8" t="s">
        <v>212</v>
      </c>
      <c r="E86" t="s">
        <v>55</v>
      </c>
      <c r="F86" t="s">
        <v>213</v>
      </c>
      <c r="G86" s="2" t="d">
        <v>2023-05-04</v>
      </c>
      <c r="H86" s="2" t="d">
        <v>2023-05-04</v>
      </c>
      <c r="I86">
        <v>2023</v>
      </c>
      <c r="J86" t="s">
        <v>57</v>
      </c>
      <c r="K86">
        <v>1</v>
      </c>
      <c r="L86" s="2" t="d">
        <v>2023-01-01</v>
      </c>
      <c r="M86" s="2" t="d">
        <v>2023-03-31</v>
      </c>
      <c r="N86" t="s">
        <v>468</v>
      </c>
      <c r="O86" t="s">
        <v>468</v>
      </c>
      <c r="P86">
        <v>2023</v>
      </c>
      <c r="Q86" t="s">
        <v>57</v>
      </c>
      <c r="R86" t="s">
        <v>59</v>
      </c>
      <c r="S86" t="s">
        <v>214</v>
      </c>
      <c r="T86" t="s">
        <v>61</v>
      </c>
      <c r="U86">
        <v>5389000000</v>
      </c>
      <c r="V86">
        <v>3564000000</v>
      </c>
      <c r="W86">
        <v>1601000000</v>
      </c>
      <c r="X86">
        <v>0</v>
      </c>
      <c r="Y86">
        <v>499000000</v>
      </c>
      <c r="Z86">
        <v>1538000000</v>
      </c>
      <c r="AA86">
        <v>25648000000</v>
      </c>
      <c r="AB86">
        <v>49000000</v>
      </c>
      <c r="AC86">
        <v>9586000000</v>
      </c>
      <c r="AD86">
        <v>0</v>
      </c>
      <c r="AE86">
        <v>6852000000</v>
      </c>
      <c r="AF86">
        <v>0</v>
      </c>
      <c r="AG86">
        <v>1050000000</v>
      </c>
      <c r="AH86">
        <v>-1121000000</v>
      </c>
      <c r="AI86">
        <v>399000000</v>
      </c>
      <c r="AJ86">
        <v>0</v>
      </c>
      <c r="AK86">
        <v>1134000000</v>
      </c>
      <c r="AL86">
        <v>5737000000</v>
      </c>
      <c r="AM86">
        <v>3836000000</v>
      </c>
      <c r="AN86">
        <v>1049000000</v>
      </c>
      <c r="AO86" s="9">
        <v>50909000000</v>
      </c>
      <c r="AP86">
        <v>53000000</v>
      </c>
      <c r="AQ86">
        <v>1443000000</v>
      </c>
      <c r="AR86">
        <v>-151000000</v>
      </c>
      <c r="AS86">
        <v>0</v>
      </c>
      <c r="AT86">
        <v>0</v>
      </c>
      <c r="AV86" s="10" t="s">
        <v>474</v>
      </c>
      <c r="AW86">
        <v>25600</v>
      </c>
    </row>
    <row r="87" spans="1:49" x14ac:dyDescent="0.2">
      <c r="A87">
        <v>8</v>
      </c>
      <c r="B87" t="s">
        <v>211</v>
      </c>
      <c r="C87" t="s">
        <v>210</v>
      </c>
      <c r="D87" s="8" t="s">
        <v>212</v>
      </c>
      <c r="E87" t="s">
        <v>55</v>
      </c>
      <c r="F87" t="s">
        <v>215</v>
      </c>
      <c r="G87" s="2" t="d">
        <v>2023-08-03</v>
      </c>
      <c r="H87" s="2" t="d">
        <v>2023-08-03</v>
      </c>
      <c r="I87">
        <v>2023</v>
      </c>
      <c r="J87" t="s">
        <v>58</v>
      </c>
      <c r="K87">
        <v>2</v>
      </c>
      <c r="L87" s="2" t="d">
        <v>2023-04-01</v>
      </c>
      <c r="M87" s="2" t="d">
        <v>2023-06-30</v>
      </c>
      <c r="N87" t="s">
        <v>467</v>
      </c>
      <c r="O87" t="s">
        <v>467</v>
      </c>
      <c r="P87">
        <v>2023</v>
      </c>
      <c r="Q87" t="s">
        <v>58</v>
      </c>
      <c r="R87" t="s">
        <v>59</v>
      </c>
      <c r="S87" t="s">
        <v>214</v>
      </c>
      <c r="T87" t="s">
        <v>61</v>
      </c>
      <c r="U87">
        <v>5737000000</v>
      </c>
      <c r="V87">
        <v>4096000000</v>
      </c>
      <c r="W87">
        <v>1410000000</v>
      </c>
      <c r="X87">
        <v>0</v>
      </c>
      <c r="Y87">
        <v>539000000</v>
      </c>
      <c r="Z87">
        <v>1268000000</v>
      </c>
      <c r="AA87">
        <v>26027000000</v>
      </c>
      <c r="AB87">
        <v>37000000</v>
      </c>
      <c r="AC87">
        <v>9458000000</v>
      </c>
      <c r="AD87">
        <v>0</v>
      </c>
      <c r="AE87">
        <v>6683000000</v>
      </c>
      <c r="AF87">
        <v>0</v>
      </c>
      <c r="AG87">
        <v>1673000000</v>
      </c>
      <c r="AH87">
        <v>-1163000000</v>
      </c>
      <c r="AI87">
        <v>547000000</v>
      </c>
      <c r="AJ87">
        <v>0</v>
      </c>
      <c r="AK87">
        <v>675000000</v>
      </c>
      <c r="AL87">
        <v>5810000000</v>
      </c>
      <c r="AM87">
        <v>3642000000</v>
      </c>
      <c r="AN87">
        <v>731000000</v>
      </c>
      <c r="AO87" s="9">
        <v>50907000000</v>
      </c>
      <c r="AP87">
        <v>19000000</v>
      </c>
      <c r="AQ87">
        <v>1442000000</v>
      </c>
      <c r="AR87">
        <v>-171000000</v>
      </c>
      <c r="AS87">
        <v>0</v>
      </c>
      <c r="AT87">
        <v>0</v>
      </c>
      <c r="AV87" s="10" t="s">
        <v>474</v>
      </c>
      <c r="AW87">
        <v>25600</v>
      </c>
    </row>
    <row r="88" spans="1:49" x14ac:dyDescent="0.2">
      <c r="A88">
        <v>8</v>
      </c>
      <c r="B88" t="s">
        <v>211</v>
      </c>
      <c r="C88" t="s">
        <v>210</v>
      </c>
      <c r="D88" s="8" t="s">
        <v>212</v>
      </c>
      <c r="E88" t="s">
        <v>55</v>
      </c>
      <c r="F88" t="s">
        <v>216</v>
      </c>
      <c r="G88" s="2" t="d">
        <v>2023-11-03</v>
      </c>
      <c r="H88" s="2" t="d">
        <v>2023-11-03</v>
      </c>
      <c r="I88">
        <v>2023</v>
      </c>
      <c r="J88" t="s">
        <v>63</v>
      </c>
      <c r="K88">
        <v>3</v>
      </c>
      <c r="L88" s="2" t="d">
        <v>2023-07-01</v>
      </c>
      <c r="M88" s="2" t="d">
        <v>2023-09-30</v>
      </c>
      <c r="N88" t="s">
        <v>467</v>
      </c>
      <c r="O88" t="s">
        <v>467</v>
      </c>
      <c r="P88">
        <v>2023</v>
      </c>
      <c r="Q88" t="s">
        <v>63</v>
      </c>
      <c r="R88" t="s">
        <v>59</v>
      </c>
      <c r="S88" t="s">
        <v>214</v>
      </c>
      <c r="T88" t="s">
        <v>61</v>
      </c>
      <c r="U88">
        <v>5824000000</v>
      </c>
      <c r="V88">
        <v>4086000000</v>
      </c>
      <c r="W88">
        <v>1492000000</v>
      </c>
      <c r="X88">
        <v>0</v>
      </c>
      <c r="Y88">
        <v>508000000</v>
      </c>
      <c r="Z88">
        <v>1472000000</v>
      </c>
      <c r="AA88">
        <v>26677000000</v>
      </c>
      <c r="AB88">
        <v>35000000</v>
      </c>
      <c r="AC88">
        <v>9370000000</v>
      </c>
      <c r="AD88">
        <v>0</v>
      </c>
      <c r="AE88">
        <v>5745000000</v>
      </c>
      <c r="AF88">
        <v>0</v>
      </c>
      <c r="AG88">
        <v>1236000000</v>
      </c>
      <c r="AH88">
        <v>-1178000000</v>
      </c>
      <c r="AI88">
        <v>533000000</v>
      </c>
      <c r="AJ88">
        <v>0</v>
      </c>
      <c r="AK88">
        <v>792000000</v>
      </c>
      <c r="AL88">
        <v>5949000000</v>
      </c>
      <c r="AM88">
        <v>3724000000</v>
      </c>
      <c r="AN88">
        <v>964000000</v>
      </c>
      <c r="AO88" s="9">
        <v>51648000000</v>
      </c>
      <c r="AP88">
        <v>17000000</v>
      </c>
      <c r="AQ88">
        <v>1443000000</v>
      </c>
      <c r="AR88">
        <v>-96000000</v>
      </c>
      <c r="AS88">
        <v>0</v>
      </c>
      <c r="AT88">
        <v>0</v>
      </c>
      <c r="AV88" s="10" t="s">
        <v>474</v>
      </c>
      <c r="AW88">
        <v>25600</v>
      </c>
    </row>
    <row r="89" spans="1:49" x14ac:dyDescent="0.2">
      <c r="A89">
        <v>8</v>
      </c>
      <c r="B89" t="s">
        <v>211</v>
      </c>
      <c r="C89" t="s">
        <v>210</v>
      </c>
      <c r="D89" s="8" t="s">
        <v>212</v>
      </c>
      <c r="E89" t="s">
        <v>66</v>
      </c>
      <c r="F89" t="s">
        <v>217</v>
      </c>
      <c r="G89" s="2" t="d">
        <v>2024-02-16</v>
      </c>
      <c r="H89" s="2" t="d">
        <v>2024-02-15</v>
      </c>
      <c r="I89">
        <v>2023</v>
      </c>
      <c r="J89" t="s">
        <v>65</v>
      </c>
      <c r="K89">
        <v>4</v>
      </c>
      <c r="L89" s="2" t="d">
        <v>2023-10-01</v>
      </c>
      <c r="M89" s="2" t="d">
        <v>2023-12-31</v>
      </c>
      <c r="N89" t="s">
        <v>467</v>
      </c>
      <c r="O89" t="s">
        <v>467</v>
      </c>
      <c r="P89">
        <v>2023</v>
      </c>
      <c r="Q89" t="s">
        <v>65</v>
      </c>
      <c r="R89" t="s">
        <v>59</v>
      </c>
      <c r="S89" t="s">
        <v>214</v>
      </c>
      <c r="T89" t="s">
        <v>61</v>
      </c>
      <c r="U89">
        <v>5905000000</v>
      </c>
      <c r="V89">
        <v>3949000000</v>
      </c>
      <c r="W89">
        <v>1722000000</v>
      </c>
      <c r="X89">
        <v>0</v>
      </c>
      <c r="Y89">
        <v>724000000</v>
      </c>
      <c r="Z89">
        <v>1728000000</v>
      </c>
      <c r="AA89">
        <v>27310000000</v>
      </c>
      <c r="AB89">
        <v>766000000</v>
      </c>
      <c r="AC89">
        <v>8656000000</v>
      </c>
      <c r="AD89">
        <v>431000000</v>
      </c>
      <c r="AE89">
        <v>4758000000</v>
      </c>
      <c r="AF89">
        <v>0</v>
      </c>
      <c r="AG89">
        <v>1320000000</v>
      </c>
      <c r="AH89">
        <v>-1362000000</v>
      </c>
      <c r="AI89">
        <v>589000000</v>
      </c>
      <c r="AJ89">
        <v>0</v>
      </c>
      <c r="AK89">
        <v>1209000000</v>
      </c>
      <c r="AL89">
        <v>6060000000</v>
      </c>
      <c r="AM89">
        <v>3729000000</v>
      </c>
      <c r="AN89">
        <v>1007000000</v>
      </c>
      <c r="AO89" s="9">
        <v>52506000000</v>
      </c>
      <c r="AP89">
        <v>20000000</v>
      </c>
      <c r="AQ89">
        <v>1443000000</v>
      </c>
      <c r="AR89">
        <v>-97000000</v>
      </c>
      <c r="AS89">
        <v>0</v>
      </c>
      <c r="AT89">
        <v>0</v>
      </c>
      <c r="AV89" s="10" t="s">
        <v>474</v>
      </c>
      <c r="AW89">
        <v>27200</v>
      </c>
    </row>
    <row r="90" spans="1:49" x14ac:dyDescent="0.2">
      <c r="A90">
        <v>8</v>
      </c>
      <c r="B90" t="s">
        <v>211</v>
      </c>
      <c r="C90" t="s">
        <v>210</v>
      </c>
      <c r="D90" s="8" t="s">
        <v>212</v>
      </c>
      <c r="E90" t="s">
        <v>55</v>
      </c>
      <c r="F90" t="s">
        <v>218</v>
      </c>
      <c r="G90" s="2" t="d">
        <v>2024-05-08</v>
      </c>
      <c r="H90" s="2" t="d">
        <v>2024-05-08</v>
      </c>
      <c r="I90" s="7">
        <v>2024</v>
      </c>
      <c r="J90" t="s">
        <v>57</v>
      </c>
      <c r="K90">
        <v>5</v>
      </c>
      <c r="L90" s="2" t="d">
        <v>2024-01-01</v>
      </c>
      <c r="M90" s="2" t="d">
        <v>2024-03-31</v>
      </c>
      <c r="N90" t="s">
        <v>468</v>
      </c>
      <c r="O90" t="s">
        <v>468</v>
      </c>
      <c r="P90" s="7">
        <v>2024</v>
      </c>
      <c r="Q90" t="s">
        <v>57</v>
      </c>
      <c r="R90" t="s">
        <v>59</v>
      </c>
      <c r="S90" t="s">
        <v>214</v>
      </c>
      <c r="T90" t="s">
        <v>61</v>
      </c>
      <c r="U90">
        <v>6321000000</v>
      </c>
      <c r="V90">
        <v>4439000000</v>
      </c>
      <c r="W90">
        <v>1634000000</v>
      </c>
      <c r="X90">
        <v>0</v>
      </c>
      <c r="Y90">
        <v>512000000</v>
      </c>
      <c r="Z90">
        <v>1674000000</v>
      </c>
      <c r="AA90">
        <v>28105000000</v>
      </c>
      <c r="AB90">
        <v>769000000</v>
      </c>
      <c r="AC90">
        <v>8656000000</v>
      </c>
      <c r="AD90">
        <v>0</v>
      </c>
      <c r="AE90">
        <v>5208000000</v>
      </c>
      <c r="AF90">
        <v>0</v>
      </c>
      <c r="AG90">
        <v>1896000000</v>
      </c>
      <c r="AH90">
        <v>-1254000000</v>
      </c>
      <c r="AI90">
        <v>595000000</v>
      </c>
      <c r="AJ90">
        <v>0</v>
      </c>
      <c r="AK90">
        <v>1494000000</v>
      </c>
      <c r="AL90">
        <v>5977000000</v>
      </c>
      <c r="AM90">
        <v>3672000000</v>
      </c>
      <c r="AN90">
        <v>1162000000</v>
      </c>
      <c r="AO90" s="9">
        <v>54198000000</v>
      </c>
      <c r="AP90">
        <v>53000000</v>
      </c>
      <c r="AQ90">
        <v>1444000000</v>
      </c>
      <c r="AR90">
        <v>-89000000</v>
      </c>
      <c r="AS90">
        <v>0</v>
      </c>
      <c r="AT90">
        <v>0</v>
      </c>
      <c r="AV90" s="10" t="s">
        <v>474</v>
      </c>
      <c r="AW90">
        <v>27200</v>
      </c>
    </row>
    <row r="91" spans="1:49" x14ac:dyDescent="0.2">
      <c r="A91">
        <v>8</v>
      </c>
      <c r="B91" t="s">
        <v>211</v>
      </c>
      <c r="C91" t="s">
        <v>210</v>
      </c>
      <c r="D91" s="8" t="s">
        <v>212</v>
      </c>
      <c r="E91" t="s">
        <v>55</v>
      </c>
      <c r="F91" t="s">
        <v>219</v>
      </c>
      <c r="G91" s="2" t="d">
        <v>2024-08-07</v>
      </c>
      <c r="H91" s="2" t="d">
        <v>2024-08-07</v>
      </c>
      <c r="I91" s="7">
        <v>2024</v>
      </c>
      <c r="J91" t="s">
        <v>58</v>
      </c>
      <c r="K91">
        <v>6</v>
      </c>
      <c r="L91" s="2" t="d">
        <v>2024-04-01</v>
      </c>
      <c r="M91" s="2" t="d">
        <v>2024-06-30</v>
      </c>
      <c r="N91" t="s">
        <v>467</v>
      </c>
      <c r="O91" t="s">
        <v>467</v>
      </c>
      <c r="P91" s="7">
        <v>2024</v>
      </c>
      <c r="Q91" t="s">
        <v>58</v>
      </c>
      <c r="R91" t="s">
        <v>59</v>
      </c>
      <c r="S91" t="s">
        <v>214</v>
      </c>
      <c r="T91" t="s">
        <v>61</v>
      </c>
      <c r="U91">
        <v>6624000000</v>
      </c>
      <c r="V91">
        <v>4384000000</v>
      </c>
      <c r="W91">
        <v>2049000000</v>
      </c>
      <c r="X91">
        <v>0</v>
      </c>
      <c r="Y91">
        <v>754000000</v>
      </c>
      <c r="Z91">
        <v>2030000000</v>
      </c>
      <c r="AA91">
        <v>28686000000</v>
      </c>
      <c r="AB91">
        <v>768000000</v>
      </c>
      <c r="AC91">
        <v>8658000000</v>
      </c>
      <c r="AD91">
        <v>0</v>
      </c>
      <c r="AE91">
        <v>5273000000</v>
      </c>
      <c r="AF91">
        <v>0</v>
      </c>
      <c r="AG91">
        <v>1956000000</v>
      </c>
      <c r="AH91">
        <v>-1116000000</v>
      </c>
      <c r="AI91">
        <v>509000000</v>
      </c>
      <c r="AJ91">
        <v>0</v>
      </c>
      <c r="AK91">
        <v>1128000000</v>
      </c>
      <c r="AL91">
        <v>6474000000</v>
      </c>
      <c r="AM91">
        <v>3910000000</v>
      </c>
      <c r="AN91">
        <v>1280000000</v>
      </c>
      <c r="AO91" s="9">
        <v>54635000000</v>
      </c>
      <c r="AP91">
        <v>24000000</v>
      </c>
      <c r="AQ91">
        <v>1445000000</v>
      </c>
      <c r="AR91">
        <v>-88000000</v>
      </c>
      <c r="AS91">
        <v>0</v>
      </c>
      <c r="AT91">
        <v>0</v>
      </c>
      <c r="AV91" s="10" t="s">
        <v>474</v>
      </c>
      <c r="AW91">
        <v>27200</v>
      </c>
    </row>
    <row r="92" spans="1:49" x14ac:dyDescent="0.2">
      <c r="A92">
        <v>8</v>
      </c>
      <c r="B92" t="s">
        <v>211</v>
      </c>
      <c r="C92" t="s">
        <v>210</v>
      </c>
      <c r="D92" s="8" t="s">
        <v>212</v>
      </c>
      <c r="E92" t="s">
        <v>55</v>
      </c>
      <c r="F92" t="s">
        <v>220</v>
      </c>
      <c r="G92" s="2" t="d">
        <v>2024-11-08</v>
      </c>
      <c r="H92" s="2" t="d">
        <v>2024-11-08</v>
      </c>
      <c r="I92" s="7">
        <v>2024</v>
      </c>
      <c r="J92" t="s">
        <v>63</v>
      </c>
      <c r="K92">
        <v>7</v>
      </c>
      <c r="L92" s="2" t="d">
        <v>2024-07-01</v>
      </c>
      <c r="M92" s="2" t="d">
        <v>2024-09-30</v>
      </c>
      <c r="N92" t="s">
        <v>467</v>
      </c>
      <c r="O92" t="s">
        <v>467</v>
      </c>
      <c r="P92" s="7">
        <v>2024</v>
      </c>
      <c r="Q92" t="s">
        <v>63</v>
      </c>
      <c r="R92" t="s">
        <v>59</v>
      </c>
      <c r="S92" t="s">
        <v>221</v>
      </c>
      <c r="T92" t="s">
        <v>61</v>
      </c>
      <c r="U92">
        <v>6790000000</v>
      </c>
      <c r="V92">
        <v>4677000000</v>
      </c>
      <c r="W92">
        <v>1938000000</v>
      </c>
      <c r="X92">
        <v>0</v>
      </c>
      <c r="Y92">
        <v>737000000</v>
      </c>
      <c r="Z92">
        <v>1963000000</v>
      </c>
      <c r="AA92">
        <v>28866000000</v>
      </c>
      <c r="AB92">
        <v>769000000</v>
      </c>
      <c r="AC92">
        <v>8910000000</v>
      </c>
      <c r="AD92">
        <v>0</v>
      </c>
      <c r="AE92">
        <v>5000000000</v>
      </c>
      <c r="AF92">
        <v>0</v>
      </c>
      <c r="AG92">
        <v>1872000000</v>
      </c>
      <c r="AH92">
        <v>-1199000000</v>
      </c>
      <c r="AI92">
        <v>600000000</v>
      </c>
      <c r="AJ92">
        <v>-210000000</v>
      </c>
      <c r="AK92">
        <v>979000000</v>
      </c>
      <c r="AL92">
        <v>6443000000</v>
      </c>
      <c r="AM92">
        <v>3824000000</v>
      </c>
      <c r="AN92">
        <v>1236000000</v>
      </c>
      <c r="AO92" s="9">
        <v>55400000000</v>
      </c>
      <c r="AP92">
        <v>17000000</v>
      </c>
      <c r="AQ92">
        <v>1444000000</v>
      </c>
      <c r="AR92">
        <v>-72000000</v>
      </c>
      <c r="AS92">
        <v>0</v>
      </c>
      <c r="AT92">
        <v>0</v>
      </c>
      <c r="AV92" s="10" t="s">
        <v>474</v>
      </c>
      <c r="AW92">
        <v>27200</v>
      </c>
    </row>
    <row r="93" spans="1:49" x14ac:dyDescent="0.2">
      <c r="A93">
        <v>8</v>
      </c>
      <c r="B93" t="s">
        <v>211</v>
      </c>
      <c r="C93" t="s">
        <v>210</v>
      </c>
      <c r="D93" s="8" t="s">
        <v>212</v>
      </c>
      <c r="E93" t="s">
        <v>66</v>
      </c>
      <c r="F93" t="s">
        <v>222</v>
      </c>
      <c r="G93" s="2" t="d">
        <v>2025-02-14</v>
      </c>
      <c r="H93" s="2" t="d">
        <v>2025-02-14</v>
      </c>
      <c r="I93" s="7">
        <v>2024</v>
      </c>
      <c r="J93" t="s">
        <v>65</v>
      </c>
      <c r="K93">
        <v>8</v>
      </c>
      <c r="L93" s="2" t="d">
        <v>2024-10-01</v>
      </c>
      <c r="M93" s="2" t="d">
        <v>2024-12-31</v>
      </c>
      <c r="N93" t="s">
        <v>467</v>
      </c>
      <c r="O93" t="s">
        <v>467</v>
      </c>
      <c r="P93" s="7">
        <v>2024</v>
      </c>
      <c r="Q93" t="s">
        <v>65</v>
      </c>
      <c r="R93" t="s">
        <v>59</v>
      </c>
      <c r="S93" t="s">
        <v>221</v>
      </c>
      <c r="T93" t="s">
        <v>61</v>
      </c>
      <c r="U93">
        <v>5720000000</v>
      </c>
      <c r="V93">
        <v>4295000000</v>
      </c>
      <c r="W93">
        <v>1243000000</v>
      </c>
      <c r="X93">
        <v>0</v>
      </c>
      <c r="Y93">
        <v>520000000</v>
      </c>
      <c r="Z93">
        <v>1240000000</v>
      </c>
      <c r="AA93">
        <v>28778000000</v>
      </c>
      <c r="AB93">
        <v>41000000</v>
      </c>
      <c r="AC93">
        <v>8907000000</v>
      </c>
      <c r="AD93">
        <v>790000000</v>
      </c>
      <c r="AE93">
        <v>3923000000</v>
      </c>
      <c r="AF93">
        <v>0</v>
      </c>
      <c r="AG93">
        <v>1436000000</v>
      </c>
      <c r="AH93">
        <v>-1239000000</v>
      </c>
      <c r="AI93">
        <v>537000000</v>
      </c>
      <c r="AJ93">
        <v>0</v>
      </c>
      <c r="AK93">
        <v>578000000</v>
      </c>
      <c r="AL93">
        <v>6808000000</v>
      </c>
      <c r="AM93">
        <v>4057000000</v>
      </c>
      <c r="AN93">
        <v>721000000</v>
      </c>
      <c r="AO93" s="9">
        <v>54848000000</v>
      </c>
      <c r="AP93">
        <v>15000000</v>
      </c>
      <c r="AQ93">
        <v>1445000000</v>
      </c>
      <c r="AR93">
        <v>-70000000</v>
      </c>
      <c r="AS93">
        <v>0</v>
      </c>
      <c r="AT93">
        <v>0</v>
      </c>
      <c r="AV93" s="10" t="s">
        <v>474</v>
      </c>
      <c r="AW93">
        <v>28500</v>
      </c>
    </row>
    <row r="94" spans="1:49" x14ac:dyDescent="0.2">
      <c r="A94">
        <v>8</v>
      </c>
      <c r="B94" t="s">
        <v>211</v>
      </c>
      <c r="C94" t="s">
        <v>210</v>
      </c>
      <c r="D94" s="8" t="s">
        <v>212</v>
      </c>
      <c r="E94" t="s">
        <v>55</v>
      </c>
      <c r="F94" t="s">
        <v>223</v>
      </c>
      <c r="G94" s="2" t="d">
        <v>2025-05-08</v>
      </c>
      <c r="H94" s="2" t="d">
        <v>2025-05-08</v>
      </c>
      <c r="I94" s="7">
        <v>2025</v>
      </c>
      <c r="J94" t="s">
        <v>57</v>
      </c>
      <c r="K94">
        <v>9</v>
      </c>
      <c r="L94" s="2" t="d">
        <v>2025-01-01</v>
      </c>
      <c r="M94" s="2" t="d">
        <v>2025-03-31</v>
      </c>
      <c r="N94" t="s">
        <v>468</v>
      </c>
      <c r="O94" t="s">
        <v>468</v>
      </c>
      <c r="P94" s="7">
        <v>2025</v>
      </c>
      <c r="Q94" t="s">
        <v>57</v>
      </c>
      <c r="R94" t="s">
        <v>59</v>
      </c>
      <c r="S94" t="s">
        <v>214</v>
      </c>
      <c r="T94" t="s">
        <v>61</v>
      </c>
      <c r="U94">
        <v>5728000000</v>
      </c>
      <c r="V94">
        <v>4222000000</v>
      </c>
      <c r="W94">
        <v>1303000000</v>
      </c>
      <c r="X94">
        <v>0</v>
      </c>
      <c r="Y94">
        <v>500000000</v>
      </c>
      <c r="Z94">
        <v>1291000000</v>
      </c>
      <c r="AA94">
        <v>29214000000</v>
      </c>
      <c r="AB94">
        <v>495000000</v>
      </c>
      <c r="AC94">
        <v>8909000000</v>
      </c>
      <c r="AD94">
        <v>0</v>
      </c>
      <c r="AE94">
        <v>4385000000</v>
      </c>
      <c r="AF94">
        <v>0</v>
      </c>
      <c r="AG94">
        <v>1058000000</v>
      </c>
      <c r="AH94">
        <v>-1172000000</v>
      </c>
      <c r="AI94">
        <v>466000000</v>
      </c>
      <c r="AJ94">
        <v>0</v>
      </c>
      <c r="AK94">
        <v>743000000</v>
      </c>
      <c r="AL94">
        <v>7074000000</v>
      </c>
      <c r="AM94">
        <v>4078000000</v>
      </c>
      <c r="AN94">
        <v>793000000</v>
      </c>
      <c r="AO94" s="9">
        <v>56022000000</v>
      </c>
      <c r="AP94">
        <v>54000000</v>
      </c>
      <c r="AQ94">
        <v>1444000000</v>
      </c>
      <c r="AR94">
        <v>-70000000</v>
      </c>
      <c r="AS94">
        <v>0</v>
      </c>
      <c r="AT94">
        <v>0</v>
      </c>
      <c r="AV94" s="10" t="s">
        <v>474</v>
      </c>
      <c r="AW94">
        <v>28500</v>
      </c>
    </row>
    <row r="95" spans="1:49" x14ac:dyDescent="0.2">
      <c r="A95">
        <v>8</v>
      </c>
      <c r="B95" t="s">
        <v>211</v>
      </c>
      <c r="C95" t="s">
        <v>210</v>
      </c>
      <c r="D95" s="8" t="s">
        <v>212</v>
      </c>
      <c r="E95" t="s">
        <v>55</v>
      </c>
      <c r="F95" t="s">
        <v>224</v>
      </c>
      <c r="G95" s="2" t="d">
        <v>2025-08-08</v>
      </c>
      <c r="H95" s="2" t="d">
        <v>2025-08-08</v>
      </c>
      <c r="I95" s="7">
        <v>2025</v>
      </c>
      <c r="J95" t="s">
        <v>58</v>
      </c>
      <c r="K95">
        <v>10</v>
      </c>
      <c r="L95" s="2" t="d">
        <v>2025-04-01</v>
      </c>
      <c r="M95" s="2" t="d">
        <v>2025-06-30</v>
      </c>
      <c r="N95" t="s">
        <v>467</v>
      </c>
      <c r="O95" t="s">
        <v>467</v>
      </c>
      <c r="P95" s="7">
        <v>2025</v>
      </c>
      <c r="Q95" t="s">
        <v>58</v>
      </c>
      <c r="R95" t="s">
        <v>59</v>
      </c>
      <c r="S95" t="s">
        <v>214</v>
      </c>
      <c r="T95" t="s">
        <v>61</v>
      </c>
      <c r="U95">
        <v>7582000000</v>
      </c>
      <c r="V95">
        <v>4950000000</v>
      </c>
      <c r="W95">
        <v>2432000000</v>
      </c>
      <c r="X95">
        <v>0</v>
      </c>
      <c r="Y95">
        <v>850000000</v>
      </c>
      <c r="Z95">
        <v>2391000000</v>
      </c>
      <c r="AA95">
        <v>29996000000</v>
      </c>
      <c r="AB95">
        <v>338000000</v>
      </c>
      <c r="AC95">
        <v>8913000000</v>
      </c>
      <c r="AD95">
        <v>0</v>
      </c>
      <c r="AE95">
        <v>4490000000</v>
      </c>
      <c r="AF95">
        <v>0</v>
      </c>
      <c r="AG95">
        <v>2195000000</v>
      </c>
      <c r="AH95">
        <v>-1261000000</v>
      </c>
      <c r="AI95">
        <v>668000000</v>
      </c>
      <c r="AJ95">
        <v>0</v>
      </c>
      <c r="AK95">
        <v>941000000</v>
      </c>
      <c r="AL95">
        <v>6954000000</v>
      </c>
      <c r="AM95">
        <v>4288000000</v>
      </c>
      <c r="AN95">
        <v>1547000000</v>
      </c>
      <c r="AO95" s="9">
        <v>56492000000</v>
      </c>
      <c r="AP95">
        <v>20000000</v>
      </c>
      <c r="AQ95">
        <v>1443000000</v>
      </c>
      <c r="AR95">
        <v>-82000000</v>
      </c>
      <c r="AS95">
        <v>0</v>
      </c>
      <c r="AT95">
        <v>0</v>
      </c>
      <c r="AV95" s="10" t="s">
        <v>474</v>
      </c>
      <c r="AW95">
        <v>28500</v>
      </c>
    </row>
    <row r="96" spans="1:49" x14ac:dyDescent="0.2">
      <c r="A96">
        <v>8</v>
      </c>
      <c r="B96" t="s">
        <v>211</v>
      </c>
      <c r="C96" t="s">
        <v>210</v>
      </c>
      <c r="D96" s="8" t="s">
        <v>212</v>
      </c>
      <c r="E96" t="s">
        <v>55</v>
      </c>
      <c r="F96" t="s">
        <v>225</v>
      </c>
      <c r="G96" s="2" t="d">
        <v>2025-11-06</v>
      </c>
      <c r="H96" s="2" t="d">
        <v>2025-11-06</v>
      </c>
      <c r="I96" s="7">
        <v>2025</v>
      </c>
      <c r="J96" t="s">
        <v>63</v>
      </c>
      <c r="K96">
        <v>11</v>
      </c>
      <c r="L96" s="2" t="d">
        <v>2025-07-01</v>
      </c>
      <c r="M96" s="2" t="d">
        <v>2025-09-30</v>
      </c>
      <c r="N96" t="s">
        <v>467</v>
      </c>
      <c r="O96" t="s">
        <v>467</v>
      </c>
      <c r="P96" s="7">
        <v>2025</v>
      </c>
      <c r="Q96" t="s">
        <v>63</v>
      </c>
      <c r="R96" t="s">
        <v>59</v>
      </c>
      <c r="S96" t="s">
        <v>214</v>
      </c>
      <c r="T96" t="s">
        <v>61</v>
      </c>
      <c r="U96">
        <v>6972000000</v>
      </c>
      <c r="V96">
        <v>4830000000</v>
      </c>
      <c r="W96">
        <v>1972000000</v>
      </c>
      <c r="X96">
        <v>0</v>
      </c>
      <c r="Y96">
        <v>669000000</v>
      </c>
      <c r="Z96">
        <v>1924000000</v>
      </c>
      <c r="AA96">
        <v>30397000000</v>
      </c>
      <c r="AB96">
        <v>383000000</v>
      </c>
      <c r="AC96">
        <v>8915000000</v>
      </c>
      <c r="AD96">
        <v>0</v>
      </c>
      <c r="AE96">
        <v>4318000000</v>
      </c>
      <c r="AF96">
        <v>0</v>
      </c>
      <c r="AG96">
        <v>1664000000</v>
      </c>
      <c r="AH96">
        <v>-1056000000</v>
      </c>
      <c r="AI96">
        <v>625000000</v>
      </c>
      <c r="AJ96">
        <v>0</v>
      </c>
      <c r="AK96">
        <v>916000000</v>
      </c>
      <c r="AL96">
        <v>6998000000</v>
      </c>
      <c r="AM96">
        <v>4098000000</v>
      </c>
      <c r="AN96">
        <v>1247000000</v>
      </c>
      <c r="AO96" s="9">
        <v>56828000000</v>
      </c>
      <c r="AP96">
        <v>24000000</v>
      </c>
      <c r="AQ96">
        <v>1443000000</v>
      </c>
      <c r="AR96">
        <v>-107000000</v>
      </c>
      <c r="AS96">
        <v>0</v>
      </c>
      <c r="AT96">
        <v>0</v>
      </c>
      <c r="AV96" s="10" t="s">
        <v>474</v>
      </c>
      <c r="AW96">
        <v>28500</v>
      </c>
    </row>
    <row r="97" spans="1:49" x14ac:dyDescent="0.2">
      <c r="A97">
        <v>8</v>
      </c>
      <c r="B97" t="s">
        <v>211</v>
      </c>
      <c r="C97" t="s">
        <v>210</v>
      </c>
      <c r="D97" s="8" t="s">
        <v>212</v>
      </c>
      <c r="E97" t="s">
        <v>66</v>
      </c>
      <c r="F97" t="s">
        <v>226</v>
      </c>
      <c r="G97" s="2" t="d">
        <v>2026-02-13</v>
      </c>
      <c r="H97" s="2" t="d">
        <v>2026-02-13</v>
      </c>
      <c r="I97" s="7">
        <v>2025</v>
      </c>
      <c r="J97" t="s">
        <v>65</v>
      </c>
      <c r="K97">
        <v>12</v>
      </c>
      <c r="L97" s="2" t="d">
        <v>2025-10-01</v>
      </c>
      <c r="M97" s="2" t="d">
        <v>2025-12-31</v>
      </c>
      <c r="N97" t="s">
        <v>467</v>
      </c>
      <c r="O97" t="s">
        <v>467</v>
      </c>
      <c r="P97" s="7">
        <v>2025</v>
      </c>
      <c r="Q97" t="s">
        <v>65</v>
      </c>
      <c r="R97" t="s">
        <v>59</v>
      </c>
      <c r="S97" t="s">
        <v>214</v>
      </c>
      <c r="T97" t="s">
        <v>61</v>
      </c>
      <c r="U97">
        <v>5633000000</v>
      </c>
      <c r="V97">
        <v>4616000000</v>
      </c>
      <c r="W97">
        <v>811000000</v>
      </c>
      <c r="X97">
        <v>0</v>
      </c>
      <c r="Y97">
        <v>202000000</v>
      </c>
      <c r="Z97">
        <v>766000000</v>
      </c>
      <c r="AA97">
        <v>30766000000</v>
      </c>
      <c r="AB97">
        <v>466000000</v>
      </c>
      <c r="AC97">
        <v>8913000000</v>
      </c>
      <c r="AD97">
        <v>1113000000</v>
      </c>
      <c r="AE97">
        <v>3824000000</v>
      </c>
      <c r="AF97">
        <v>0</v>
      </c>
      <c r="AG97">
        <v>693000000</v>
      </c>
      <c r="AH97">
        <v>-1005000000</v>
      </c>
      <c r="AI97">
        <v>485000000</v>
      </c>
      <c r="AJ97">
        <v>0</v>
      </c>
      <c r="AK97">
        <v>977000000</v>
      </c>
      <c r="AL97">
        <v>7493000000</v>
      </c>
      <c r="AM97">
        <v>4565000000</v>
      </c>
      <c r="AN97">
        <v>565000000</v>
      </c>
      <c r="AO97" s="9">
        <v>58167000000</v>
      </c>
      <c r="AP97">
        <v>23000000</v>
      </c>
      <c r="AQ97">
        <v>1443000000</v>
      </c>
      <c r="AR97">
        <v>-110000000</v>
      </c>
      <c r="AS97">
        <v>0</v>
      </c>
      <c r="AT97">
        <v>0</v>
      </c>
      <c r="AV97" s="10" t="s">
        <v>474</v>
      </c>
      <c r="AW97">
        <v>29000</v>
      </c>
    </row>
    <row r="98" spans="1:49" x14ac:dyDescent="0.2">
      <c r="A98">
        <v>9</v>
      </c>
      <c r="B98" t="s">
        <v>227</v>
      </c>
      <c r="C98" t="s">
        <v>228</v>
      </c>
      <c r="D98" s="8" t="s">
        <v>229</v>
      </c>
      <c r="E98" t="s">
        <v>55</v>
      </c>
      <c r="F98" t="s">
        <v>230</v>
      </c>
      <c r="G98" s="2" t="d">
        <v>2023-05-10</v>
      </c>
      <c r="H98" s="2" t="d">
        <v>2023-05-10</v>
      </c>
      <c r="I98">
        <v>2023</v>
      </c>
      <c r="J98" t="s">
        <v>57</v>
      </c>
      <c r="K98">
        <v>1</v>
      </c>
      <c r="L98" s="2" t="d">
        <v>2023-01-01</v>
      </c>
      <c r="M98" s="2" t="d">
        <v>2023-04-01</v>
      </c>
      <c r="N98" t="s">
        <v>468</v>
      </c>
      <c r="O98" t="s">
        <v>468</v>
      </c>
      <c r="P98">
        <v>2023</v>
      </c>
      <c r="Q98" t="s">
        <v>57</v>
      </c>
      <c r="R98" t="s">
        <v>59</v>
      </c>
      <c r="S98" t="s">
        <v>233</v>
      </c>
      <c r="T98" t="s">
        <v>109</v>
      </c>
      <c r="U98">
        <v>8709980000</v>
      </c>
      <c r="V98">
        <v>6711778000</v>
      </c>
      <c r="W98">
        <v>1608307000</v>
      </c>
      <c r="X98">
        <v>0</v>
      </c>
      <c r="Y98">
        <v>365155000</v>
      </c>
      <c r="Z98">
        <v>1596784000</v>
      </c>
      <c r="AA98">
        <v>19927870000</v>
      </c>
      <c r="AB98">
        <v>54449000</v>
      </c>
      <c r="AC98">
        <v>6616498000</v>
      </c>
      <c r="AD98">
        <v>0</v>
      </c>
      <c r="AE98">
        <v>3800034000</v>
      </c>
      <c r="AF98">
        <v>817811000</v>
      </c>
      <c r="AG98">
        <v>1207173000</v>
      </c>
      <c r="AH98">
        <v>-531733000</v>
      </c>
      <c r="AI98">
        <v>279858000</v>
      </c>
      <c r="AJ98">
        <v>0</v>
      </c>
      <c r="AK98">
        <v>3661974000</v>
      </c>
      <c r="AL98">
        <v>5590852000</v>
      </c>
      <c r="AM98">
        <v>2012092000</v>
      </c>
      <c r="AN98">
        <v>1231629000</v>
      </c>
      <c r="AO98" s="9">
        <v>32246390000</v>
      </c>
      <c r="AP98">
        <v>20401000</v>
      </c>
      <c r="AQ98">
        <v>254397000</v>
      </c>
      <c r="AR98">
        <v>62682000</v>
      </c>
      <c r="AS98">
        <v>0</v>
      </c>
      <c r="AT98">
        <v>0</v>
      </c>
      <c r="AV98" s="10" t="s">
        <v>474</v>
      </c>
    </row>
    <row r="99" spans="1:49" x14ac:dyDescent="0.2">
      <c r="A99">
        <v>9</v>
      </c>
      <c r="B99" t="s">
        <v>227</v>
      </c>
      <c r="C99" t="s">
        <v>228</v>
      </c>
      <c r="D99" s="8" t="s">
        <v>229</v>
      </c>
      <c r="E99" t="s">
        <v>55</v>
      </c>
      <c r="F99" t="s">
        <v>231</v>
      </c>
      <c r="G99" s="2" t="d">
        <v>2023-08-09</v>
      </c>
      <c r="H99" s="2" t="d">
        <v>2023-08-09</v>
      </c>
      <c r="I99">
        <v>2023</v>
      </c>
      <c r="J99" t="s">
        <v>58</v>
      </c>
      <c r="K99">
        <v>2</v>
      </c>
      <c r="L99" s="2" t="d">
        <v>2023-04-02</v>
      </c>
      <c r="M99" s="2" t="d">
        <v>2023-07-01</v>
      </c>
      <c r="N99" t="s">
        <v>467</v>
      </c>
      <c r="O99" t="s">
        <v>467</v>
      </c>
      <c r="P99">
        <v>2023</v>
      </c>
      <c r="Q99" t="s">
        <v>58</v>
      </c>
      <c r="R99" t="s">
        <v>59</v>
      </c>
      <c r="S99" t="s">
        <v>233</v>
      </c>
      <c r="T99" t="s">
        <v>109</v>
      </c>
      <c r="U99">
        <v>9523256000</v>
      </c>
      <c r="V99">
        <v>7021582000</v>
      </c>
      <c r="W99">
        <v>2456286000</v>
      </c>
      <c r="X99">
        <v>0</v>
      </c>
      <c r="Y99">
        <v>462707000</v>
      </c>
      <c r="Z99">
        <v>2049782000</v>
      </c>
      <c r="AA99">
        <v>20940928000</v>
      </c>
      <c r="AB99">
        <v>58426000</v>
      </c>
      <c r="AC99">
        <v>6620666000</v>
      </c>
      <c r="AD99">
        <v>0</v>
      </c>
      <c r="AE99">
        <v>4510563000</v>
      </c>
      <c r="AF99">
        <v>870475000</v>
      </c>
      <c r="AG99">
        <v>1920424000</v>
      </c>
      <c r="AH99">
        <v>-525353000</v>
      </c>
      <c r="AI99">
        <v>286209000</v>
      </c>
      <c r="AJ99">
        <v>0</v>
      </c>
      <c r="AK99">
        <v>3874933000</v>
      </c>
      <c r="AL99">
        <v>5632324000</v>
      </c>
      <c r="AM99">
        <v>1855502000</v>
      </c>
      <c r="AN99">
        <v>1587075000</v>
      </c>
      <c r="AO99" s="9">
        <v>33379916000</v>
      </c>
      <c r="AP99">
        <v>63186000</v>
      </c>
      <c r="AQ99">
        <v>250524000</v>
      </c>
      <c r="AR99">
        <v>60806000</v>
      </c>
      <c r="AS99">
        <v>0</v>
      </c>
      <c r="AT99">
        <v>0</v>
      </c>
      <c r="AV99" s="10" t="s">
        <v>474</v>
      </c>
    </row>
    <row r="100" spans="1:49" x14ac:dyDescent="0.2">
      <c r="A100">
        <v>9</v>
      </c>
      <c r="B100" t="s">
        <v>227</v>
      </c>
      <c r="C100" t="s">
        <v>228</v>
      </c>
      <c r="D100" s="8" t="s">
        <v>229</v>
      </c>
      <c r="E100" t="s">
        <v>55</v>
      </c>
      <c r="F100" t="s">
        <v>232</v>
      </c>
      <c r="G100" s="2" t="d">
        <v>2023-11-08</v>
      </c>
      <c r="H100" s="2" t="d">
        <v>2023-11-08</v>
      </c>
      <c r="I100">
        <v>2023</v>
      </c>
      <c r="J100" t="s">
        <v>63</v>
      </c>
      <c r="K100">
        <v>3</v>
      </c>
      <c r="L100" s="2" t="d">
        <v>2023-07-02</v>
      </c>
      <c r="M100" s="2" t="d">
        <v>2023-09-30</v>
      </c>
      <c r="N100" t="s">
        <v>467</v>
      </c>
      <c r="O100" t="s">
        <v>467</v>
      </c>
      <c r="P100">
        <v>2023</v>
      </c>
      <c r="Q100" t="s">
        <v>63</v>
      </c>
      <c r="R100" t="s">
        <v>59</v>
      </c>
      <c r="S100" t="s">
        <v>233</v>
      </c>
      <c r="T100" t="s">
        <v>109</v>
      </c>
      <c r="U100">
        <v>8775734000</v>
      </c>
      <c r="V100">
        <v>6854934000</v>
      </c>
      <c r="W100">
        <v>1875412000</v>
      </c>
      <c r="X100">
        <v>0</v>
      </c>
      <c r="Y100">
        <v>326827000</v>
      </c>
      <c r="Z100">
        <v>1548082000</v>
      </c>
      <c r="AA100">
        <v>21509082000</v>
      </c>
      <c r="AB100">
        <v>60872000</v>
      </c>
      <c r="AC100">
        <v>6620586000</v>
      </c>
      <c r="AD100">
        <v>0</v>
      </c>
      <c r="AE100">
        <v>5855950000</v>
      </c>
      <c r="AF100">
        <v>863140000</v>
      </c>
      <c r="AG100">
        <v>2464012000</v>
      </c>
      <c r="AH100">
        <v>-439162000</v>
      </c>
      <c r="AI100">
        <v>290787000</v>
      </c>
      <c r="AJ100">
        <v>0</v>
      </c>
      <c r="AK100">
        <v>3427697000</v>
      </c>
      <c r="AL100">
        <v>5246365000</v>
      </c>
      <c r="AM100">
        <v>1854707000</v>
      </c>
      <c r="AN100">
        <v>1221255000</v>
      </c>
      <c r="AO100" s="9">
        <v>34267786000</v>
      </c>
      <c r="AP100">
        <v>17520000</v>
      </c>
      <c r="AQ100">
        <v>248916000</v>
      </c>
      <c r="AR100">
        <v>66228000</v>
      </c>
      <c r="AS100">
        <v>0</v>
      </c>
      <c r="AT100">
        <v>0</v>
      </c>
      <c r="AV100" s="10" t="s">
        <v>474</v>
      </c>
    </row>
    <row r="101" spans="1:49" x14ac:dyDescent="0.2">
      <c r="A101">
        <v>9</v>
      </c>
      <c r="B101" t="s">
        <v>227</v>
      </c>
      <c r="C101" t="s">
        <v>228</v>
      </c>
      <c r="D101" s="8" t="s">
        <v>229</v>
      </c>
      <c r="E101" t="s">
        <v>66</v>
      </c>
      <c r="F101" t="s">
        <v>234</v>
      </c>
      <c r="G101" s="2" t="d">
        <v>2024-02-27</v>
      </c>
      <c r="H101" s="2" t="d">
        <v>2024-02-27</v>
      </c>
      <c r="I101">
        <v>2023</v>
      </c>
      <c r="J101" t="s">
        <v>65</v>
      </c>
      <c r="K101">
        <v>4</v>
      </c>
      <c r="L101" s="2" t="d">
        <v>2023-10-01</v>
      </c>
      <c r="M101" s="2" t="d">
        <v>2023-12-31</v>
      </c>
      <c r="N101" t="s">
        <v>467</v>
      </c>
      <c r="O101" t="s">
        <v>467</v>
      </c>
      <c r="P101">
        <v>2023</v>
      </c>
      <c r="Q101" t="s">
        <v>65</v>
      </c>
      <c r="R101" t="s">
        <v>59</v>
      </c>
      <c r="S101" t="s">
        <v>233</v>
      </c>
      <c r="T101" t="s">
        <v>109</v>
      </c>
      <c r="U101">
        <v>7704531000</v>
      </c>
      <c r="V101">
        <v>6310813000</v>
      </c>
      <c r="W101">
        <v>1348330000</v>
      </c>
      <c r="X101">
        <v>0</v>
      </c>
      <c r="Y101">
        <v>205277000</v>
      </c>
      <c r="Z101">
        <v>1078109000</v>
      </c>
      <c r="AA101">
        <v>22123754000</v>
      </c>
      <c r="AB101">
        <v>193313000</v>
      </c>
      <c r="AC101">
        <v>6648873000</v>
      </c>
      <c r="AD101">
        <v>0</v>
      </c>
      <c r="AE101">
        <v>6383298000</v>
      </c>
      <c r="AF101">
        <v>747479000</v>
      </c>
      <c r="AG101">
        <v>1520322000</v>
      </c>
      <c r="AH101">
        <v>-717909000</v>
      </c>
      <c r="AI101">
        <v>311461000</v>
      </c>
      <c r="AJ101">
        <v>-70824000</v>
      </c>
      <c r="AK101">
        <v>2953311000</v>
      </c>
      <c r="AL101">
        <v>5577758000</v>
      </c>
      <c r="AM101">
        <v>2020289000</v>
      </c>
      <c r="AN101">
        <v>872832000</v>
      </c>
      <c r="AO101" s="9">
        <v>35340499000</v>
      </c>
      <c r="AP101">
        <v>29055000</v>
      </c>
      <c r="AQ101" s="12">
        <v>251377833.33333334</v>
      </c>
      <c r="AR101">
        <v>56238000</v>
      </c>
      <c r="AS101">
        <v>0</v>
      </c>
      <c r="AT101">
        <v>0</v>
      </c>
      <c r="AV101" s="10" t="s">
        <v>474</v>
      </c>
    </row>
    <row r="102" spans="1:49" x14ac:dyDescent="0.2">
      <c r="A102">
        <v>9</v>
      </c>
      <c r="B102" t="s">
        <v>227</v>
      </c>
      <c r="C102" t="s">
        <v>228</v>
      </c>
      <c r="D102" s="8" t="s">
        <v>229</v>
      </c>
      <c r="E102" t="s">
        <v>55</v>
      </c>
      <c r="F102" t="s">
        <v>235</v>
      </c>
      <c r="G102" s="2" t="d">
        <v>2024-05-08</v>
      </c>
      <c r="H102" s="2" t="d">
        <v>2024-05-08</v>
      </c>
      <c r="I102" s="7">
        <v>2024</v>
      </c>
      <c r="J102" t="s">
        <v>57</v>
      </c>
      <c r="K102">
        <v>5</v>
      </c>
      <c r="L102" s="2" t="d">
        <v>2024-01-01</v>
      </c>
      <c r="M102" s="2" t="d">
        <v>2024-03-30</v>
      </c>
      <c r="N102" t="s">
        <v>468</v>
      </c>
      <c r="O102" t="s">
        <v>468</v>
      </c>
      <c r="P102" s="7">
        <v>2024</v>
      </c>
      <c r="Q102" t="s">
        <v>57</v>
      </c>
      <c r="R102" t="s">
        <v>59</v>
      </c>
      <c r="S102" t="s">
        <v>233</v>
      </c>
      <c r="T102" t="s">
        <v>109</v>
      </c>
      <c r="U102">
        <v>8137083000</v>
      </c>
      <c r="V102">
        <v>6613903000</v>
      </c>
      <c r="W102">
        <v>1477792000</v>
      </c>
      <c r="X102">
        <v>0</v>
      </c>
      <c r="Y102">
        <v>266379000</v>
      </c>
      <c r="Z102">
        <v>1225341000</v>
      </c>
      <c r="AA102">
        <v>21725519000</v>
      </c>
      <c r="AB102">
        <v>203892000</v>
      </c>
      <c r="AC102">
        <v>6647560000</v>
      </c>
      <c r="AD102">
        <v>0</v>
      </c>
      <c r="AE102">
        <v>4557759000</v>
      </c>
      <c r="AF102">
        <v>981179000</v>
      </c>
      <c r="AG102">
        <v>459653000</v>
      </c>
      <c r="AH102">
        <v>-670340000</v>
      </c>
      <c r="AI102">
        <v>315621000</v>
      </c>
      <c r="AJ102">
        <v>991000</v>
      </c>
      <c r="AK102">
        <v>3157184000</v>
      </c>
      <c r="AL102">
        <v>5589675000</v>
      </c>
      <c r="AM102">
        <v>1616366000</v>
      </c>
      <c r="AN102">
        <v>958962000</v>
      </c>
      <c r="AO102" s="9">
        <v>33932525000</v>
      </c>
      <c r="AP102">
        <v>21341000</v>
      </c>
      <c r="AQ102">
        <v>243497000</v>
      </c>
      <c r="AR102">
        <v>43487000</v>
      </c>
      <c r="AS102">
        <v>0</v>
      </c>
      <c r="AT102">
        <v>0</v>
      </c>
      <c r="AV102" s="10" t="s">
        <v>474</v>
      </c>
    </row>
    <row r="103" spans="1:49" x14ac:dyDescent="0.2">
      <c r="A103">
        <v>9</v>
      </c>
      <c r="B103" t="s">
        <v>227</v>
      </c>
      <c r="C103" t="s">
        <v>228</v>
      </c>
      <c r="D103" s="8" t="s">
        <v>229</v>
      </c>
      <c r="E103" t="s">
        <v>55</v>
      </c>
      <c r="F103" t="s">
        <v>236</v>
      </c>
      <c r="G103" s="2" t="d">
        <v>2024-08-07</v>
      </c>
      <c r="H103" s="2" t="d">
        <v>2024-08-07</v>
      </c>
      <c r="I103" s="7">
        <v>2024</v>
      </c>
      <c r="J103" t="s">
        <v>58</v>
      </c>
      <c r="K103">
        <v>6</v>
      </c>
      <c r="L103" s="2" t="d">
        <v>2024-03-31</v>
      </c>
      <c r="M103" s="2" t="d">
        <v>2024-06-29</v>
      </c>
      <c r="N103" t="s">
        <v>467</v>
      </c>
      <c r="O103" t="s">
        <v>467</v>
      </c>
      <c r="P103" s="7">
        <v>2024</v>
      </c>
      <c r="Q103" t="s">
        <v>58</v>
      </c>
      <c r="R103" t="s">
        <v>59</v>
      </c>
      <c r="S103" t="s">
        <v>233</v>
      </c>
      <c r="T103" t="s">
        <v>109</v>
      </c>
      <c r="U103">
        <v>8077172000</v>
      </c>
      <c r="V103">
        <v>6883117000</v>
      </c>
      <c r="W103">
        <v>1148667000</v>
      </c>
      <c r="X103">
        <v>0</v>
      </c>
      <c r="Y103">
        <v>186020000</v>
      </c>
      <c r="Z103">
        <v>898163000</v>
      </c>
      <c r="AA103">
        <v>21772508000</v>
      </c>
      <c r="AB103">
        <v>1243713000</v>
      </c>
      <c r="AC103">
        <v>5648555000</v>
      </c>
      <c r="AD103">
        <v>0</v>
      </c>
      <c r="AE103">
        <v>4638978000</v>
      </c>
      <c r="AF103">
        <v>795180000</v>
      </c>
      <c r="AG103">
        <v>1485278000</v>
      </c>
      <c r="AH103">
        <v>-800894000</v>
      </c>
      <c r="AI103">
        <v>331855000</v>
      </c>
      <c r="AJ103">
        <v>-109934000</v>
      </c>
      <c r="AK103">
        <v>3113079000</v>
      </c>
      <c r="AL103">
        <v>5255843000</v>
      </c>
      <c r="AM103">
        <v>1744657000</v>
      </c>
      <c r="AN103">
        <v>712143000</v>
      </c>
      <c r="AO103" s="9">
        <v>34185225000</v>
      </c>
      <c r="AP103">
        <v>61384000</v>
      </c>
      <c r="AQ103">
        <v>239935000</v>
      </c>
      <c r="AR103">
        <v>66852000</v>
      </c>
      <c r="AS103">
        <v>0</v>
      </c>
      <c r="AT103">
        <v>0</v>
      </c>
      <c r="AV103" s="10" t="s">
        <v>474</v>
      </c>
    </row>
    <row r="104" spans="1:49" x14ac:dyDescent="0.2">
      <c r="A104">
        <v>9</v>
      </c>
      <c r="B104" t="s">
        <v>227</v>
      </c>
      <c r="C104" t="s">
        <v>228</v>
      </c>
      <c r="D104" s="8" t="s">
        <v>229</v>
      </c>
      <c r="E104" t="s">
        <v>55</v>
      </c>
      <c r="F104" t="s">
        <v>237</v>
      </c>
      <c r="G104" s="2" t="d">
        <v>2024-11-06</v>
      </c>
      <c r="H104" s="2" t="d">
        <v>2024-11-06</v>
      </c>
      <c r="I104" s="7">
        <v>2024</v>
      </c>
      <c r="J104" t="s">
        <v>63</v>
      </c>
      <c r="K104">
        <v>7</v>
      </c>
      <c r="L104" s="2" t="d">
        <v>2024-06-30</v>
      </c>
      <c r="M104" s="2" t="d">
        <v>2024-09-28</v>
      </c>
      <c r="N104" t="s">
        <v>467</v>
      </c>
      <c r="O104" t="s">
        <v>467</v>
      </c>
      <c r="P104" s="7">
        <v>2024</v>
      </c>
      <c r="Q104" t="s">
        <v>63</v>
      </c>
      <c r="R104" t="s">
        <v>59</v>
      </c>
      <c r="S104" t="s">
        <v>233</v>
      </c>
      <c r="T104" t="s">
        <v>109</v>
      </c>
      <c r="U104">
        <v>7444160000</v>
      </c>
      <c r="V104">
        <v>6686226000</v>
      </c>
      <c r="W104">
        <v>712546000</v>
      </c>
      <c r="X104">
        <v>0</v>
      </c>
      <c r="Y104">
        <v>85448000</v>
      </c>
      <c r="Z104">
        <v>388273000</v>
      </c>
      <c r="AA104">
        <v>21556541000</v>
      </c>
      <c r="AB104">
        <v>1254131000</v>
      </c>
      <c r="AC104">
        <v>5684936000</v>
      </c>
      <c r="AD104">
        <v>0</v>
      </c>
      <c r="AE104">
        <v>4262799000</v>
      </c>
      <c r="AF104">
        <v>595650000</v>
      </c>
      <c r="AG104">
        <v>1300701000</v>
      </c>
      <c r="AH104">
        <v>-822625000</v>
      </c>
      <c r="AI104">
        <v>350461000</v>
      </c>
      <c r="AJ104">
        <v>-563250000</v>
      </c>
      <c r="AK104">
        <v>2949190000</v>
      </c>
      <c r="AL104">
        <v>5126493000</v>
      </c>
      <c r="AM104">
        <v>1902927000</v>
      </c>
      <c r="AN104">
        <v>302825000</v>
      </c>
      <c r="AO104" s="9">
        <v>34346191000</v>
      </c>
      <c r="AP104">
        <v>31555000</v>
      </c>
      <c r="AQ104">
        <v>236768000</v>
      </c>
      <c r="AR104">
        <v>65376000</v>
      </c>
      <c r="AS104">
        <v>0</v>
      </c>
      <c r="AT104">
        <v>0</v>
      </c>
      <c r="AV104" s="10" t="s">
        <v>474</v>
      </c>
    </row>
    <row r="105" spans="1:49" x14ac:dyDescent="0.2">
      <c r="A105">
        <v>9</v>
      </c>
      <c r="B105" t="s">
        <v>227</v>
      </c>
      <c r="C105" t="s">
        <v>228</v>
      </c>
      <c r="D105" s="8" t="s">
        <v>229</v>
      </c>
      <c r="E105" t="s">
        <v>66</v>
      </c>
      <c r="F105" t="s">
        <v>238</v>
      </c>
      <c r="G105" s="2" t="d">
        <v>2025-02-27</v>
      </c>
      <c r="H105" s="2" t="d">
        <v>2025-02-27</v>
      </c>
      <c r="I105" s="7">
        <v>2024</v>
      </c>
      <c r="J105" t="s">
        <v>65</v>
      </c>
      <c r="K105">
        <v>8</v>
      </c>
      <c r="L105" s="2" t="d">
        <v>2024-09-29</v>
      </c>
      <c r="M105" s="2" t="d">
        <v>2024-12-31</v>
      </c>
      <c r="N105" t="s">
        <v>467</v>
      </c>
      <c r="O105" t="s">
        <v>467</v>
      </c>
      <c r="P105" s="7">
        <v>2024</v>
      </c>
      <c r="Q105" t="s">
        <v>65</v>
      </c>
      <c r="R105" t="s">
        <v>59</v>
      </c>
      <c r="S105" t="s">
        <v>239</v>
      </c>
      <c r="T105" t="s">
        <v>109</v>
      </c>
      <c r="U105">
        <v>7075585000</v>
      </c>
      <c r="V105">
        <v>6448754000</v>
      </c>
      <c r="W105">
        <v>581443000</v>
      </c>
      <c r="X105">
        <v>0</v>
      </c>
      <c r="Y105">
        <v>45153000</v>
      </c>
      <c r="Z105">
        <v>390223000</v>
      </c>
      <c r="AA105">
        <v>21417000000</v>
      </c>
      <c r="AB105">
        <v>1267000000</v>
      </c>
      <c r="AC105">
        <v>5683000000</v>
      </c>
      <c r="AD105">
        <v>0</v>
      </c>
      <c r="AE105">
        <v>3558000000</v>
      </c>
      <c r="AF105">
        <v>581000000</v>
      </c>
      <c r="AG105">
        <v>733368000</v>
      </c>
      <c r="AH105">
        <v>-879141000</v>
      </c>
      <c r="AI105">
        <v>358063000</v>
      </c>
      <c r="AJ105">
        <v>-85807000</v>
      </c>
      <c r="AK105">
        <v>2675000000</v>
      </c>
      <c r="AL105">
        <v>5106000000</v>
      </c>
      <c r="AM105">
        <v>1832000000</v>
      </c>
      <c r="AN105">
        <v>345070000</v>
      </c>
      <c r="AO105" s="9">
        <v>33940000000</v>
      </c>
      <c r="AP105">
        <v>17720000</v>
      </c>
      <c r="AQ105">
        <v>238300000</v>
      </c>
      <c r="AR105">
        <v>52285000</v>
      </c>
      <c r="AS105">
        <v>0</v>
      </c>
      <c r="AT105">
        <v>0</v>
      </c>
      <c r="AV105" s="10" t="s">
        <v>474</v>
      </c>
    </row>
    <row r="106" spans="1:49" x14ac:dyDescent="0.2">
      <c r="A106">
        <v>9</v>
      </c>
      <c r="B106" t="s">
        <v>227</v>
      </c>
      <c r="C106" t="s">
        <v>228</v>
      </c>
      <c r="D106" s="8" t="s">
        <v>229</v>
      </c>
      <c r="E106" t="s">
        <v>55</v>
      </c>
      <c r="F106" t="s">
        <v>240</v>
      </c>
      <c r="G106" s="2" t="d">
        <v>2025-05-14</v>
      </c>
      <c r="H106" s="2" t="d">
        <v>2025-05-14</v>
      </c>
      <c r="I106" s="7">
        <v>2025</v>
      </c>
      <c r="J106" t="s">
        <v>57</v>
      </c>
      <c r="K106">
        <v>9</v>
      </c>
      <c r="L106" s="2" t="d">
        <v>2025-01-01</v>
      </c>
      <c r="M106" s="2" t="d">
        <v>2025-04-05</v>
      </c>
      <c r="N106" t="s">
        <v>468</v>
      </c>
      <c r="O106" t="s">
        <v>468</v>
      </c>
      <c r="P106" s="7">
        <v>2025</v>
      </c>
      <c r="Q106" t="s">
        <v>57</v>
      </c>
      <c r="R106" t="s">
        <v>59</v>
      </c>
      <c r="S106" t="s">
        <v>233</v>
      </c>
      <c r="T106" t="s">
        <v>61</v>
      </c>
      <c r="U106">
        <v>7830000000</v>
      </c>
      <c r="V106">
        <v>7225000000</v>
      </c>
      <c r="W106">
        <v>605000000</v>
      </c>
      <c r="X106">
        <v>0</v>
      </c>
      <c r="Y106">
        <v>59000000</v>
      </c>
      <c r="Z106">
        <v>285000000</v>
      </c>
      <c r="AA106">
        <v>21115000000</v>
      </c>
      <c r="AB106">
        <v>1191000000</v>
      </c>
      <c r="AC106">
        <v>6689000000</v>
      </c>
      <c r="AD106">
        <v>0</v>
      </c>
      <c r="AE106">
        <v>3156000000</v>
      </c>
      <c r="AF106">
        <v>905000000</v>
      </c>
      <c r="AG106">
        <v>364000000</v>
      </c>
      <c r="AH106">
        <v>-859000000</v>
      </c>
      <c r="AI106">
        <v>368000000</v>
      </c>
      <c r="AJ106">
        <v>-1000000</v>
      </c>
      <c r="AK106">
        <v>2965000000</v>
      </c>
      <c r="AL106">
        <v>5256000000</v>
      </c>
      <c r="AM106">
        <v>2272000000</v>
      </c>
      <c r="AN106">
        <v>226000000</v>
      </c>
      <c r="AO106" s="9">
        <v>34699000000</v>
      </c>
      <c r="AP106">
        <v>26000000</v>
      </c>
      <c r="AQ106">
        <v>232900000</v>
      </c>
      <c r="AR106">
        <v>51000000</v>
      </c>
      <c r="AS106">
        <v>0</v>
      </c>
      <c r="AT106">
        <v>0</v>
      </c>
      <c r="AV106" s="10" t="s">
        <v>474</v>
      </c>
    </row>
    <row r="107" spans="1:49" x14ac:dyDescent="0.2">
      <c r="A107">
        <v>9</v>
      </c>
      <c r="B107" t="s">
        <v>227</v>
      </c>
      <c r="C107" t="s">
        <v>228</v>
      </c>
      <c r="D107" s="8" t="s">
        <v>229</v>
      </c>
      <c r="E107" t="s">
        <v>55</v>
      </c>
      <c r="F107" t="s">
        <v>242</v>
      </c>
      <c r="G107" s="2" t="d">
        <v>2025-08-13</v>
      </c>
      <c r="H107" s="2" t="d">
        <v>2025-08-13</v>
      </c>
      <c r="I107" s="7">
        <v>2025</v>
      </c>
      <c r="J107" t="s">
        <v>58</v>
      </c>
      <c r="K107">
        <v>10</v>
      </c>
      <c r="L107" s="2" t="d">
        <v>2025-04-06</v>
      </c>
      <c r="M107" s="2" t="d">
        <v>2025-07-05</v>
      </c>
      <c r="N107" t="s">
        <v>467</v>
      </c>
      <c r="O107" t="s">
        <v>467</v>
      </c>
      <c r="P107" s="7">
        <v>2025</v>
      </c>
      <c r="Q107" t="s">
        <v>58</v>
      </c>
      <c r="R107" t="s">
        <v>59</v>
      </c>
      <c r="S107" t="s">
        <v>233</v>
      </c>
      <c r="T107" t="s">
        <v>61</v>
      </c>
      <c r="U107">
        <v>8456000000</v>
      </c>
      <c r="V107">
        <v>7233000000</v>
      </c>
      <c r="W107">
        <v>1223000000</v>
      </c>
      <c r="X107">
        <v>0</v>
      </c>
      <c r="Y107">
        <v>193000000</v>
      </c>
      <c r="Z107">
        <v>899000000</v>
      </c>
      <c r="AA107">
        <v>21492000000</v>
      </c>
      <c r="AB107">
        <v>189000000</v>
      </c>
      <c r="AC107">
        <v>6692000000</v>
      </c>
      <c r="AD107">
        <v>0</v>
      </c>
      <c r="AE107">
        <v>1946000000</v>
      </c>
      <c r="AF107">
        <v>537000000</v>
      </c>
      <c r="AG107">
        <v>732000000</v>
      </c>
      <c r="AH107">
        <v>-954000000</v>
      </c>
      <c r="AI107">
        <v>366000000</v>
      </c>
      <c r="AJ107">
        <v>0</v>
      </c>
      <c r="AK107">
        <v>3388000000</v>
      </c>
      <c r="AL107">
        <v>5462000000</v>
      </c>
      <c r="AM107">
        <v>2183000000</v>
      </c>
      <c r="AN107">
        <v>706000000</v>
      </c>
      <c r="AO107" s="9">
        <v>34217000000</v>
      </c>
      <c r="AP107">
        <v>52000000</v>
      </c>
      <c r="AQ107">
        <v>230800000</v>
      </c>
      <c r="AR107">
        <v>49000000</v>
      </c>
      <c r="AS107">
        <v>0</v>
      </c>
      <c r="AT107">
        <v>0</v>
      </c>
      <c r="AV107" s="10" t="s">
        <v>474</v>
      </c>
    </row>
    <row r="108" spans="1:49" x14ac:dyDescent="0.2">
      <c r="A108">
        <v>9</v>
      </c>
      <c r="B108" t="s">
        <v>227</v>
      </c>
      <c r="C108" t="s">
        <v>228</v>
      </c>
      <c r="D108" s="8" t="s">
        <v>229</v>
      </c>
      <c r="E108" t="s">
        <v>55</v>
      </c>
      <c r="F108" t="s">
        <v>241</v>
      </c>
      <c r="G108" s="2" t="d">
        <v>2025-11-12</v>
      </c>
      <c r="H108" s="2" t="d">
        <v>2025-11-12</v>
      </c>
      <c r="I108" s="7">
        <v>2025</v>
      </c>
      <c r="J108" t="s">
        <v>63</v>
      </c>
      <c r="K108">
        <v>11</v>
      </c>
      <c r="L108" s="2" t="d">
        <v>2025-07-06</v>
      </c>
      <c r="M108" s="2" t="d">
        <v>2025-10-04</v>
      </c>
      <c r="N108" t="s">
        <v>467</v>
      </c>
      <c r="O108" t="s">
        <v>467</v>
      </c>
      <c r="P108" s="7">
        <v>2025</v>
      </c>
      <c r="Q108" t="s">
        <v>63</v>
      </c>
      <c r="R108" t="s">
        <v>59</v>
      </c>
      <c r="S108" t="s">
        <v>233</v>
      </c>
      <c r="T108" t="s">
        <v>61</v>
      </c>
      <c r="U108">
        <v>8521000000</v>
      </c>
      <c r="V108">
        <v>7333000000</v>
      </c>
      <c r="W108">
        <v>1188000000</v>
      </c>
      <c r="X108">
        <v>0</v>
      </c>
      <c r="Y108">
        <v>200000000</v>
      </c>
      <c r="Z108">
        <v>883000000</v>
      </c>
      <c r="AA108">
        <v>21931000000</v>
      </c>
      <c r="AB108">
        <v>167000000</v>
      </c>
      <c r="AC108">
        <v>6686000000</v>
      </c>
      <c r="AD108">
        <v>0</v>
      </c>
      <c r="AE108">
        <v>2221000000</v>
      </c>
      <c r="AF108">
        <v>524000000</v>
      </c>
      <c r="AG108">
        <v>1339000000</v>
      </c>
      <c r="AH108">
        <v>-807000000</v>
      </c>
      <c r="AI108">
        <v>367000000</v>
      </c>
      <c r="AJ108">
        <v>1000000</v>
      </c>
      <c r="AK108">
        <v>3288000000</v>
      </c>
      <c r="AL108">
        <v>5393000000</v>
      </c>
      <c r="AM108">
        <v>2145000000</v>
      </c>
      <c r="AN108">
        <v>683000000</v>
      </c>
      <c r="AO108" s="9">
        <v>34776000000</v>
      </c>
      <c r="AP108">
        <v>24000000</v>
      </c>
      <c r="AQ108">
        <v>230200000</v>
      </c>
      <c r="AR108">
        <v>38000000</v>
      </c>
      <c r="AS108">
        <v>0</v>
      </c>
      <c r="AT108">
        <v>0</v>
      </c>
      <c r="AV108" s="10" t="s">
        <v>474</v>
      </c>
    </row>
    <row r="109" spans="1:49" x14ac:dyDescent="0.2">
      <c r="A109">
        <v>9</v>
      </c>
      <c r="B109" t="s">
        <v>227</v>
      </c>
      <c r="C109" t="s">
        <v>228</v>
      </c>
      <c r="D109" s="8" t="s">
        <v>229</v>
      </c>
      <c r="E109" t="s">
        <v>66</v>
      </c>
      <c r="F109" t="s">
        <v>243</v>
      </c>
      <c r="G109" s="2" t="d">
        <v>2026-02-25</v>
      </c>
      <c r="H109" s="2" t="d">
        <v>2026-02-25</v>
      </c>
      <c r="I109" s="7">
        <v>2025</v>
      </c>
      <c r="J109" t="s">
        <v>65</v>
      </c>
      <c r="K109">
        <v>12</v>
      </c>
      <c r="L109" s="2" t="d">
        <v>2025-10-05</v>
      </c>
      <c r="M109" s="2" t="d">
        <v>2025-12-31</v>
      </c>
      <c r="N109" t="s">
        <v>467</v>
      </c>
      <c r="O109" t="s">
        <v>467</v>
      </c>
      <c r="P109" s="7">
        <v>2025</v>
      </c>
      <c r="Q109" t="s">
        <v>65</v>
      </c>
      <c r="R109" t="s">
        <v>59</v>
      </c>
      <c r="S109" t="s">
        <v>244</v>
      </c>
      <c r="T109" t="s">
        <v>61</v>
      </c>
      <c r="U109">
        <v>7687000000</v>
      </c>
      <c r="V109">
        <v>6825000000</v>
      </c>
      <c r="W109">
        <v>862000000</v>
      </c>
      <c r="X109">
        <v>0</v>
      </c>
      <c r="Y109">
        <v>78000000</v>
      </c>
      <c r="Z109">
        <v>501000000</v>
      </c>
      <c r="AA109">
        <v>22124000000</v>
      </c>
      <c r="AB109">
        <v>212000000</v>
      </c>
      <c r="AC109">
        <v>6909000000</v>
      </c>
      <c r="AD109">
        <v>0</v>
      </c>
      <c r="AE109">
        <v>2260000000</v>
      </c>
      <c r="AF109">
        <v>439000000</v>
      </c>
      <c r="AG109">
        <v>799000000</v>
      </c>
      <c r="AH109">
        <v>-802000000</v>
      </c>
      <c r="AI109">
        <v>379000000</v>
      </c>
      <c r="AJ109">
        <v>-2000000</v>
      </c>
      <c r="AK109">
        <v>3105000000</v>
      </c>
      <c r="AL109">
        <v>5462000000</v>
      </c>
      <c r="AM109">
        <v>1890000000</v>
      </c>
      <c r="AN109">
        <v>423000000</v>
      </c>
      <c r="AO109" s="9">
        <v>35104000000</v>
      </c>
      <c r="AP109">
        <v>31000000</v>
      </c>
      <c r="AQ109">
        <v>231000000</v>
      </c>
      <c r="AR109">
        <v>32000000</v>
      </c>
      <c r="AS109">
        <v>0</v>
      </c>
      <c r="AT109">
        <v>0</v>
      </c>
      <c r="AV109" s="10" t="s">
        <v>474</v>
      </c>
    </row>
    <row r="110" spans="1:49" x14ac:dyDescent="0.2">
      <c r="A110">
        <v>10</v>
      </c>
      <c r="B110" t="s">
        <v>245</v>
      </c>
      <c r="C110" t="s">
        <v>246</v>
      </c>
      <c r="D110" s="8" t="s">
        <v>247</v>
      </c>
      <c r="E110" t="s">
        <v>55</v>
      </c>
      <c r="F110" t="s">
        <v>248</v>
      </c>
      <c r="G110" s="2" t="d">
        <v>2023-04-27</v>
      </c>
      <c r="H110" s="2" t="d">
        <v>2023-04-27</v>
      </c>
      <c r="I110">
        <v>2023</v>
      </c>
      <c r="J110" t="s">
        <v>57</v>
      </c>
      <c r="K110">
        <v>1</v>
      </c>
      <c r="L110" s="2" t="d">
        <v>2023-01-01</v>
      </c>
      <c r="M110" s="2" t="d">
        <v>2023-03-31</v>
      </c>
      <c r="N110" t="s">
        <v>468</v>
      </c>
      <c r="O110" t="s">
        <v>468</v>
      </c>
      <c r="P110">
        <v>2023</v>
      </c>
      <c r="Q110" t="s">
        <v>57</v>
      </c>
      <c r="R110" t="s">
        <v>59</v>
      </c>
      <c r="S110" t="s">
        <v>249</v>
      </c>
      <c r="T110" t="s">
        <v>61</v>
      </c>
      <c r="U110">
        <v>36439000000</v>
      </c>
      <c r="V110">
        <v>30005000000</v>
      </c>
      <c r="W110">
        <v>4043000000</v>
      </c>
      <c r="X110">
        <v>0</v>
      </c>
      <c r="Y110">
        <v>880000000</v>
      </c>
      <c r="Z110">
        <v>4026000000</v>
      </c>
      <c r="AA110">
        <v>27067000000</v>
      </c>
      <c r="AB110">
        <v>1258000000</v>
      </c>
      <c r="AC110">
        <v>10173000000</v>
      </c>
      <c r="AD110">
        <v>0</v>
      </c>
      <c r="AE110">
        <v>5521000000</v>
      </c>
      <c r="AF110">
        <v>0</v>
      </c>
      <c r="AG110">
        <v>3170000000</v>
      </c>
      <c r="AH110">
        <v>-265000000</v>
      </c>
      <c r="AI110">
        <v>660000000</v>
      </c>
      <c r="AJ110">
        <v>0</v>
      </c>
      <c r="AK110">
        <v>9688000000</v>
      </c>
      <c r="AL110">
        <v>7455000000</v>
      </c>
      <c r="AM110">
        <v>10498000000</v>
      </c>
      <c r="AN110">
        <v>3146000000</v>
      </c>
      <c r="AO110" s="9">
        <v>60177000000</v>
      </c>
      <c r="AP110">
        <v>0</v>
      </c>
      <c r="AQ110">
        <v>369000000</v>
      </c>
      <c r="AR110">
        <v>-146000000</v>
      </c>
      <c r="AS110">
        <v>0</v>
      </c>
      <c r="AT110">
        <v>0</v>
      </c>
      <c r="AV110" s="10" t="s">
        <v>474</v>
      </c>
      <c r="AW110">
        <v>9743</v>
      </c>
    </row>
    <row r="111" spans="1:49" x14ac:dyDescent="0.2">
      <c r="A111">
        <v>10</v>
      </c>
      <c r="B111" t="s">
        <v>245</v>
      </c>
      <c r="C111" t="s">
        <v>246</v>
      </c>
      <c r="D111" s="8" t="s">
        <v>247</v>
      </c>
      <c r="E111" t="s">
        <v>55</v>
      </c>
      <c r="F111" t="s">
        <v>250</v>
      </c>
      <c r="G111" s="2" t="d">
        <v>2023-07-27</v>
      </c>
      <c r="H111" s="2" t="d">
        <v>2023-07-27</v>
      </c>
      <c r="I111">
        <v>2023</v>
      </c>
      <c r="J111" t="s">
        <v>58</v>
      </c>
      <c r="K111">
        <v>2</v>
      </c>
      <c r="L111" s="2" t="d">
        <v>2023-04-01</v>
      </c>
      <c r="M111" s="2" t="d">
        <v>2023-06-30</v>
      </c>
      <c r="N111" t="s">
        <v>467</v>
      </c>
      <c r="O111" t="s">
        <v>467</v>
      </c>
      <c r="P111">
        <v>2023</v>
      </c>
      <c r="Q111" t="s">
        <v>58</v>
      </c>
      <c r="R111" t="s">
        <v>59</v>
      </c>
      <c r="S111" t="s">
        <v>251</v>
      </c>
      <c r="T111" t="s">
        <v>61</v>
      </c>
      <c r="U111">
        <v>34509000000</v>
      </c>
      <c r="V111">
        <v>29430000000</v>
      </c>
      <c r="W111">
        <v>2759000000</v>
      </c>
      <c r="X111">
        <v>0</v>
      </c>
      <c r="Y111">
        <v>595000000</v>
      </c>
      <c r="Z111">
        <v>2717000000</v>
      </c>
      <c r="AA111">
        <v>27994000000</v>
      </c>
      <c r="AB111">
        <v>1193000000</v>
      </c>
      <c r="AC111">
        <v>10130000000</v>
      </c>
      <c r="AD111">
        <v>0</v>
      </c>
      <c r="AE111">
        <v>5075000000</v>
      </c>
      <c r="AF111">
        <v>0</v>
      </c>
      <c r="AG111">
        <v>1512000000</v>
      </c>
      <c r="AH111">
        <v>-170000000</v>
      </c>
      <c r="AI111">
        <v>669000000</v>
      </c>
      <c r="AJ111">
        <v>0</v>
      </c>
      <c r="AK111">
        <v>10888000000</v>
      </c>
      <c r="AL111">
        <v>6961000000</v>
      </c>
      <c r="AM111">
        <v>10825000000</v>
      </c>
      <c r="AN111">
        <v>2122000000</v>
      </c>
      <c r="AO111" s="9">
        <v>60667000000</v>
      </c>
      <c r="AP111">
        <v>0</v>
      </c>
      <c r="AQ111">
        <v>358000000</v>
      </c>
      <c r="AR111">
        <v>-148000000</v>
      </c>
      <c r="AS111">
        <v>0</v>
      </c>
      <c r="AT111">
        <v>0</v>
      </c>
      <c r="AV111" s="10" t="s">
        <v>474</v>
      </c>
      <c r="AW111">
        <v>9743</v>
      </c>
    </row>
    <row r="112" spans="1:49" x14ac:dyDescent="0.2">
      <c r="A112">
        <v>10</v>
      </c>
      <c r="B112" t="s">
        <v>245</v>
      </c>
      <c r="C112" t="s">
        <v>246</v>
      </c>
      <c r="D112" s="8" t="s">
        <v>247</v>
      </c>
      <c r="E112" t="s">
        <v>55</v>
      </c>
      <c r="F112" t="s">
        <v>252</v>
      </c>
      <c r="G112" s="2" t="d">
        <v>2023-10-26</v>
      </c>
      <c r="H112" s="2" t="d">
        <v>2023-10-26</v>
      </c>
      <c r="I112">
        <v>2023</v>
      </c>
      <c r="J112" t="s">
        <v>63</v>
      </c>
      <c r="K112">
        <v>3</v>
      </c>
      <c r="L112" s="2" t="d">
        <v>2023-07-01</v>
      </c>
      <c r="M112" s="2" t="d">
        <v>2023-09-30</v>
      </c>
      <c r="N112" t="s">
        <v>467</v>
      </c>
      <c r="O112" t="s">
        <v>467</v>
      </c>
      <c r="P112">
        <v>2023</v>
      </c>
      <c r="Q112" t="s">
        <v>63</v>
      </c>
      <c r="R112" t="s">
        <v>59</v>
      </c>
      <c r="S112" t="s">
        <v>251</v>
      </c>
      <c r="T112" t="s">
        <v>61</v>
      </c>
      <c r="U112">
        <v>38404000000</v>
      </c>
      <c r="V112">
        <v>32385000000</v>
      </c>
      <c r="W112">
        <v>3503000000</v>
      </c>
      <c r="X112">
        <v>0</v>
      </c>
      <c r="Y112">
        <v>813000000</v>
      </c>
      <c r="Z112">
        <v>3476000000</v>
      </c>
      <c r="AA112">
        <v>28057000000</v>
      </c>
      <c r="AB112">
        <v>1334000000</v>
      </c>
      <c r="AC112">
        <v>10107000000</v>
      </c>
      <c r="AD112">
        <v>0</v>
      </c>
      <c r="AE112">
        <v>5831000000</v>
      </c>
      <c r="AF112">
        <v>0</v>
      </c>
      <c r="AG112">
        <v>3308000000</v>
      </c>
      <c r="AH112">
        <v>-220000000</v>
      </c>
      <c r="AI112">
        <v>682000000</v>
      </c>
      <c r="AJ112">
        <v>0</v>
      </c>
      <c r="AK112">
        <v>12566000000</v>
      </c>
      <c r="AL112">
        <v>7513000000</v>
      </c>
      <c r="AM112">
        <v>13342000000</v>
      </c>
      <c r="AN112">
        <v>2663000000</v>
      </c>
      <c r="AO112" s="9">
        <v>63175000000</v>
      </c>
      <c r="AP112">
        <v>0</v>
      </c>
      <c r="AQ112">
        <v>349000000</v>
      </c>
      <c r="AR112">
        <v>-149000000</v>
      </c>
      <c r="AS112">
        <v>0</v>
      </c>
      <c r="AT112">
        <v>0</v>
      </c>
      <c r="AV112" s="10" t="s">
        <v>474</v>
      </c>
      <c r="AW112">
        <v>9743</v>
      </c>
    </row>
    <row r="113" spans="1:49" x14ac:dyDescent="0.2">
      <c r="A113">
        <v>10</v>
      </c>
      <c r="B113" t="s">
        <v>245</v>
      </c>
      <c r="C113" t="s">
        <v>246</v>
      </c>
      <c r="D113" s="8" t="s">
        <v>247</v>
      </c>
      <c r="E113" t="s">
        <v>66</v>
      </c>
      <c r="F113" t="s">
        <v>253</v>
      </c>
      <c r="G113" s="2" t="d">
        <v>2024-02-22</v>
      </c>
      <c r="H113" s="2" t="d">
        <v>2024-02-22</v>
      </c>
      <c r="I113">
        <v>2023</v>
      </c>
      <c r="J113" t="s">
        <v>65</v>
      </c>
      <c r="K113">
        <v>4</v>
      </c>
      <c r="L113" s="2" t="d">
        <v>2023-10-01</v>
      </c>
      <c r="M113" s="2" t="d">
        <v>2023-12-31</v>
      </c>
      <c r="N113" t="s">
        <v>467</v>
      </c>
      <c r="O113" t="s">
        <v>467</v>
      </c>
      <c r="P113">
        <v>2023</v>
      </c>
      <c r="Q113" t="s">
        <v>65</v>
      </c>
      <c r="R113" t="s">
        <v>59</v>
      </c>
      <c r="S113" t="s">
        <v>251</v>
      </c>
      <c r="T113" t="s">
        <v>61</v>
      </c>
      <c r="U113">
        <v>35414000000</v>
      </c>
      <c r="V113">
        <v>31267000000</v>
      </c>
      <c r="W113">
        <v>1553000000</v>
      </c>
      <c r="X113">
        <v>0</v>
      </c>
      <c r="Y113">
        <v>331000000</v>
      </c>
      <c r="Z113">
        <v>1549000000</v>
      </c>
      <c r="AA113">
        <v>28524000000</v>
      </c>
      <c r="AB113">
        <v>1406000000</v>
      </c>
      <c r="AC113">
        <v>10118000000</v>
      </c>
      <c r="AD113">
        <v>0</v>
      </c>
      <c r="AE113">
        <v>5424000000</v>
      </c>
      <c r="AF113">
        <v>0</v>
      </c>
      <c r="AG113">
        <v>1239000000</v>
      </c>
      <c r="AH113">
        <v>-256000000</v>
      </c>
      <c r="AI113">
        <v>690000000</v>
      </c>
      <c r="AJ113">
        <v>0</v>
      </c>
      <c r="AK113">
        <v>12525000000</v>
      </c>
      <c r="AL113">
        <v>7583000000</v>
      </c>
      <c r="AM113">
        <v>12567000000</v>
      </c>
      <c r="AN113">
        <v>1218000000</v>
      </c>
      <c r="AO113" s="9">
        <v>63056000000</v>
      </c>
      <c r="AP113">
        <v>0</v>
      </c>
      <c r="AQ113">
        <v>353000000</v>
      </c>
      <c r="AR113">
        <v>-149000000</v>
      </c>
      <c r="AS113">
        <v>0</v>
      </c>
      <c r="AT113">
        <v>0</v>
      </c>
      <c r="AV113" s="10" t="s">
        <v>474</v>
      </c>
      <c r="AW113">
        <v>9908</v>
      </c>
    </row>
    <row r="114" spans="1:49" x14ac:dyDescent="0.2">
      <c r="A114">
        <v>10</v>
      </c>
      <c r="B114" t="s">
        <v>245</v>
      </c>
      <c r="C114" t="s">
        <v>246</v>
      </c>
      <c r="D114" s="8" t="s">
        <v>247</v>
      </c>
      <c r="E114" t="s">
        <v>55</v>
      </c>
      <c r="F114" t="s">
        <v>254</v>
      </c>
      <c r="G114" s="2" t="d">
        <v>2024-04-25</v>
      </c>
      <c r="H114" s="2" t="d">
        <v>2024-04-25</v>
      </c>
      <c r="I114" s="7">
        <v>2024</v>
      </c>
      <c r="J114" t="s">
        <v>57</v>
      </c>
      <c r="K114">
        <v>5</v>
      </c>
      <c r="L114" s="2" t="d">
        <v>2024-01-01</v>
      </c>
      <c r="M114" s="2" t="d">
        <v>2024-03-31</v>
      </c>
      <c r="N114" t="s">
        <v>468</v>
      </c>
      <c r="O114" t="s">
        <v>468</v>
      </c>
      <c r="P114" s="7">
        <v>2024</v>
      </c>
      <c r="Q114" t="s">
        <v>57</v>
      </c>
      <c r="R114" t="s">
        <v>59</v>
      </c>
      <c r="S114" t="s">
        <v>251</v>
      </c>
      <c r="T114" t="s">
        <v>61</v>
      </c>
      <c r="U114">
        <v>31759000000</v>
      </c>
      <c r="V114">
        <v>27682000000</v>
      </c>
      <c r="W114">
        <v>1679000000</v>
      </c>
      <c r="X114">
        <v>0</v>
      </c>
      <c r="Y114">
        <v>353000000</v>
      </c>
      <c r="Z114">
        <v>1683000000</v>
      </c>
      <c r="AA114">
        <v>28824000000</v>
      </c>
      <c r="AB114">
        <v>853000000</v>
      </c>
      <c r="AC114">
        <v>10044000000</v>
      </c>
      <c r="AD114">
        <v>0</v>
      </c>
      <c r="AE114">
        <v>4917000000</v>
      </c>
      <c r="AF114">
        <v>0</v>
      </c>
      <c r="AG114">
        <v>1846000000</v>
      </c>
      <c r="AH114">
        <v>-200000000</v>
      </c>
      <c r="AI114">
        <v>695000000</v>
      </c>
      <c r="AJ114">
        <v>0</v>
      </c>
      <c r="AK114">
        <v>12150000000</v>
      </c>
      <c r="AL114">
        <v>7912000000</v>
      </c>
      <c r="AM114">
        <v>12458000000</v>
      </c>
      <c r="AN114">
        <v>1330000000</v>
      </c>
      <c r="AO114" s="9">
        <v>62574000000</v>
      </c>
      <c r="AP114">
        <v>0</v>
      </c>
      <c r="AQ114">
        <v>331000000</v>
      </c>
      <c r="AR114">
        <v>-140000000</v>
      </c>
      <c r="AS114">
        <v>0</v>
      </c>
      <c r="AT114">
        <v>0</v>
      </c>
      <c r="AV114" s="10" t="s">
        <v>474</v>
      </c>
      <c r="AW114">
        <v>9908</v>
      </c>
    </row>
    <row r="115" spans="1:49" x14ac:dyDescent="0.2">
      <c r="A115">
        <v>10</v>
      </c>
      <c r="B115" t="s">
        <v>245</v>
      </c>
      <c r="C115" t="s">
        <v>246</v>
      </c>
      <c r="D115" s="8" t="s">
        <v>247</v>
      </c>
      <c r="E115" t="s">
        <v>55</v>
      </c>
      <c r="F115" t="s">
        <v>255</v>
      </c>
      <c r="G115" s="2" t="d">
        <v>2024-07-25</v>
      </c>
      <c r="H115" s="2" t="d">
        <v>2024-07-25</v>
      </c>
      <c r="I115" s="7">
        <v>2024</v>
      </c>
      <c r="J115" t="s">
        <v>58</v>
      </c>
      <c r="K115">
        <v>6</v>
      </c>
      <c r="L115" s="2" t="d">
        <v>2024-04-01</v>
      </c>
      <c r="M115" s="2" t="d">
        <v>2024-06-30</v>
      </c>
      <c r="N115" t="s">
        <v>467</v>
      </c>
      <c r="O115" t="s">
        <v>467</v>
      </c>
      <c r="P115" s="7">
        <v>2024</v>
      </c>
      <c r="Q115" t="s">
        <v>58</v>
      </c>
      <c r="R115" t="s">
        <v>59</v>
      </c>
      <c r="S115" t="s">
        <v>251</v>
      </c>
      <c r="T115" t="s">
        <v>61</v>
      </c>
      <c r="U115">
        <v>34490000000</v>
      </c>
      <c r="V115">
        <v>30943000000</v>
      </c>
      <c r="W115">
        <v>1221000000</v>
      </c>
      <c r="X115">
        <v>0</v>
      </c>
      <c r="Y115">
        <v>277000000</v>
      </c>
      <c r="Z115">
        <v>1203000000</v>
      </c>
      <c r="AA115">
        <v>28250000000</v>
      </c>
      <c r="AB115">
        <v>995000000</v>
      </c>
      <c r="AC115">
        <v>9746000000</v>
      </c>
      <c r="AD115">
        <v>0</v>
      </c>
      <c r="AE115">
        <v>5246000000</v>
      </c>
      <c r="AF115">
        <v>0</v>
      </c>
      <c r="AG115">
        <v>2472000000</v>
      </c>
      <c r="AH115">
        <v>-194000000</v>
      </c>
      <c r="AI115">
        <v>696000000</v>
      </c>
      <c r="AJ115">
        <v>0</v>
      </c>
      <c r="AK115">
        <v>13145000000</v>
      </c>
      <c r="AL115">
        <v>8028000000</v>
      </c>
      <c r="AM115">
        <v>14565000000</v>
      </c>
      <c r="AN115">
        <v>926000000</v>
      </c>
      <c r="AO115" s="9">
        <v>63615000000</v>
      </c>
      <c r="AP115">
        <v>0</v>
      </c>
      <c r="AQ115">
        <v>324000000</v>
      </c>
      <c r="AR115">
        <v>-140000000</v>
      </c>
      <c r="AS115">
        <v>0</v>
      </c>
      <c r="AT115">
        <v>0</v>
      </c>
      <c r="AV115" s="10" t="s">
        <v>474</v>
      </c>
      <c r="AW115">
        <v>9908</v>
      </c>
    </row>
    <row r="116" spans="1:49" x14ac:dyDescent="0.2">
      <c r="A116">
        <v>10</v>
      </c>
      <c r="B116" t="s">
        <v>245</v>
      </c>
      <c r="C116" t="s">
        <v>246</v>
      </c>
      <c r="D116" s="8" t="s">
        <v>247</v>
      </c>
      <c r="E116" t="s">
        <v>55</v>
      </c>
      <c r="F116" t="s">
        <v>256</v>
      </c>
      <c r="G116" s="2" t="d">
        <v>2024-10-30</v>
      </c>
      <c r="H116" s="2" t="d">
        <v>2024-10-29</v>
      </c>
      <c r="I116" s="7">
        <v>2024</v>
      </c>
      <c r="J116" t="s">
        <v>63</v>
      </c>
      <c r="K116">
        <v>7</v>
      </c>
      <c r="L116" s="2" t="d">
        <v>2024-07-01</v>
      </c>
      <c r="M116" s="2" t="d">
        <v>2024-09-30</v>
      </c>
      <c r="N116" t="s">
        <v>467</v>
      </c>
      <c r="O116" t="s">
        <v>467</v>
      </c>
      <c r="P116" s="7">
        <v>2024</v>
      </c>
      <c r="Q116" t="s">
        <v>63</v>
      </c>
      <c r="R116" t="s">
        <v>59</v>
      </c>
      <c r="S116" t="s">
        <v>251</v>
      </c>
      <c r="T116" t="s">
        <v>61</v>
      </c>
      <c r="U116">
        <v>32876000000</v>
      </c>
      <c r="V116">
        <v>29965000000</v>
      </c>
      <c r="W116">
        <v>507000000</v>
      </c>
      <c r="X116">
        <v>0</v>
      </c>
      <c r="Y116">
        <v>96000000</v>
      </c>
      <c r="Z116">
        <v>489000000</v>
      </c>
      <c r="AA116">
        <v>28000000000</v>
      </c>
      <c r="AB116">
        <v>1016000000</v>
      </c>
      <c r="AC116">
        <v>9790000000</v>
      </c>
      <c r="AD116">
        <v>0</v>
      </c>
      <c r="AE116">
        <v>5184000000</v>
      </c>
      <c r="AF116">
        <v>0</v>
      </c>
      <c r="AG116">
        <v>1295000000</v>
      </c>
      <c r="AH116">
        <v>-210000000</v>
      </c>
      <c r="AI116">
        <v>685000000</v>
      </c>
      <c r="AJ116">
        <v>0</v>
      </c>
      <c r="AK116">
        <v>11073000000</v>
      </c>
      <c r="AL116">
        <v>7048000000</v>
      </c>
      <c r="AM116">
        <v>11516000000</v>
      </c>
      <c r="AN116">
        <v>393000000</v>
      </c>
      <c r="AO116" s="9">
        <v>60382000000</v>
      </c>
      <c r="AP116">
        <v>0</v>
      </c>
      <c r="AQ116">
        <v>318000000</v>
      </c>
      <c r="AR116">
        <v>-141000000</v>
      </c>
      <c r="AS116">
        <v>0</v>
      </c>
      <c r="AT116">
        <v>0</v>
      </c>
      <c r="AV116" s="10" t="s">
        <v>474</v>
      </c>
      <c r="AW116">
        <v>9908</v>
      </c>
    </row>
    <row r="117" spans="1:49" x14ac:dyDescent="0.2">
      <c r="A117">
        <v>10</v>
      </c>
      <c r="B117" t="s">
        <v>245</v>
      </c>
      <c r="C117" t="s">
        <v>246</v>
      </c>
      <c r="D117" s="8" t="s">
        <v>247</v>
      </c>
      <c r="E117" t="s">
        <v>66</v>
      </c>
      <c r="F117" t="s">
        <v>257</v>
      </c>
      <c r="G117" s="2" t="d">
        <v>2025-02-26</v>
      </c>
      <c r="H117" s="2" t="d">
        <v>2025-02-26</v>
      </c>
      <c r="I117" s="7">
        <v>2024</v>
      </c>
      <c r="J117" t="s">
        <v>65</v>
      </c>
      <c r="K117">
        <v>8</v>
      </c>
      <c r="L117" s="2" t="d">
        <v>2024-10-01</v>
      </c>
      <c r="M117" s="2" t="d">
        <v>2024-12-31</v>
      </c>
      <c r="N117" t="s">
        <v>467</v>
      </c>
      <c r="O117" t="s">
        <v>467</v>
      </c>
      <c r="P117" s="7">
        <v>2024</v>
      </c>
      <c r="Q117" t="s">
        <v>65</v>
      </c>
      <c r="R117" t="s">
        <v>59</v>
      </c>
      <c r="S117" t="s">
        <v>251</v>
      </c>
      <c r="T117" t="s">
        <v>61</v>
      </c>
      <c r="U117">
        <v>30756000000</v>
      </c>
      <c r="V117">
        <v>36486000000</v>
      </c>
      <c r="W117">
        <v>348000000</v>
      </c>
      <c r="X117">
        <v>0</v>
      </c>
      <c r="Y117">
        <v>-34000000</v>
      </c>
      <c r="Z117">
        <v>323000000</v>
      </c>
      <c r="AA117">
        <v>27521000000</v>
      </c>
      <c r="AB117">
        <v>743000000</v>
      </c>
      <c r="AC117">
        <v>9720000000</v>
      </c>
      <c r="AD117">
        <v>0</v>
      </c>
      <c r="AE117">
        <v>4567000000</v>
      </c>
      <c r="AF117">
        <v>0</v>
      </c>
      <c r="AG117">
        <v>1070000000</v>
      </c>
      <c r="AH117">
        <v>-303000000</v>
      </c>
      <c r="AI117">
        <v>698000000</v>
      </c>
      <c r="AJ117">
        <v>0</v>
      </c>
      <c r="AK117">
        <v>10708000000</v>
      </c>
      <c r="AL117">
        <v>7761000000</v>
      </c>
      <c r="AM117">
        <v>12092000000</v>
      </c>
      <c r="AN117">
        <v>357000000</v>
      </c>
      <c r="AO117" s="9">
        <v>60143000000</v>
      </c>
      <c r="AP117">
        <v>0</v>
      </c>
      <c r="AQ117">
        <v>322000000</v>
      </c>
      <c r="AR117">
        <v>-135000000</v>
      </c>
      <c r="AS117">
        <v>0</v>
      </c>
      <c r="AT117">
        <v>0</v>
      </c>
      <c r="AV117" s="10" t="s">
        <v>474</v>
      </c>
      <c r="AW117">
        <v>9922</v>
      </c>
    </row>
    <row r="118" spans="1:49" x14ac:dyDescent="0.2">
      <c r="A118">
        <v>10</v>
      </c>
      <c r="B118" t="s">
        <v>245</v>
      </c>
      <c r="C118" t="s">
        <v>246</v>
      </c>
      <c r="D118" s="8" t="s">
        <v>247</v>
      </c>
      <c r="E118" t="s">
        <v>55</v>
      </c>
      <c r="F118" t="s">
        <v>258</v>
      </c>
      <c r="G118" s="2" t="d">
        <v>2025-04-24</v>
      </c>
      <c r="H118" s="2" t="d">
        <v>2025-04-24</v>
      </c>
      <c r="I118" s="7">
        <v>2025</v>
      </c>
      <c r="J118" t="s">
        <v>57</v>
      </c>
      <c r="K118">
        <v>9</v>
      </c>
      <c r="L118" s="2" t="d">
        <v>2025-01-01</v>
      </c>
      <c r="M118" s="2" t="d">
        <v>2025-03-31</v>
      </c>
      <c r="N118" t="s">
        <v>468</v>
      </c>
      <c r="O118" t="s">
        <v>468</v>
      </c>
      <c r="P118" s="7">
        <v>2025</v>
      </c>
      <c r="Q118" t="s">
        <v>57</v>
      </c>
      <c r="R118" t="s">
        <v>59</v>
      </c>
      <c r="S118" t="s">
        <v>251</v>
      </c>
      <c r="T118" t="s">
        <v>61</v>
      </c>
      <c r="U118">
        <v>30258000000</v>
      </c>
      <c r="V118">
        <v>27548000000</v>
      </c>
      <c r="W118">
        <v>-900000000</v>
      </c>
      <c r="X118">
        <v>0</v>
      </c>
      <c r="Y118">
        <v>-265000000</v>
      </c>
      <c r="Z118">
        <v>-917000000</v>
      </c>
      <c r="AA118">
        <v>26315000000</v>
      </c>
      <c r="AB118">
        <v>542000000</v>
      </c>
      <c r="AC118">
        <v>10312000000</v>
      </c>
      <c r="AD118">
        <v>0</v>
      </c>
      <c r="AE118">
        <v>4634000000</v>
      </c>
      <c r="AF118">
        <v>0</v>
      </c>
      <c r="AG118">
        <v>952000000</v>
      </c>
      <c r="AH118">
        <v>-249000000</v>
      </c>
      <c r="AI118">
        <v>691000000</v>
      </c>
      <c r="AJ118">
        <v>0</v>
      </c>
      <c r="AK118">
        <v>11238000000</v>
      </c>
      <c r="AL118">
        <v>7119000000</v>
      </c>
      <c r="AM118">
        <v>11982000000</v>
      </c>
      <c r="AN118">
        <v>-652000000</v>
      </c>
      <c r="AO118" s="9">
        <v>59177000000</v>
      </c>
      <c r="AP118">
        <v>0</v>
      </c>
      <c r="AQ118">
        <v>314000000</v>
      </c>
      <c r="AR118">
        <v>-137000000</v>
      </c>
      <c r="AS118">
        <v>0</v>
      </c>
      <c r="AT118">
        <v>0</v>
      </c>
      <c r="AV118" s="10" t="s">
        <v>474</v>
      </c>
      <c r="AW118">
        <v>9922</v>
      </c>
    </row>
    <row r="119" spans="1:49" x14ac:dyDescent="0.2">
      <c r="A119">
        <v>10</v>
      </c>
      <c r="B119" t="s">
        <v>245</v>
      </c>
      <c r="C119" t="s">
        <v>246</v>
      </c>
      <c r="D119" s="8" t="s">
        <v>247</v>
      </c>
      <c r="E119" t="s">
        <v>55</v>
      </c>
      <c r="F119" t="s">
        <v>259</v>
      </c>
      <c r="G119" s="2" t="d">
        <v>2025-07-24</v>
      </c>
      <c r="H119" s="2" t="d">
        <v>2025-07-24</v>
      </c>
      <c r="I119" s="7">
        <v>2025</v>
      </c>
      <c r="J119" t="s">
        <v>58</v>
      </c>
      <c r="K119">
        <v>10</v>
      </c>
      <c r="L119" s="2" t="d">
        <v>2025-04-01</v>
      </c>
      <c r="M119" s="2" t="d">
        <v>2025-06-30</v>
      </c>
      <c r="N119" t="s">
        <v>467</v>
      </c>
      <c r="O119" t="s">
        <v>467</v>
      </c>
      <c r="P119" s="7">
        <v>2025</v>
      </c>
      <c r="Q119" t="s">
        <v>58</v>
      </c>
      <c r="R119" t="s">
        <v>59</v>
      </c>
      <c r="S119" t="s">
        <v>251</v>
      </c>
      <c r="T119" t="s">
        <v>61</v>
      </c>
      <c r="U119">
        <v>29889000000</v>
      </c>
      <c r="V119">
        <v>26332000000</v>
      </c>
      <c r="W119">
        <v>997000000</v>
      </c>
      <c r="X119">
        <v>0</v>
      </c>
      <c r="Y119">
        <v>279000000</v>
      </c>
      <c r="Z119">
        <v>942000000</v>
      </c>
      <c r="AA119">
        <v>26947000000</v>
      </c>
      <c r="AB119">
        <v>382000000</v>
      </c>
      <c r="AC119">
        <v>10265000000</v>
      </c>
      <c r="AD119">
        <v>0</v>
      </c>
      <c r="AE119">
        <v>4537000000</v>
      </c>
      <c r="AF119">
        <v>0</v>
      </c>
      <c r="AG119">
        <v>936000000</v>
      </c>
      <c r="AH119">
        <v>-150000000</v>
      </c>
      <c r="AI119">
        <v>814000000</v>
      </c>
      <c r="AJ119">
        <v>0</v>
      </c>
      <c r="AK119">
        <v>11073000000</v>
      </c>
      <c r="AL119">
        <v>7538000000</v>
      </c>
      <c r="AM119">
        <v>11499000000</v>
      </c>
      <c r="AN119">
        <v>663000000</v>
      </c>
      <c r="AO119" s="9">
        <v>59433000000</v>
      </c>
      <c r="AP119">
        <v>0</v>
      </c>
      <c r="AQ119">
        <v>312000000</v>
      </c>
      <c r="AR119">
        <v>-141000000</v>
      </c>
      <c r="AS119">
        <v>0</v>
      </c>
      <c r="AT119">
        <v>0</v>
      </c>
      <c r="AV119" s="10" t="s">
        <v>474</v>
      </c>
      <c r="AW119">
        <v>9922</v>
      </c>
    </row>
    <row r="120" spans="1:49" x14ac:dyDescent="0.2">
      <c r="A120">
        <v>10</v>
      </c>
      <c r="B120" t="s">
        <v>245</v>
      </c>
      <c r="C120" t="s">
        <v>246</v>
      </c>
      <c r="D120" s="8" t="s">
        <v>247</v>
      </c>
      <c r="E120" t="s">
        <v>55</v>
      </c>
      <c r="F120" t="s">
        <v>260</v>
      </c>
      <c r="G120" s="2" t="d">
        <v>2025-10-23</v>
      </c>
      <c r="H120" s="2" t="d">
        <v>2025-10-23</v>
      </c>
      <c r="I120" s="7">
        <v>2025</v>
      </c>
      <c r="J120" t="s">
        <v>63</v>
      </c>
      <c r="K120">
        <v>11</v>
      </c>
      <c r="L120" s="2" t="d">
        <v>2025-07-01</v>
      </c>
      <c r="M120" s="2" t="d">
        <v>2025-09-30</v>
      </c>
      <c r="N120" t="s">
        <v>467</v>
      </c>
      <c r="O120" t="s">
        <v>467</v>
      </c>
      <c r="P120" s="7">
        <v>2025</v>
      </c>
      <c r="Q120" t="s">
        <v>63</v>
      </c>
      <c r="R120" t="s">
        <v>59</v>
      </c>
      <c r="S120" t="s">
        <v>251</v>
      </c>
      <c r="T120" t="s">
        <v>61</v>
      </c>
      <c r="U120">
        <v>32168000000</v>
      </c>
      <c r="V120">
        <v>27958000000</v>
      </c>
      <c r="W120">
        <v>1509000000</v>
      </c>
      <c r="X120">
        <v>0</v>
      </c>
      <c r="Y120">
        <v>390000000</v>
      </c>
      <c r="Z120">
        <v>1456000000</v>
      </c>
      <c r="AA120">
        <v>26746000000</v>
      </c>
      <c r="AB120">
        <v>894000000</v>
      </c>
      <c r="AC120">
        <v>9687000000</v>
      </c>
      <c r="AD120">
        <v>0</v>
      </c>
      <c r="AE120">
        <v>4764000000</v>
      </c>
      <c r="AF120">
        <v>0</v>
      </c>
      <c r="AG120">
        <v>1881000000</v>
      </c>
      <c r="AH120">
        <v>-426000000</v>
      </c>
      <c r="AI120">
        <v>1527000000</v>
      </c>
      <c r="AJ120">
        <v>0</v>
      </c>
      <c r="AK120">
        <v>10333000000</v>
      </c>
      <c r="AL120">
        <v>7394000000</v>
      </c>
      <c r="AM120">
        <v>10694000000</v>
      </c>
      <c r="AN120">
        <v>1066000000</v>
      </c>
      <c r="AO120" s="9">
        <v>58615000000</v>
      </c>
      <c r="AP120">
        <v>0</v>
      </c>
      <c r="AQ120">
        <v>309000000</v>
      </c>
      <c r="AR120">
        <v>-139000000</v>
      </c>
      <c r="AS120">
        <v>0</v>
      </c>
      <c r="AT120">
        <v>0</v>
      </c>
      <c r="AV120" s="10" t="s">
        <v>474</v>
      </c>
      <c r="AW120">
        <v>9922</v>
      </c>
    </row>
    <row r="121" spans="1:49" x14ac:dyDescent="0.2">
      <c r="A121">
        <v>10</v>
      </c>
      <c r="B121" t="s">
        <v>245</v>
      </c>
      <c r="C121" t="s">
        <v>246</v>
      </c>
      <c r="D121" s="8" t="s">
        <v>247</v>
      </c>
      <c r="E121" t="s">
        <v>66</v>
      </c>
      <c r="F121" t="s">
        <v>261</v>
      </c>
      <c r="G121" s="2" t="d">
        <v>2025-02-25</v>
      </c>
      <c r="H121" s="2" t="d">
        <v>2025-02-25</v>
      </c>
      <c r="I121" s="7">
        <v>2025</v>
      </c>
      <c r="J121" t="s">
        <v>65</v>
      </c>
      <c r="K121">
        <v>12</v>
      </c>
      <c r="L121" s="2" t="d">
        <v>2025-10-01</v>
      </c>
      <c r="M121" s="2" t="d">
        <v>2025-12-31</v>
      </c>
      <c r="N121" t="s">
        <v>467</v>
      </c>
      <c r="O121" t="s">
        <v>467</v>
      </c>
      <c r="P121" s="7">
        <v>2025</v>
      </c>
      <c r="Q121" t="s">
        <v>65</v>
      </c>
      <c r="R121" t="s">
        <v>59</v>
      </c>
      <c r="S121" t="s">
        <v>251</v>
      </c>
      <c r="T121" t="s">
        <v>61</v>
      </c>
      <c r="U121">
        <v>30372000000</v>
      </c>
      <c r="V121">
        <v>19258000000</v>
      </c>
      <c r="W121">
        <v>1575000000</v>
      </c>
      <c r="X121">
        <v>0</v>
      </c>
      <c r="Y121">
        <v>355000000</v>
      </c>
      <c r="Z121">
        <v>1524000000</v>
      </c>
      <c r="AA121">
        <v>26605000000</v>
      </c>
      <c r="AB121">
        <v>949000000</v>
      </c>
      <c r="AC121">
        <v>9670000000</v>
      </c>
      <c r="AD121">
        <v>0</v>
      </c>
      <c r="AE121">
        <v>4688000000</v>
      </c>
      <c r="AF121">
        <v>0</v>
      </c>
      <c r="AG121">
        <v>2057000000</v>
      </c>
      <c r="AH121">
        <v>29000000</v>
      </c>
      <c r="AI121">
        <v>126000000</v>
      </c>
      <c r="AJ121">
        <v>0</v>
      </c>
      <c r="AK121">
        <v>9877000000</v>
      </c>
      <c r="AL121">
        <v>7591000000</v>
      </c>
      <c r="AM121">
        <v>10139000000</v>
      </c>
      <c r="AN121">
        <v>1169000000</v>
      </c>
      <c r="AO121" s="9">
        <v>57988000000</v>
      </c>
      <c r="AP121">
        <v>0</v>
      </c>
      <c r="AQ121">
        <v>309000000</v>
      </c>
      <c r="AR121">
        <v>-139000000</v>
      </c>
      <c r="AS121">
        <v>0</v>
      </c>
      <c r="AT121">
        <v>0</v>
      </c>
      <c r="AV121" s="10" t="s">
        <v>474</v>
      </c>
      <c r="AW121">
        <v>9811</v>
      </c>
    </row>
    <row r="122" spans="1:49" x14ac:dyDescent="0.2">
      <c r="A122">
        <v>11</v>
      </c>
      <c r="B122" s="13" t="s">
        <v>262</v>
      </c>
      <c r="C122" t="s">
        <v>263</v>
      </c>
      <c r="D122" s="8" t="s">
        <v>264</v>
      </c>
      <c r="E122" t="s">
        <v>55</v>
      </c>
      <c r="F122" t="s">
        <v>265</v>
      </c>
      <c r="G122" s="2" t="d">
        <v>2023-05-04</v>
      </c>
      <c r="H122" s="2" t="d">
        <v>2023-05-04</v>
      </c>
      <c r="I122">
        <v>2023</v>
      </c>
      <c r="J122" t="s">
        <v>57</v>
      </c>
      <c r="K122">
        <v>1</v>
      </c>
      <c r="L122" s="2" t="d">
        <v>2023-01-01</v>
      </c>
      <c r="M122" s="2" t="d">
        <v>2023-03-31</v>
      </c>
      <c r="N122" t="s">
        <v>468</v>
      </c>
      <c r="O122" t="s">
        <v>468</v>
      </c>
      <c r="P122">
        <v>2023</v>
      </c>
      <c r="Q122" t="s">
        <v>57</v>
      </c>
      <c r="R122" t="s">
        <v>59</v>
      </c>
      <c r="S122" t="s">
        <v>267</v>
      </c>
      <c r="T122" t="s">
        <v>61</v>
      </c>
      <c r="U122">
        <v>18995000000</v>
      </c>
      <c r="V122">
        <v>14610000000</v>
      </c>
      <c r="W122">
        <v>2062000000</v>
      </c>
      <c r="X122">
        <v>0</v>
      </c>
      <c r="Y122">
        <v>71000000</v>
      </c>
      <c r="Z122">
        <v>1518000000</v>
      </c>
      <c r="AA122">
        <v>40669000000</v>
      </c>
      <c r="AB122">
        <v>2000000</v>
      </c>
      <c r="AC122">
        <v>47229000000</v>
      </c>
      <c r="AD122">
        <v>836000000</v>
      </c>
      <c r="AE122">
        <v>330000000</v>
      </c>
      <c r="AF122">
        <v>0</v>
      </c>
      <c r="AG122">
        <v>3350000000</v>
      </c>
      <c r="AH122">
        <v>-853000000</v>
      </c>
      <c r="AI122">
        <v>1059000000</v>
      </c>
      <c r="AJ122">
        <v>0</v>
      </c>
      <c r="AK122">
        <v>8269000000</v>
      </c>
      <c r="AL122">
        <v>2047000000</v>
      </c>
      <c r="AM122">
        <v>6934000000</v>
      </c>
      <c r="AN122">
        <v>1447000000</v>
      </c>
      <c r="AO122" s="9">
        <v>104521000000</v>
      </c>
      <c r="AP122">
        <v>0</v>
      </c>
      <c r="AQ122">
        <v>3115400000</v>
      </c>
      <c r="AR122">
        <v>-619000000</v>
      </c>
      <c r="AS122">
        <v>0</v>
      </c>
      <c r="AT122">
        <v>0</v>
      </c>
      <c r="AV122" s="10" t="s">
        <v>474</v>
      </c>
      <c r="AW122">
        <v>12565</v>
      </c>
    </row>
    <row r="123" spans="1:49" x14ac:dyDescent="0.2">
      <c r="A123">
        <v>11</v>
      </c>
      <c r="B123" t="s">
        <v>262</v>
      </c>
      <c r="C123" t="s">
        <v>263</v>
      </c>
      <c r="D123" s="8" t="s">
        <v>264</v>
      </c>
      <c r="E123" t="s">
        <v>55</v>
      </c>
      <c r="F123" t="s">
        <v>266</v>
      </c>
      <c r="G123" s="2" t="d">
        <v>2023-08-03</v>
      </c>
      <c r="H123" s="2" t="d">
        <v>2023-08-03</v>
      </c>
      <c r="I123">
        <v>2023</v>
      </c>
      <c r="J123" t="s">
        <v>58</v>
      </c>
      <c r="K123">
        <v>2</v>
      </c>
      <c r="L123" s="2" t="d">
        <v>2023-04-01</v>
      </c>
      <c r="M123" s="2" t="d">
        <v>2023-06-30</v>
      </c>
      <c r="N123" t="s">
        <v>467</v>
      </c>
      <c r="O123" t="s">
        <v>467</v>
      </c>
      <c r="P123">
        <v>2023</v>
      </c>
      <c r="Q123" t="s">
        <v>58</v>
      </c>
      <c r="R123" t="s">
        <v>59</v>
      </c>
      <c r="S123" t="s">
        <v>268</v>
      </c>
      <c r="T123" t="s">
        <v>61</v>
      </c>
      <c r="U123">
        <v>18320000000</v>
      </c>
      <c r="V123">
        <v>14092000000</v>
      </c>
      <c r="W123">
        <v>1835000000</v>
      </c>
      <c r="X123">
        <v>0</v>
      </c>
      <c r="Y123">
        <v>108000000</v>
      </c>
      <c r="Z123">
        <v>1341000000</v>
      </c>
      <c r="AA123">
        <v>40962000000</v>
      </c>
      <c r="AB123">
        <v>3459000000</v>
      </c>
      <c r="AC123">
        <v>44672000000</v>
      </c>
      <c r="AD123">
        <v>831000000</v>
      </c>
      <c r="AE123">
        <v>330000000</v>
      </c>
      <c r="AF123">
        <v>0</v>
      </c>
      <c r="AG123">
        <v>2536000000</v>
      </c>
      <c r="AH123">
        <v>-876000000</v>
      </c>
      <c r="AI123">
        <v>1061000000</v>
      </c>
      <c r="AJ123">
        <v>-1041000000</v>
      </c>
      <c r="AK123">
        <v>7294000000</v>
      </c>
      <c r="AL123">
        <v>2271000000</v>
      </c>
      <c r="AM123">
        <v>6169000000</v>
      </c>
      <c r="AN123">
        <v>1233000000</v>
      </c>
      <c r="AO123" s="9">
        <v>105132000000</v>
      </c>
      <c r="AP123">
        <v>0</v>
      </c>
      <c r="AQ123">
        <v>3148200000</v>
      </c>
      <c r="AR123">
        <v>-641000000</v>
      </c>
      <c r="AS123">
        <v>0</v>
      </c>
      <c r="AT123">
        <v>0</v>
      </c>
      <c r="AV123" s="10" t="s">
        <v>474</v>
      </c>
      <c r="AW123">
        <v>12565</v>
      </c>
    </row>
    <row r="124" spans="1:49" x14ac:dyDescent="0.2">
      <c r="A124">
        <v>11</v>
      </c>
      <c r="B124" t="s">
        <v>262</v>
      </c>
      <c r="C124" t="s">
        <v>263</v>
      </c>
      <c r="D124" s="8" t="s">
        <v>264</v>
      </c>
      <c r="E124" t="s">
        <v>55</v>
      </c>
      <c r="F124" t="s">
        <v>269</v>
      </c>
      <c r="G124" s="2" t="d">
        <v>2023-11-02</v>
      </c>
      <c r="H124" s="2" t="d">
        <v>2023-11-02</v>
      </c>
      <c r="I124">
        <v>2023</v>
      </c>
      <c r="J124" t="s">
        <v>63</v>
      </c>
      <c r="K124">
        <v>3</v>
      </c>
      <c r="L124" s="2" t="d">
        <v>2023-07-01</v>
      </c>
      <c r="M124" s="2" t="d">
        <v>2023-09-30</v>
      </c>
      <c r="N124" t="s">
        <v>467</v>
      </c>
      <c r="O124" t="s">
        <v>467</v>
      </c>
      <c r="P124">
        <v>2023</v>
      </c>
      <c r="Q124" t="s">
        <v>63</v>
      </c>
      <c r="R124" t="s">
        <v>59</v>
      </c>
      <c r="S124" t="s">
        <v>268</v>
      </c>
      <c r="T124" t="s">
        <v>61</v>
      </c>
      <c r="U124">
        <v>20739000000</v>
      </c>
      <c r="V124">
        <v>16059000000</v>
      </c>
      <c r="W124">
        <v>2233000000</v>
      </c>
      <c r="X124">
        <v>0</v>
      </c>
      <c r="Y124">
        <v>77000000</v>
      </c>
      <c r="Z124">
        <v>1124000000</v>
      </c>
      <c r="AA124">
        <v>40561000000</v>
      </c>
      <c r="AB124">
        <v>1006000000</v>
      </c>
      <c r="AC124">
        <v>47075000000</v>
      </c>
      <c r="AD124">
        <v>820000000</v>
      </c>
      <c r="AE124">
        <v>514000000</v>
      </c>
      <c r="AF124">
        <v>0</v>
      </c>
      <c r="AG124">
        <v>2373000000</v>
      </c>
      <c r="AH124">
        <v>-701000000</v>
      </c>
      <c r="AI124">
        <v>1107000000</v>
      </c>
      <c r="AJ124">
        <v>0</v>
      </c>
      <c r="AK124">
        <v>9612000000</v>
      </c>
      <c r="AL124">
        <v>2590000000</v>
      </c>
      <c r="AM124">
        <v>7997000000</v>
      </c>
      <c r="AN124">
        <v>1047000000</v>
      </c>
      <c r="AO124" s="9">
        <v>107571000000</v>
      </c>
      <c r="AP124">
        <v>0</v>
      </c>
      <c r="AQ124">
        <v>3167700000</v>
      </c>
      <c r="AR124">
        <v>-632000000</v>
      </c>
      <c r="AS124">
        <v>0</v>
      </c>
      <c r="AT124">
        <v>0</v>
      </c>
      <c r="AV124" s="10" t="s">
        <v>474</v>
      </c>
      <c r="AW124">
        <v>12565</v>
      </c>
    </row>
    <row r="125" spans="1:49" x14ac:dyDescent="0.2">
      <c r="A125">
        <v>11</v>
      </c>
      <c r="B125" t="s">
        <v>262</v>
      </c>
      <c r="C125" t="s">
        <v>263</v>
      </c>
      <c r="D125" s="8" t="s">
        <v>264</v>
      </c>
      <c r="E125" t="s">
        <v>66</v>
      </c>
      <c r="F125" t="s">
        <v>270</v>
      </c>
      <c r="G125" s="2" t="d">
        <v>2024-02-16</v>
      </c>
      <c r="H125" s="2" t="d">
        <v>2024-02-16</v>
      </c>
      <c r="I125">
        <v>2023</v>
      </c>
      <c r="J125" t="s">
        <v>65</v>
      </c>
      <c r="K125">
        <v>4</v>
      </c>
      <c r="L125" s="2" t="d">
        <v>2023-10-01</v>
      </c>
      <c r="M125" s="2" t="d">
        <v>2023-12-31</v>
      </c>
      <c r="N125" t="s">
        <v>467</v>
      </c>
      <c r="O125" t="s">
        <v>467</v>
      </c>
      <c r="P125">
        <v>2023</v>
      </c>
      <c r="Q125" t="s">
        <v>65</v>
      </c>
      <c r="R125" t="s">
        <v>59</v>
      </c>
      <c r="S125" t="s">
        <v>271</v>
      </c>
      <c r="T125" t="s">
        <v>61</v>
      </c>
      <c r="U125">
        <v>20532000000</v>
      </c>
      <c r="V125">
        <v>15780000000</v>
      </c>
      <c r="W125">
        <v>2165000000</v>
      </c>
      <c r="X125">
        <v>0</v>
      </c>
      <c r="Y125">
        <v>47000000</v>
      </c>
      <c r="Z125">
        <v>1614000000</v>
      </c>
      <c r="AA125">
        <v>43939000000</v>
      </c>
      <c r="AB125">
        <v>1008000000</v>
      </c>
      <c r="AC125">
        <v>51380000000</v>
      </c>
      <c r="AD125">
        <v>834000000</v>
      </c>
      <c r="AE125">
        <v>161000000</v>
      </c>
      <c r="AF125">
        <v>0</v>
      </c>
      <c r="AG125">
        <v>1296000000</v>
      </c>
      <c r="AH125">
        <v>-704000000</v>
      </c>
      <c r="AI125">
        <v>1158000000</v>
      </c>
      <c r="AJ125">
        <v>-288000000</v>
      </c>
      <c r="AK125">
        <v>9047000000</v>
      </c>
      <c r="AL125">
        <v>2478000000</v>
      </c>
      <c r="AM125">
        <v>6663000000</v>
      </c>
      <c r="AN125">
        <v>1567000000</v>
      </c>
      <c r="AO125" s="9">
        <v>113698000000</v>
      </c>
      <c r="AP125">
        <v>0</v>
      </c>
      <c r="AQ125">
        <v>3177200000</v>
      </c>
      <c r="AR125">
        <v>-686000000</v>
      </c>
      <c r="AS125">
        <v>0</v>
      </c>
      <c r="AT125">
        <v>0</v>
      </c>
      <c r="AV125" s="10" t="s">
        <v>474</v>
      </c>
      <c r="AW125">
        <v>13786</v>
      </c>
    </row>
    <row r="126" spans="1:49" x14ac:dyDescent="0.2">
      <c r="A126">
        <v>11</v>
      </c>
      <c r="B126" t="s">
        <v>262</v>
      </c>
      <c r="C126" t="s">
        <v>263</v>
      </c>
      <c r="D126" s="8" t="s">
        <v>264</v>
      </c>
      <c r="E126" t="s">
        <v>55</v>
      </c>
      <c r="F126" t="s">
        <v>272</v>
      </c>
      <c r="G126" s="2" t="d">
        <v>2024-05-09</v>
      </c>
      <c r="H126" s="2" t="d">
        <v>2024-05-09</v>
      </c>
      <c r="I126" s="7">
        <v>2024</v>
      </c>
      <c r="J126" t="s">
        <v>57</v>
      </c>
      <c r="K126">
        <v>5</v>
      </c>
      <c r="L126" s="2" t="d">
        <v>2024-01-01</v>
      </c>
      <c r="M126" s="2" t="d">
        <v>2024-03-31</v>
      </c>
      <c r="N126" t="s">
        <v>468</v>
      </c>
      <c r="O126" t="s">
        <v>468</v>
      </c>
      <c r="P126" s="7">
        <v>2024</v>
      </c>
      <c r="Q126" t="s">
        <v>57</v>
      </c>
      <c r="R126" t="s">
        <v>59</v>
      </c>
      <c r="S126" t="s">
        <v>273</v>
      </c>
      <c r="T126" t="s">
        <v>61</v>
      </c>
      <c r="U126">
        <v>21629000000</v>
      </c>
      <c r="V126">
        <v>16597000000</v>
      </c>
      <c r="W126">
        <v>2380000000</v>
      </c>
      <c r="X126">
        <v>0</v>
      </c>
      <c r="Y126">
        <v>89000000</v>
      </c>
      <c r="Z126">
        <v>1781000000</v>
      </c>
      <c r="AA126">
        <v>43793000000</v>
      </c>
      <c r="AB126">
        <v>1181000000</v>
      </c>
      <c r="AC126">
        <v>52295000000</v>
      </c>
      <c r="AD126">
        <v>751000000</v>
      </c>
      <c r="AE126">
        <v>1946000000</v>
      </c>
      <c r="AF126">
        <v>0</v>
      </c>
      <c r="AG126">
        <v>3772000000</v>
      </c>
      <c r="AH126">
        <v>-795000000</v>
      </c>
      <c r="AI126">
        <v>1254000000</v>
      </c>
      <c r="AJ126">
        <v>-449000000</v>
      </c>
      <c r="AK126">
        <v>9643000000</v>
      </c>
      <c r="AL126">
        <v>2267000000</v>
      </c>
      <c r="AM126">
        <v>7535000000</v>
      </c>
      <c r="AN126">
        <v>1692000000</v>
      </c>
      <c r="AO126" s="9">
        <v>115789000000</v>
      </c>
      <c r="AP126">
        <v>0</v>
      </c>
      <c r="AQ126">
        <v>3390100000</v>
      </c>
      <c r="AR126">
        <v>-728000000</v>
      </c>
      <c r="AS126">
        <v>0</v>
      </c>
      <c r="AT126">
        <v>0</v>
      </c>
      <c r="AV126" s="10" t="s">
        <v>474</v>
      </c>
      <c r="AW126">
        <v>13786</v>
      </c>
    </row>
    <row r="127" spans="1:49" x14ac:dyDescent="0.2">
      <c r="A127">
        <v>11</v>
      </c>
      <c r="B127" t="s">
        <v>262</v>
      </c>
      <c r="C127" t="s">
        <v>263</v>
      </c>
      <c r="D127" s="8" t="s">
        <v>264</v>
      </c>
      <c r="E127" t="s">
        <v>55</v>
      </c>
      <c r="F127" t="s">
        <v>274</v>
      </c>
      <c r="G127" s="2" t="d">
        <v>2024-08-08</v>
      </c>
      <c r="H127" s="2" t="d">
        <v>2024-08-08</v>
      </c>
      <c r="I127" s="7">
        <v>2024</v>
      </c>
      <c r="J127" t="s">
        <v>58</v>
      </c>
      <c r="K127">
        <v>6</v>
      </c>
      <c r="L127" s="2" t="d">
        <v>2024-04-01</v>
      </c>
      <c r="M127" s="2" t="d">
        <v>2024-06-30</v>
      </c>
      <c r="N127" t="s">
        <v>467</v>
      </c>
      <c r="O127" t="s">
        <v>467</v>
      </c>
      <c r="P127" s="7">
        <v>2024</v>
      </c>
      <c r="Q127" t="s">
        <v>58</v>
      </c>
      <c r="R127" t="s">
        <v>59</v>
      </c>
      <c r="S127" t="s">
        <v>273</v>
      </c>
      <c r="T127" t="s">
        <v>61</v>
      </c>
      <c r="U127">
        <v>20729000000</v>
      </c>
      <c r="V127">
        <v>15609000000</v>
      </c>
      <c r="W127">
        <v>2298000000</v>
      </c>
      <c r="X127">
        <v>0</v>
      </c>
      <c r="Y127">
        <v>227000000</v>
      </c>
      <c r="Z127">
        <v>2219000000</v>
      </c>
      <c r="AA127">
        <v>45472000000</v>
      </c>
      <c r="AB127">
        <v>257000000</v>
      </c>
      <c r="AC127">
        <v>57359000000</v>
      </c>
      <c r="AD127">
        <v>816000000</v>
      </c>
      <c r="AE127">
        <v>650000000</v>
      </c>
      <c r="AF127">
        <v>0</v>
      </c>
      <c r="AG127">
        <v>2270000000</v>
      </c>
      <c r="AH127">
        <v>-811000000</v>
      </c>
      <c r="AI127">
        <v>1213000000</v>
      </c>
      <c r="AJ127">
        <v>-39000000</v>
      </c>
      <c r="AK127">
        <v>9540000000</v>
      </c>
      <c r="AL127">
        <v>2624000000</v>
      </c>
      <c r="AM127">
        <v>7467000000</v>
      </c>
      <c r="AN127">
        <v>1992000000</v>
      </c>
      <c r="AO127" s="9">
        <v>121339000000</v>
      </c>
      <c r="AP127">
        <v>0</v>
      </c>
      <c r="AQ127">
        <v>3394900000</v>
      </c>
      <c r="AR127">
        <v>-762000000</v>
      </c>
      <c r="AS127">
        <v>0</v>
      </c>
      <c r="AT127">
        <v>0</v>
      </c>
      <c r="AV127" s="10" t="s">
        <v>474</v>
      </c>
      <c r="AW127">
        <v>13786</v>
      </c>
    </row>
    <row r="128" spans="1:49" x14ac:dyDescent="0.2">
      <c r="A128">
        <v>11</v>
      </c>
      <c r="B128" t="s">
        <v>262</v>
      </c>
      <c r="C128" t="s">
        <v>263</v>
      </c>
      <c r="D128" s="8" t="s">
        <v>264</v>
      </c>
      <c r="E128" t="s">
        <v>55</v>
      </c>
      <c r="F128" t="s">
        <v>275</v>
      </c>
      <c r="G128" s="2" t="d">
        <v>2024-11-07</v>
      </c>
      <c r="H128" s="2" t="d">
        <v>2024-11-07</v>
      </c>
      <c r="I128" s="7">
        <v>2024</v>
      </c>
      <c r="J128" t="s">
        <v>63</v>
      </c>
      <c r="K128">
        <v>7</v>
      </c>
      <c r="L128" s="2" t="d">
        <v>2024-07-01</v>
      </c>
      <c r="M128" s="2" t="d">
        <v>2024-09-30</v>
      </c>
      <c r="N128" t="s">
        <v>467</v>
      </c>
      <c r="O128" t="s">
        <v>467</v>
      </c>
      <c r="P128" s="7">
        <v>2024</v>
      </c>
      <c r="Q128" t="s">
        <v>63</v>
      </c>
      <c r="R128" t="s">
        <v>59</v>
      </c>
      <c r="S128" t="s">
        <v>276</v>
      </c>
      <c r="T128" t="s">
        <v>61</v>
      </c>
      <c r="U128">
        <v>20772000000</v>
      </c>
      <c r="V128">
        <v>15612000000</v>
      </c>
      <c r="W128">
        <v>2181000000</v>
      </c>
      <c r="X128">
        <v>0</v>
      </c>
      <c r="Y128">
        <v>89000000</v>
      </c>
      <c r="Z128">
        <v>1523000000</v>
      </c>
      <c r="AA128">
        <v>46180000000</v>
      </c>
      <c r="AB128">
        <v>263000000</v>
      </c>
      <c r="AC128">
        <v>58995000000</v>
      </c>
      <c r="AD128">
        <v>807000000</v>
      </c>
      <c r="AE128">
        <v>299000000</v>
      </c>
      <c r="AF128">
        <v>0</v>
      </c>
      <c r="AG128">
        <v>2874000000</v>
      </c>
      <c r="AH128">
        <v>-1086000000</v>
      </c>
      <c r="AI128">
        <v>1324000000</v>
      </c>
      <c r="AJ128">
        <v>-1979000000</v>
      </c>
      <c r="AK128">
        <v>9831000000</v>
      </c>
      <c r="AL128">
        <v>2502000000</v>
      </c>
      <c r="AM128">
        <v>7327000000</v>
      </c>
      <c r="AN128">
        <v>1434000000</v>
      </c>
      <c r="AO128" s="9">
        <v>124429000000</v>
      </c>
      <c r="AP128">
        <v>0</v>
      </c>
      <c r="AQ128">
        <v>3441200000</v>
      </c>
      <c r="AR128">
        <v>-828000000</v>
      </c>
      <c r="AS128">
        <v>0</v>
      </c>
      <c r="AT128">
        <v>0</v>
      </c>
      <c r="AV128" s="10" t="s">
        <v>474</v>
      </c>
      <c r="AW128">
        <v>13786</v>
      </c>
    </row>
    <row r="129" spans="1:49" x14ac:dyDescent="0.2">
      <c r="A129">
        <v>11</v>
      </c>
      <c r="B129" t="s">
        <v>262</v>
      </c>
      <c r="C129" t="s">
        <v>263</v>
      </c>
      <c r="D129" s="8" t="s">
        <v>264</v>
      </c>
      <c r="E129" t="s">
        <v>66</v>
      </c>
      <c r="F129" t="s">
        <v>277</v>
      </c>
      <c r="G129" s="2" t="d">
        <v>2025-02-14</v>
      </c>
      <c r="H129" s="2" t="d">
        <v>2025-02-14</v>
      </c>
      <c r="I129" s="7">
        <v>2024</v>
      </c>
      <c r="J129" t="s">
        <v>65</v>
      </c>
      <c r="K129">
        <v>8</v>
      </c>
      <c r="L129" s="2" t="d">
        <v>2024-10-01</v>
      </c>
      <c r="M129" s="2" t="d">
        <v>2024-12-31</v>
      </c>
      <c r="N129" t="s">
        <v>467</v>
      </c>
      <c r="O129" t="s">
        <v>467</v>
      </c>
      <c r="P129" s="7">
        <v>2024</v>
      </c>
      <c r="Q129" t="s">
        <v>65</v>
      </c>
      <c r="R129" t="s">
        <v>59</v>
      </c>
      <c r="S129" t="s">
        <v>278</v>
      </c>
      <c r="T129" t="s">
        <v>61</v>
      </c>
      <c r="U129">
        <v>19541000000</v>
      </c>
      <c r="V129">
        <v>14157000000</v>
      </c>
      <c r="W129">
        <v>2279000000</v>
      </c>
      <c r="X129">
        <v>0</v>
      </c>
      <c r="Y129">
        <v>136000000</v>
      </c>
      <c r="Z129">
        <v>1583000000</v>
      </c>
      <c r="AA129">
        <v>46017000000</v>
      </c>
      <c r="AB129">
        <v>8000000</v>
      </c>
      <c r="AC129">
        <v>59752000000</v>
      </c>
      <c r="AD129">
        <v>797000000</v>
      </c>
      <c r="AE129">
        <v>312000000</v>
      </c>
      <c r="AF129">
        <v>0</v>
      </c>
      <c r="AG129">
        <v>2590000000</v>
      </c>
      <c r="AH129">
        <v>-1472000000</v>
      </c>
      <c r="AI129">
        <v>1374000000</v>
      </c>
      <c r="AJ129">
        <v>-41000000</v>
      </c>
      <c r="AK129">
        <v>10191000000</v>
      </c>
      <c r="AL129">
        <v>3070000000</v>
      </c>
      <c r="AM129">
        <v>8306000000</v>
      </c>
      <c r="AN129">
        <v>1447000000</v>
      </c>
      <c r="AO129" s="9">
        <v>125380000000</v>
      </c>
      <c r="AP129">
        <v>0</v>
      </c>
      <c r="AQ129">
        <v>3420500000</v>
      </c>
      <c r="AR129">
        <v>-807000000</v>
      </c>
      <c r="AS129">
        <v>0</v>
      </c>
      <c r="AT129">
        <v>0</v>
      </c>
      <c r="AV129" s="10" t="s">
        <v>474</v>
      </c>
      <c r="AW129">
        <v>16248</v>
      </c>
    </row>
    <row r="130" spans="1:49" x14ac:dyDescent="0.2">
      <c r="A130">
        <v>11</v>
      </c>
      <c r="B130" t="s">
        <v>262</v>
      </c>
      <c r="C130" t="s">
        <v>263</v>
      </c>
      <c r="D130" s="8" t="s">
        <v>264</v>
      </c>
      <c r="E130" t="s">
        <v>55</v>
      </c>
      <c r="F130" t="s">
        <v>279</v>
      </c>
      <c r="G130" s="2" t="d">
        <v>2025-05-08</v>
      </c>
      <c r="H130" s="2" t="d">
        <v>2025-05-08</v>
      </c>
      <c r="I130" s="7">
        <v>2025</v>
      </c>
      <c r="J130" t="s">
        <v>57</v>
      </c>
      <c r="K130">
        <v>9</v>
      </c>
      <c r="L130" s="2" t="d">
        <v>2025-01-01</v>
      </c>
      <c r="M130" s="2" t="d">
        <v>2025-03-31</v>
      </c>
      <c r="N130" t="s">
        <v>468</v>
      </c>
      <c r="O130" t="s">
        <v>468</v>
      </c>
      <c r="P130" s="7">
        <v>2025</v>
      </c>
      <c r="Q130" t="s">
        <v>57</v>
      </c>
      <c r="R130" t="s">
        <v>59</v>
      </c>
      <c r="S130" t="s">
        <v>280</v>
      </c>
      <c r="T130" t="s">
        <v>61</v>
      </c>
      <c r="U130">
        <v>21020000000</v>
      </c>
      <c r="V130">
        <v>15571000000</v>
      </c>
      <c r="W130">
        <v>2491000000</v>
      </c>
      <c r="X130">
        <v>0</v>
      </c>
      <c r="Y130">
        <v>41000000</v>
      </c>
      <c r="Z130">
        <v>1761000000</v>
      </c>
      <c r="AA130">
        <v>46162000000</v>
      </c>
      <c r="AB130">
        <v>7000000</v>
      </c>
      <c r="AC130">
        <v>59782000000</v>
      </c>
      <c r="AD130">
        <v>818000000</v>
      </c>
      <c r="AE130">
        <v>11302000000</v>
      </c>
      <c r="AF130">
        <v>0</v>
      </c>
      <c r="AG130">
        <v>2917000000</v>
      </c>
      <c r="AH130">
        <v>-1224000000</v>
      </c>
      <c r="AI130">
        <v>1367000000</v>
      </c>
      <c r="AJ130">
        <v>-12000000</v>
      </c>
      <c r="AK130">
        <v>11302000000</v>
      </c>
      <c r="AL130">
        <v>2787000000</v>
      </c>
      <c r="AM130">
        <v>8991000000</v>
      </c>
      <c r="AN130">
        <v>1720000000</v>
      </c>
      <c r="AO130" s="9">
        <v>126425000000</v>
      </c>
      <c r="AP130">
        <v>0</v>
      </c>
      <c r="AQ130">
        <v>3452900000</v>
      </c>
      <c r="AR130">
        <v>-809000000</v>
      </c>
      <c r="AS130">
        <v>0</v>
      </c>
      <c r="AT130">
        <v>0</v>
      </c>
      <c r="AV130" s="10" t="s">
        <v>474</v>
      </c>
      <c r="AW130" s="7">
        <v>16248</v>
      </c>
    </row>
    <row r="131" spans="1:49" x14ac:dyDescent="0.2">
      <c r="A131">
        <v>11</v>
      </c>
      <c r="B131" t="s">
        <v>262</v>
      </c>
      <c r="C131" t="s">
        <v>263</v>
      </c>
      <c r="D131" s="8" t="s">
        <v>264</v>
      </c>
      <c r="E131" t="s">
        <v>55</v>
      </c>
      <c r="F131" t="s">
        <v>281</v>
      </c>
      <c r="G131" s="2" t="d">
        <v>2025-08-07</v>
      </c>
      <c r="H131" s="2" t="d">
        <v>2025-08-07</v>
      </c>
      <c r="I131" s="7">
        <v>2025</v>
      </c>
      <c r="J131" t="s">
        <v>58</v>
      </c>
      <c r="K131">
        <v>10</v>
      </c>
      <c r="L131" s="2" t="d">
        <v>2025-04-01</v>
      </c>
      <c r="M131" s="2" t="d">
        <v>2025-06-30</v>
      </c>
      <c r="N131" t="s">
        <v>467</v>
      </c>
      <c r="O131" t="s">
        <v>467</v>
      </c>
      <c r="P131" s="7">
        <v>2025</v>
      </c>
      <c r="Q131" t="s">
        <v>58</v>
      </c>
      <c r="R131" t="s">
        <v>59</v>
      </c>
      <c r="S131" t="s">
        <v>280</v>
      </c>
      <c r="T131" t="s">
        <v>61</v>
      </c>
      <c r="U131">
        <v>19242000000</v>
      </c>
      <c r="V131">
        <v>13946000000</v>
      </c>
      <c r="W131">
        <v>2309000000</v>
      </c>
      <c r="X131">
        <v>0</v>
      </c>
      <c r="Y131">
        <v>79000000</v>
      </c>
      <c r="Z131">
        <v>1537000000</v>
      </c>
      <c r="AA131">
        <v>45534000000</v>
      </c>
      <c r="AB131">
        <v>6000000</v>
      </c>
      <c r="AC131">
        <v>60749000000</v>
      </c>
      <c r="AD131">
        <v>821000000</v>
      </c>
      <c r="AE131">
        <v>242000000</v>
      </c>
      <c r="AF131">
        <v>0</v>
      </c>
      <c r="AG131">
        <v>2762000000</v>
      </c>
      <c r="AH131">
        <v>-1659000000</v>
      </c>
      <c r="AI131">
        <v>1384000000</v>
      </c>
      <c r="AJ131">
        <v>-92000000</v>
      </c>
      <c r="AK131">
        <v>9859000000</v>
      </c>
      <c r="AL131">
        <v>2795000000</v>
      </c>
      <c r="AM131">
        <v>7513000000</v>
      </c>
      <c r="AN131">
        <v>1458000000</v>
      </c>
      <c r="AO131" s="9">
        <v>125022000000</v>
      </c>
      <c r="AP131">
        <v>0</v>
      </c>
      <c r="AQ131">
        <v>3453500000</v>
      </c>
      <c r="AR131">
        <v>-865000000</v>
      </c>
      <c r="AS131">
        <v>0</v>
      </c>
      <c r="AT131">
        <v>0</v>
      </c>
      <c r="AV131" s="10" t="s">
        <v>474</v>
      </c>
      <c r="AW131" s="7">
        <v>16248</v>
      </c>
    </row>
    <row r="132" spans="1:49" x14ac:dyDescent="0.2">
      <c r="A132">
        <v>11</v>
      </c>
      <c r="B132" t="s">
        <v>262</v>
      </c>
      <c r="C132" t="s">
        <v>263</v>
      </c>
      <c r="D132" s="8" t="s">
        <v>264</v>
      </c>
      <c r="E132" t="s">
        <v>55</v>
      </c>
      <c r="F132" t="s">
        <v>282</v>
      </c>
      <c r="G132" s="2" t="d">
        <v>2025-11-06</v>
      </c>
      <c r="H132" s="2" t="d">
        <v>2025-11-06</v>
      </c>
      <c r="I132" s="7">
        <v>2025</v>
      </c>
      <c r="J132" t="s">
        <v>63</v>
      </c>
      <c r="K132">
        <v>11</v>
      </c>
      <c r="L132" s="2" t="d">
        <v>2025-07-01</v>
      </c>
      <c r="M132" s="2" t="d">
        <v>2025-09-30</v>
      </c>
      <c r="N132" t="s">
        <v>467</v>
      </c>
      <c r="O132" t="s">
        <v>467</v>
      </c>
      <c r="P132" s="7">
        <v>2025</v>
      </c>
      <c r="Q132" t="s">
        <v>63</v>
      </c>
      <c r="R132" t="s">
        <v>59</v>
      </c>
      <c r="S132" t="s">
        <v>280</v>
      </c>
      <c r="T132" t="s">
        <v>61</v>
      </c>
      <c r="U132">
        <v>19954000000</v>
      </c>
      <c r="V132">
        <v>14562000000</v>
      </c>
      <c r="W132">
        <v>2151000000</v>
      </c>
      <c r="X132">
        <v>0</v>
      </c>
      <c r="Y132">
        <v>87000000</v>
      </c>
      <c r="Z132">
        <v>1379000000</v>
      </c>
      <c r="AA132">
        <v>45344000000</v>
      </c>
      <c r="AB132">
        <v>8000000</v>
      </c>
      <c r="AC132">
        <v>63096000000</v>
      </c>
      <c r="AD132">
        <v>870000000</v>
      </c>
      <c r="AE132">
        <v>3574000000</v>
      </c>
      <c r="AF132">
        <v>0</v>
      </c>
      <c r="AG132">
        <v>2572000000</v>
      </c>
      <c r="AH132">
        <v>-1297000000</v>
      </c>
      <c r="AI132">
        <v>1440000000</v>
      </c>
      <c r="AJ132">
        <v>-85000000</v>
      </c>
      <c r="AK132">
        <v>9886000000</v>
      </c>
      <c r="AL132">
        <v>3269000000</v>
      </c>
      <c r="AM132">
        <v>7299000000</v>
      </c>
      <c r="AN132">
        <v>1292000000</v>
      </c>
      <c r="AO132" s="9">
        <v>129331000000</v>
      </c>
      <c r="AP132">
        <v>0</v>
      </c>
      <c r="AQ132">
        <v>3456100000</v>
      </c>
      <c r="AR132">
        <v>-890000000</v>
      </c>
      <c r="AS132">
        <v>0</v>
      </c>
      <c r="AT132">
        <v>0</v>
      </c>
      <c r="AV132" s="10" t="s">
        <v>474</v>
      </c>
      <c r="AW132" s="7">
        <v>16248</v>
      </c>
    </row>
    <row r="133" spans="1:49" x14ac:dyDescent="0.2">
      <c r="A133">
        <v>11</v>
      </c>
      <c r="B133" t="s">
        <v>262</v>
      </c>
      <c r="C133" t="s">
        <v>263</v>
      </c>
      <c r="D133" s="8" t="s">
        <v>264</v>
      </c>
      <c r="E133" t="s">
        <v>66</v>
      </c>
      <c r="F133" t="s">
        <v>283</v>
      </c>
      <c r="G133" s="2" t="d">
        <v>2026-02-19</v>
      </c>
      <c r="H133" s="2" t="d">
        <v>2026-02-19</v>
      </c>
      <c r="I133" s="7">
        <v>2025</v>
      </c>
      <c r="J133" t="s">
        <v>65</v>
      </c>
      <c r="K133">
        <v>12</v>
      </c>
      <c r="L133" s="2" t="d">
        <v>2025-10-01</v>
      </c>
      <c r="M133" s="2" t="d">
        <v>2025-12-31</v>
      </c>
      <c r="N133" t="s">
        <v>467</v>
      </c>
      <c r="O133" t="s">
        <v>467</v>
      </c>
      <c r="P133" s="7">
        <v>2025</v>
      </c>
      <c r="Q133" t="s">
        <v>65</v>
      </c>
      <c r="R133" t="s">
        <v>59</v>
      </c>
      <c r="S133" t="s">
        <v>284</v>
      </c>
      <c r="T133" t="s">
        <v>61</v>
      </c>
      <c r="U133">
        <v>25320000000</v>
      </c>
      <c r="V133">
        <v>19416000000</v>
      </c>
      <c r="W133">
        <v>2076000000</v>
      </c>
      <c r="X133">
        <v>0</v>
      </c>
      <c r="Y133">
        <v>143000000</v>
      </c>
      <c r="Z133">
        <v>1381000000</v>
      </c>
      <c r="AA133">
        <v>49010000000</v>
      </c>
      <c r="AB133">
        <v>25000000</v>
      </c>
      <c r="AC133">
        <v>68308000000</v>
      </c>
      <c r="AD133">
        <v>1760000000</v>
      </c>
      <c r="AE133">
        <v>1272000000</v>
      </c>
      <c r="AF133">
        <v>0</v>
      </c>
      <c r="AG133">
        <v>1898000000</v>
      </c>
      <c r="AH133">
        <v>-2123000000</v>
      </c>
      <c r="AI133">
        <v>1491000000</v>
      </c>
      <c r="AJ133">
        <v>-2072000000</v>
      </c>
      <c r="AK133">
        <v>11275000000</v>
      </c>
      <c r="AL133">
        <v>4770000000</v>
      </c>
      <c r="AM133">
        <v>9469000000</v>
      </c>
      <c r="AN133">
        <v>1238000000</v>
      </c>
      <c r="AO133" s="9">
        <v>141286000000</v>
      </c>
      <c r="AP133">
        <v>0</v>
      </c>
      <c r="AQ133">
        <v>3449500000</v>
      </c>
      <c r="AR133">
        <v>-910000000</v>
      </c>
      <c r="AS133">
        <v>0</v>
      </c>
      <c r="AT133">
        <v>0</v>
      </c>
      <c r="AV133" s="10" t="s">
        <v>474</v>
      </c>
      <c r="AW133">
        <v>22311</v>
      </c>
    </row>
    <row r="134" spans="1:49" x14ac:dyDescent="0.2">
      <c r="A134">
        <v>12</v>
      </c>
      <c r="B134" t="s">
        <v>287</v>
      </c>
      <c r="C134" t="s">
        <v>285</v>
      </c>
      <c r="D134" s="8" t="s">
        <v>286</v>
      </c>
      <c r="E134" t="s">
        <v>55</v>
      </c>
      <c r="F134" t="s">
        <v>288</v>
      </c>
      <c r="G134" s="2" t="d">
        <v>2023-05-09</v>
      </c>
      <c r="H134" s="2" t="d">
        <v>2023-05-09</v>
      </c>
      <c r="I134">
        <v>2023</v>
      </c>
      <c r="J134" t="s">
        <v>58</v>
      </c>
      <c r="K134">
        <v>1</v>
      </c>
      <c r="L134" s="2" t="d">
        <v>2023-01-01</v>
      </c>
      <c r="M134" s="2" t="d">
        <v>2023-04-01</v>
      </c>
      <c r="N134" t="s">
        <v>467</v>
      </c>
      <c r="O134" t="s">
        <v>467</v>
      </c>
      <c r="P134">
        <v>2023</v>
      </c>
      <c r="Q134" t="s">
        <v>58</v>
      </c>
      <c r="R134" t="s">
        <v>59</v>
      </c>
      <c r="S134" t="s">
        <v>289</v>
      </c>
      <c r="T134" t="s">
        <v>61</v>
      </c>
      <c r="U134">
        <v>1592000000</v>
      </c>
      <c r="V134">
        <v>663000000</v>
      </c>
      <c r="W134">
        <v>397000000</v>
      </c>
      <c r="X134">
        <v>0</v>
      </c>
      <c r="Y134">
        <v>93000000</v>
      </c>
      <c r="Z134">
        <v>397000000</v>
      </c>
      <c r="AA134">
        <v>-2893000000</v>
      </c>
      <c r="AB134">
        <v>1512000000</v>
      </c>
      <c r="AC134">
        <v>19349000000</v>
      </c>
      <c r="AD134">
        <v>0</v>
      </c>
      <c r="AE134">
        <v>3418000000</v>
      </c>
      <c r="AF134">
        <v>0</v>
      </c>
      <c r="AG134">
        <v>130000000</v>
      </c>
      <c r="AH134">
        <v>-35000000</v>
      </c>
      <c r="AI134">
        <v>70000000</v>
      </c>
      <c r="AJ134">
        <v>0</v>
      </c>
      <c r="AK134">
        <v>1018000000</v>
      </c>
      <c r="AL134">
        <v>1529000000</v>
      </c>
      <c r="AM134">
        <v>292000000</v>
      </c>
      <c r="AN134">
        <v>304000000</v>
      </c>
      <c r="AO134" s="9">
        <v>20008000000</v>
      </c>
      <c r="AP134">
        <v>48000000</v>
      </c>
      <c r="AQ134">
        <v>57100000</v>
      </c>
      <c r="AR134">
        <v>295000000</v>
      </c>
      <c r="AS134">
        <v>0</v>
      </c>
      <c r="AT134">
        <v>0</v>
      </c>
      <c r="AV134" s="10" t="s">
        <v>474</v>
      </c>
      <c r="AW134" s="7">
        <v>14400</v>
      </c>
    </row>
    <row r="135" spans="1:49" x14ac:dyDescent="0.2">
      <c r="A135">
        <v>12</v>
      </c>
      <c r="B135" t="s">
        <v>287</v>
      </c>
      <c r="C135" t="s">
        <v>285</v>
      </c>
      <c r="D135" s="8" t="s">
        <v>286</v>
      </c>
      <c r="E135" t="s">
        <v>55</v>
      </c>
      <c r="F135" t="s">
        <v>290</v>
      </c>
      <c r="G135" s="2" t="d">
        <v>2023-08-08</v>
      </c>
      <c r="H135" s="2" t="d">
        <v>2023-08-08</v>
      </c>
      <c r="I135">
        <v>2023</v>
      </c>
      <c r="J135" t="s">
        <v>63</v>
      </c>
      <c r="K135">
        <v>2</v>
      </c>
      <c r="L135" s="2" t="d">
        <v>2023-04-02</v>
      </c>
      <c r="M135" s="2" t="d">
        <v>2023-07-01</v>
      </c>
      <c r="N135" t="s">
        <v>467</v>
      </c>
      <c r="O135" t="s">
        <v>467</v>
      </c>
      <c r="P135">
        <v>2023</v>
      </c>
      <c r="Q135" t="s">
        <v>63</v>
      </c>
      <c r="R135" t="s">
        <v>59</v>
      </c>
      <c r="S135" t="s">
        <v>289</v>
      </c>
      <c r="T135" t="s">
        <v>61</v>
      </c>
      <c r="U135">
        <v>1744000000</v>
      </c>
      <c r="V135">
        <v>715000000</v>
      </c>
      <c r="W135">
        <v>783000000</v>
      </c>
      <c r="X135">
        <v>0</v>
      </c>
      <c r="Y135">
        <v>117000000</v>
      </c>
      <c r="Z135">
        <v>469000000</v>
      </c>
      <c r="AA135">
        <v>-2387000000</v>
      </c>
      <c r="AB135">
        <v>417000000</v>
      </c>
      <c r="AC135">
        <v>19348000000</v>
      </c>
      <c r="AD135">
        <v>0</v>
      </c>
      <c r="AE135">
        <v>3071000000</v>
      </c>
      <c r="AF135">
        <v>0</v>
      </c>
      <c r="AG135">
        <v>406000000</v>
      </c>
      <c r="AH135">
        <v>-36000000</v>
      </c>
      <c r="AI135">
        <v>12000000</v>
      </c>
      <c r="AJ135">
        <v>-740000000</v>
      </c>
      <c r="AK135">
        <v>1159000000</v>
      </c>
      <c r="AL135">
        <v>1603000000</v>
      </c>
      <c r="AM135">
        <v>292000000</v>
      </c>
      <c r="AN135">
        <v>352000000</v>
      </c>
      <c r="AO135" s="9">
        <v>19555000000</v>
      </c>
      <c r="AP135">
        <v>54000000</v>
      </c>
      <c r="AQ135">
        <v>57200000</v>
      </c>
      <c r="AR135">
        <v>291000000</v>
      </c>
      <c r="AS135">
        <v>0</v>
      </c>
      <c r="AT135">
        <v>0</v>
      </c>
      <c r="AV135" s="10" t="s">
        <v>474</v>
      </c>
      <c r="AW135" s="7">
        <v>14400</v>
      </c>
    </row>
    <row r="136" spans="1:49" x14ac:dyDescent="0.2">
      <c r="A136">
        <v>12</v>
      </c>
      <c r="B136" t="s">
        <v>287</v>
      </c>
      <c r="C136" t="s">
        <v>285</v>
      </c>
      <c r="D136" s="8" t="s">
        <v>286</v>
      </c>
      <c r="E136" t="s">
        <v>66</v>
      </c>
      <c r="F136" t="s">
        <v>291</v>
      </c>
      <c r="G136" s="2" t="d">
        <v>2023-11-09</v>
      </c>
      <c r="H136" s="2" t="d">
        <v>2023-11-09</v>
      </c>
      <c r="I136">
        <v>2023</v>
      </c>
      <c r="J136" t="s">
        <v>65</v>
      </c>
      <c r="K136">
        <v>3</v>
      </c>
      <c r="L136" s="2" t="d">
        <v>2023-07-02</v>
      </c>
      <c r="M136" s="2" t="d">
        <v>2023-09-30</v>
      </c>
      <c r="N136" t="s">
        <v>467</v>
      </c>
      <c r="O136" t="s">
        <v>467</v>
      </c>
      <c r="P136">
        <v>2023</v>
      </c>
      <c r="Q136" t="s">
        <v>65</v>
      </c>
      <c r="R136" t="s">
        <v>59</v>
      </c>
      <c r="S136" t="s">
        <v>289</v>
      </c>
      <c r="T136" t="s">
        <v>61</v>
      </c>
      <c r="U136">
        <v>1852000000</v>
      </c>
      <c r="V136">
        <v>761000000</v>
      </c>
      <c r="W136">
        <v>1153000000</v>
      </c>
      <c r="X136">
        <v>0</v>
      </c>
      <c r="Y136">
        <v>135000000</v>
      </c>
      <c r="Z136">
        <v>549000000</v>
      </c>
      <c r="AA136">
        <v>-1978000000</v>
      </c>
      <c r="AB136">
        <v>420000000</v>
      </c>
      <c r="AC136">
        <v>19330000000</v>
      </c>
      <c r="AD136">
        <v>0</v>
      </c>
      <c r="AE136">
        <v>3472000000</v>
      </c>
      <c r="AF136">
        <v>0</v>
      </c>
      <c r="AG136">
        <v>462000000</v>
      </c>
      <c r="AH136">
        <v>-37000000</v>
      </c>
      <c r="AI136">
        <v>133000000</v>
      </c>
      <c r="AJ136">
        <v>-12000000</v>
      </c>
      <c r="AK136">
        <v>1230000000</v>
      </c>
      <c r="AL136">
        <v>1616000000</v>
      </c>
      <c r="AM136">
        <v>305000000</v>
      </c>
      <c r="AN136">
        <v>414000000</v>
      </c>
      <c r="AO136" s="9">
        <v>19970000000</v>
      </c>
      <c r="AP136">
        <v>26000000</v>
      </c>
      <c r="AQ136">
        <v>57200000</v>
      </c>
      <c r="AR136">
        <v>292000000</v>
      </c>
      <c r="AS136">
        <v>0</v>
      </c>
      <c r="AT136">
        <v>0</v>
      </c>
      <c r="AV136" s="10" t="s">
        <v>474</v>
      </c>
      <c r="AW136">
        <v>15500</v>
      </c>
    </row>
    <row r="137" spans="1:49" x14ac:dyDescent="0.2">
      <c r="A137">
        <v>12</v>
      </c>
      <c r="B137" t="s">
        <v>287</v>
      </c>
      <c r="C137" t="s">
        <v>285</v>
      </c>
      <c r="D137" s="8" t="s">
        <v>286</v>
      </c>
      <c r="E137" t="s">
        <v>55</v>
      </c>
      <c r="F137" t="s">
        <v>292</v>
      </c>
      <c r="G137" s="2" t="d">
        <v>2024-02-08</v>
      </c>
      <c r="H137" s="2" t="d">
        <v>2024-02-08</v>
      </c>
      <c r="I137">
        <v>2024</v>
      </c>
      <c r="J137" t="s">
        <v>57</v>
      </c>
      <c r="K137">
        <v>4</v>
      </c>
      <c r="L137" s="2" t="d">
        <v>2023-10-01</v>
      </c>
      <c r="M137" s="2" t="d">
        <v>2023-12-30</v>
      </c>
      <c r="N137" t="s">
        <v>468</v>
      </c>
      <c r="O137" t="s">
        <v>468</v>
      </c>
      <c r="P137">
        <v>2023</v>
      </c>
      <c r="Q137" t="s">
        <v>57</v>
      </c>
      <c r="R137" t="s">
        <v>59</v>
      </c>
      <c r="S137" t="s">
        <v>289</v>
      </c>
      <c r="T137" t="s">
        <v>61</v>
      </c>
      <c r="U137">
        <v>1789000000</v>
      </c>
      <c r="V137">
        <v>747000000</v>
      </c>
      <c r="W137">
        <v>787000000</v>
      </c>
      <c r="X137">
        <v>0</v>
      </c>
      <c r="Y137">
        <v>106000000</v>
      </c>
      <c r="Z137">
        <v>488000000</v>
      </c>
      <c r="AA137">
        <v>-3506000000</v>
      </c>
      <c r="AB137">
        <v>530000000</v>
      </c>
      <c r="AC137">
        <v>21346000000</v>
      </c>
      <c r="AD137">
        <v>0</v>
      </c>
      <c r="AE137">
        <v>4135000000</v>
      </c>
      <c r="AF137">
        <v>0</v>
      </c>
      <c r="AG137">
        <v>636000000</v>
      </c>
      <c r="AH137">
        <v>-36000000</v>
      </c>
      <c r="AI137">
        <v>78000000</v>
      </c>
      <c r="AJ137">
        <v>-14000000</v>
      </c>
      <c r="AK137">
        <v>1145000000</v>
      </c>
      <c r="AL137">
        <v>1708000000</v>
      </c>
      <c r="AM137">
        <v>288000000</v>
      </c>
      <c r="AN137">
        <v>382000000</v>
      </c>
      <c r="AO137" s="9">
        <v>20685000000</v>
      </c>
      <c r="AP137">
        <v>51000000</v>
      </c>
      <c r="AQ137">
        <v>57700000</v>
      </c>
      <c r="AR137">
        <v>300000000</v>
      </c>
      <c r="AS137">
        <v>0</v>
      </c>
      <c r="AT137">
        <v>0</v>
      </c>
      <c r="AV137" s="10" t="s">
        <v>474</v>
      </c>
      <c r="AW137">
        <v>15500</v>
      </c>
    </row>
    <row r="138" spans="1:49" x14ac:dyDescent="0.2">
      <c r="A138">
        <v>12</v>
      </c>
      <c r="B138" t="s">
        <v>287</v>
      </c>
      <c r="C138" t="s">
        <v>285</v>
      </c>
      <c r="D138" s="8" t="s">
        <v>286</v>
      </c>
      <c r="E138" t="s">
        <v>55</v>
      </c>
      <c r="F138" t="s">
        <v>293</v>
      </c>
      <c r="G138" s="2" t="d">
        <v>2024-05-07</v>
      </c>
      <c r="H138" s="2" t="d">
        <v>2024-05-07</v>
      </c>
      <c r="I138" s="7">
        <v>2024</v>
      </c>
      <c r="J138" t="s">
        <v>58</v>
      </c>
      <c r="K138">
        <v>5</v>
      </c>
      <c r="L138" s="2" t="d">
        <v>2023-12-31</v>
      </c>
      <c r="M138" s="2" t="d">
        <v>2024-03-30</v>
      </c>
      <c r="N138" t="s">
        <v>467</v>
      </c>
      <c r="O138" t="s">
        <v>467</v>
      </c>
      <c r="P138" s="7">
        <v>2024</v>
      </c>
      <c r="Q138" t="s">
        <v>58</v>
      </c>
      <c r="R138" t="s">
        <v>59</v>
      </c>
      <c r="S138" t="s">
        <v>289</v>
      </c>
      <c r="T138" t="s">
        <v>61</v>
      </c>
      <c r="U138">
        <v>1919000000</v>
      </c>
      <c r="V138">
        <v>767000000</v>
      </c>
      <c r="W138">
        <v>867000000</v>
      </c>
      <c r="X138">
        <v>0</v>
      </c>
      <c r="Y138">
        <v>115000000</v>
      </c>
      <c r="Z138">
        <v>519000000</v>
      </c>
      <c r="AA138">
        <v>-3022000000</v>
      </c>
      <c r="AB138">
        <v>1075000000</v>
      </c>
      <c r="AC138">
        <v>21331000000</v>
      </c>
      <c r="AD138">
        <v>0</v>
      </c>
      <c r="AE138">
        <v>4288000000</v>
      </c>
      <c r="AF138">
        <v>0</v>
      </c>
      <c r="AG138">
        <v>229000000</v>
      </c>
      <c r="AH138">
        <v>-48000000</v>
      </c>
      <c r="AI138">
        <v>87000000</v>
      </c>
      <c r="AJ138">
        <v>-73000000</v>
      </c>
      <c r="AK138">
        <v>1201000000</v>
      </c>
      <c r="AL138">
        <v>1753000000</v>
      </c>
      <c r="AM138">
        <v>302000000</v>
      </c>
      <c r="AN138">
        <v>404000000</v>
      </c>
      <c r="AO138" s="9">
        <v>21577000000</v>
      </c>
      <c r="AP138">
        <v>60000000</v>
      </c>
      <c r="AQ138">
        <v>57800000</v>
      </c>
      <c r="AR138">
        <v>326000000</v>
      </c>
      <c r="AS138">
        <v>0</v>
      </c>
      <c r="AT138">
        <v>0</v>
      </c>
      <c r="AV138" s="10" t="s">
        <v>474</v>
      </c>
      <c r="AW138">
        <v>15500</v>
      </c>
    </row>
    <row r="139" spans="1:49" x14ac:dyDescent="0.2">
      <c r="A139">
        <v>12</v>
      </c>
      <c r="B139" t="s">
        <v>287</v>
      </c>
      <c r="C139" t="s">
        <v>285</v>
      </c>
      <c r="D139" s="8" t="s">
        <v>286</v>
      </c>
      <c r="E139" t="s">
        <v>55</v>
      </c>
      <c r="F139" t="s">
        <v>294</v>
      </c>
      <c r="G139" s="2" t="d">
        <v>2024-08-06</v>
      </c>
      <c r="H139" s="2" t="d">
        <v>2024-08-06</v>
      </c>
      <c r="I139" s="7">
        <v>2024</v>
      </c>
      <c r="J139" t="s">
        <v>63</v>
      </c>
      <c r="K139">
        <v>6</v>
      </c>
      <c r="L139" s="2" t="d">
        <v>2024-03-31</v>
      </c>
      <c r="M139" s="2" t="d">
        <v>2024-06-29</v>
      </c>
      <c r="N139" t="s">
        <v>467</v>
      </c>
      <c r="O139" t="s">
        <v>467</v>
      </c>
      <c r="P139" s="7">
        <v>2024</v>
      </c>
      <c r="Q139" t="s">
        <v>63</v>
      </c>
      <c r="R139" t="s">
        <v>59</v>
      </c>
      <c r="S139" t="s">
        <v>289</v>
      </c>
      <c r="T139" t="s">
        <v>61</v>
      </c>
      <c r="U139">
        <v>2046000000</v>
      </c>
      <c r="V139">
        <v>846000000</v>
      </c>
      <c r="W139">
        <v>602000000</v>
      </c>
      <c r="X139">
        <v>0</v>
      </c>
      <c r="Y139">
        <v>141000000</v>
      </c>
      <c r="Z139">
        <v>602000000</v>
      </c>
      <c r="AA139">
        <v>-2510000000</v>
      </c>
      <c r="AB139">
        <v>528000000</v>
      </c>
      <c r="AC139">
        <v>21364000000</v>
      </c>
      <c r="AD139">
        <v>0</v>
      </c>
      <c r="AE139">
        <v>3360000000</v>
      </c>
      <c r="AF139">
        <v>0</v>
      </c>
      <c r="AG139">
        <v>608000000</v>
      </c>
      <c r="AH139">
        <v>-40000000</v>
      </c>
      <c r="AI139">
        <v>69000000</v>
      </c>
      <c r="AJ139">
        <v>-1599000000</v>
      </c>
      <c r="AK139">
        <v>1300000000</v>
      </c>
      <c r="AL139">
        <v>1878000000</v>
      </c>
      <c r="AM139">
        <v>320000000</v>
      </c>
      <c r="AN139">
        <v>461000000</v>
      </c>
      <c r="AO139" s="9">
        <v>21828000000</v>
      </c>
      <c r="AP139">
        <v>47000000</v>
      </c>
      <c r="AQ139">
        <v>57900000</v>
      </c>
      <c r="AR139">
        <v>316000000</v>
      </c>
      <c r="AS139">
        <v>0</v>
      </c>
      <c r="AT139">
        <v>0</v>
      </c>
      <c r="AV139" s="10" t="s">
        <v>474</v>
      </c>
      <c r="AW139">
        <v>15500</v>
      </c>
    </row>
    <row r="140" spans="1:49" x14ac:dyDescent="0.2">
      <c r="A140">
        <v>12</v>
      </c>
      <c r="B140" t="s">
        <v>287</v>
      </c>
      <c r="C140" t="s">
        <v>285</v>
      </c>
      <c r="D140" s="8" t="s">
        <v>286</v>
      </c>
      <c r="E140" t="s">
        <v>66</v>
      </c>
      <c r="F140" t="s">
        <v>295</v>
      </c>
      <c r="G140" s="2" t="d">
        <v>2024-11-07</v>
      </c>
      <c r="H140" s="2" t="d">
        <v>2024-11-07</v>
      </c>
      <c r="I140" s="7">
        <v>2024</v>
      </c>
      <c r="J140" t="s">
        <v>65</v>
      </c>
      <c r="K140">
        <v>7</v>
      </c>
      <c r="L140" s="2" t="d">
        <v>2024-06-30</v>
      </c>
      <c r="M140" s="2" t="d">
        <v>2024-09-30</v>
      </c>
      <c r="N140" t="s">
        <v>467</v>
      </c>
      <c r="O140" t="s">
        <v>467</v>
      </c>
      <c r="P140" s="7">
        <v>2024</v>
      </c>
      <c r="Q140" t="s">
        <v>65</v>
      </c>
      <c r="R140" t="s">
        <v>59</v>
      </c>
      <c r="S140" t="s">
        <v>289</v>
      </c>
      <c r="T140" t="s">
        <v>61</v>
      </c>
      <c r="U140">
        <v>2186000000</v>
      </c>
      <c r="V140">
        <v>908000000</v>
      </c>
      <c r="W140">
        <v>1275000000</v>
      </c>
      <c r="X140">
        <v>0</v>
      </c>
      <c r="Y140">
        <v>138000000</v>
      </c>
      <c r="Z140">
        <v>606000000</v>
      </c>
      <c r="AA140">
        <v>-6283000000</v>
      </c>
      <c r="AB140">
        <v>584000000</v>
      </c>
      <c r="AC140">
        <v>24296000000</v>
      </c>
      <c r="AD140">
        <v>0</v>
      </c>
      <c r="AE140">
        <v>6261000000</v>
      </c>
      <c r="AF140">
        <v>0</v>
      </c>
      <c r="AG140">
        <v>572000000</v>
      </c>
      <c r="AH140">
        <v>-41000000</v>
      </c>
      <c r="AI140">
        <v>104000000</v>
      </c>
      <c r="AJ140">
        <v>-661000000</v>
      </c>
      <c r="AK140">
        <v>1381000000</v>
      </c>
      <c r="AL140">
        <v>1876000000</v>
      </c>
      <c r="AM140">
        <v>323000000</v>
      </c>
      <c r="AN140">
        <v>468000000</v>
      </c>
      <c r="AO140" s="9">
        <v>25586000000</v>
      </c>
      <c r="AP140">
        <v>59000000</v>
      </c>
      <c r="AQ140">
        <v>57800000</v>
      </c>
      <c r="AR140">
        <v>344000000</v>
      </c>
      <c r="AS140">
        <v>0</v>
      </c>
      <c r="AT140">
        <v>0</v>
      </c>
      <c r="AV140" s="10" t="s">
        <v>474</v>
      </c>
      <c r="AW140">
        <v>16600</v>
      </c>
    </row>
    <row r="141" spans="1:49" x14ac:dyDescent="0.2">
      <c r="A141">
        <v>12</v>
      </c>
      <c r="B141" t="s">
        <v>287</v>
      </c>
      <c r="C141" t="s">
        <v>285</v>
      </c>
      <c r="D141" s="8" t="s">
        <v>286</v>
      </c>
      <c r="E141" t="s">
        <v>55</v>
      </c>
      <c r="F141" t="s">
        <v>296</v>
      </c>
      <c r="G141" s="2" t="d">
        <v>2025-02-04</v>
      </c>
      <c r="H141" s="2" t="d">
        <v>2025-02-04</v>
      </c>
      <c r="I141" s="7">
        <v>2025</v>
      </c>
      <c r="J141" t="s">
        <v>57</v>
      </c>
      <c r="K141">
        <v>8</v>
      </c>
      <c r="L141" s="2" t="d">
        <v>2024-10-01</v>
      </c>
      <c r="M141" s="2" t="d">
        <v>2024-12-28</v>
      </c>
      <c r="N141" t="s">
        <v>467</v>
      </c>
      <c r="O141" t="s">
        <v>467</v>
      </c>
      <c r="P141" s="7">
        <v>2024</v>
      </c>
      <c r="Q141" t="s">
        <v>57</v>
      </c>
      <c r="R141" t="s">
        <v>59</v>
      </c>
      <c r="S141" t="s">
        <v>289</v>
      </c>
      <c r="T141" t="s">
        <v>61</v>
      </c>
      <c r="U141">
        <v>2006000000</v>
      </c>
      <c r="V141">
        <v>771000000</v>
      </c>
      <c r="W141">
        <v>974000000</v>
      </c>
      <c r="X141">
        <v>0</v>
      </c>
      <c r="Y141">
        <v>126000000</v>
      </c>
      <c r="Z141">
        <v>619000000</v>
      </c>
      <c r="AA141">
        <v>-6251000000</v>
      </c>
      <c r="AB141">
        <v>747000000</v>
      </c>
      <c r="AC141">
        <v>24302000000</v>
      </c>
      <c r="AD141">
        <v>0</v>
      </c>
      <c r="AE141">
        <v>2459000000</v>
      </c>
      <c r="AF141">
        <v>0</v>
      </c>
      <c r="AG141">
        <v>752000000</v>
      </c>
      <c r="AH141">
        <v>-42000000</v>
      </c>
      <c r="AI141">
        <v>87000000</v>
      </c>
      <c r="AJ141">
        <v>-29000000</v>
      </c>
      <c r="AK141">
        <v>1285000000</v>
      </c>
      <c r="AL141">
        <v>1930000000</v>
      </c>
      <c r="AM141">
        <v>315000000</v>
      </c>
      <c r="AN141">
        <v>493000000</v>
      </c>
      <c r="AO141" s="9">
        <v>21515000000</v>
      </c>
      <c r="AP141">
        <v>25000000</v>
      </c>
      <c r="AQ141">
        <v>58300000</v>
      </c>
      <c r="AR141">
        <v>378000000</v>
      </c>
      <c r="AS141">
        <v>0</v>
      </c>
      <c r="AT141">
        <v>0</v>
      </c>
      <c r="AV141" s="10" t="s">
        <v>474</v>
      </c>
      <c r="AW141">
        <v>16600</v>
      </c>
    </row>
    <row r="142" spans="1:49" x14ac:dyDescent="0.2">
      <c r="A142">
        <v>12</v>
      </c>
      <c r="B142" t="s">
        <v>287</v>
      </c>
      <c r="C142" t="s">
        <v>285</v>
      </c>
      <c r="D142" s="8" t="s">
        <v>286</v>
      </c>
      <c r="E142" t="s">
        <v>55</v>
      </c>
      <c r="F142" t="s">
        <v>297</v>
      </c>
      <c r="G142" s="2" t="d">
        <v>2025-05-06</v>
      </c>
      <c r="H142" s="2" t="d">
        <v>2025-05-06</v>
      </c>
      <c r="I142" s="7">
        <v>2025</v>
      </c>
      <c r="J142" t="s">
        <v>58</v>
      </c>
      <c r="K142">
        <v>9</v>
      </c>
      <c r="L142" s="2" t="d">
        <v>2024-12-29</v>
      </c>
      <c r="M142" s="2" t="d">
        <v>2025-03-29</v>
      </c>
      <c r="N142" t="s">
        <v>467</v>
      </c>
      <c r="O142" t="s">
        <v>467</v>
      </c>
      <c r="P142" s="7">
        <v>2025</v>
      </c>
      <c r="Q142" t="s">
        <v>58</v>
      </c>
      <c r="R142" t="s">
        <v>59</v>
      </c>
      <c r="S142" t="s">
        <v>289</v>
      </c>
      <c r="T142" t="s">
        <v>61</v>
      </c>
      <c r="U142">
        <v>2150000000</v>
      </c>
      <c r="V142">
        <v>876000000</v>
      </c>
      <c r="W142">
        <v>991000000</v>
      </c>
      <c r="X142">
        <v>0</v>
      </c>
      <c r="Y142">
        <v>143000000</v>
      </c>
      <c r="Z142">
        <v>622000000</v>
      </c>
      <c r="AA142">
        <v>-5664000000</v>
      </c>
      <c r="AB142">
        <v>743000000</v>
      </c>
      <c r="AC142">
        <v>24306000000</v>
      </c>
      <c r="AD142">
        <v>0</v>
      </c>
      <c r="AE142">
        <v>2426000000</v>
      </c>
      <c r="AF142">
        <v>0</v>
      </c>
      <c r="AG142">
        <v>148000000</v>
      </c>
      <c r="AH142">
        <v>-56000000</v>
      </c>
      <c r="AI142">
        <v>88000000</v>
      </c>
      <c r="AJ142">
        <v>-111000000</v>
      </c>
      <c r="AK142">
        <v>1442000000</v>
      </c>
      <c r="AL142">
        <v>2010000000</v>
      </c>
      <c r="AM142">
        <v>319000000</v>
      </c>
      <c r="AN142">
        <v>479000000</v>
      </c>
      <c r="AO142" s="9">
        <v>21905000000</v>
      </c>
      <c r="AP142">
        <v>48000000</v>
      </c>
      <c r="AQ142">
        <v>58100000</v>
      </c>
      <c r="AR142">
        <v>378000000</v>
      </c>
      <c r="AS142">
        <v>0</v>
      </c>
      <c r="AT142">
        <v>0</v>
      </c>
      <c r="AV142" s="10" t="s">
        <v>474</v>
      </c>
      <c r="AW142">
        <v>16600</v>
      </c>
    </row>
    <row r="143" spans="1:49" x14ac:dyDescent="0.2">
      <c r="A143">
        <v>12</v>
      </c>
      <c r="B143" t="s">
        <v>287</v>
      </c>
      <c r="C143" t="s">
        <v>285</v>
      </c>
      <c r="D143" s="8" t="s">
        <v>286</v>
      </c>
      <c r="E143" t="s">
        <v>55</v>
      </c>
      <c r="F143" t="s">
        <v>298</v>
      </c>
      <c r="G143" s="2" t="d">
        <v>2025-08-05</v>
      </c>
      <c r="H143" s="2" t="d">
        <v>2025-08-05</v>
      </c>
      <c r="I143" s="7">
        <v>2025</v>
      </c>
      <c r="J143" t="s">
        <v>63</v>
      </c>
      <c r="K143">
        <v>10</v>
      </c>
      <c r="L143" s="2" t="d">
        <v>2025-03-30</v>
      </c>
      <c r="M143" s="2" t="d">
        <v>2025-06-28</v>
      </c>
      <c r="N143" t="s">
        <v>467</v>
      </c>
      <c r="O143" t="s">
        <v>467</v>
      </c>
      <c r="P143" s="7">
        <v>2025</v>
      </c>
      <c r="Q143" t="s">
        <v>63</v>
      </c>
      <c r="R143" t="s">
        <v>59</v>
      </c>
      <c r="S143" t="s">
        <v>289</v>
      </c>
      <c r="T143" t="s">
        <v>61</v>
      </c>
      <c r="U143">
        <v>2237000000</v>
      </c>
      <c r="V143">
        <v>905000000</v>
      </c>
      <c r="W143">
        <v>1039000000</v>
      </c>
      <c r="X143">
        <v>0</v>
      </c>
      <c r="Y143">
        <v>142000000</v>
      </c>
      <c r="Z143">
        <v>635000000</v>
      </c>
      <c r="AA143">
        <v>-4996000000</v>
      </c>
      <c r="AB143">
        <v>744000000</v>
      </c>
      <c r="AC143">
        <v>24268000000</v>
      </c>
      <c r="AD143">
        <v>0</v>
      </c>
      <c r="AE143">
        <v>2792000000</v>
      </c>
      <c r="AF143">
        <v>0</v>
      </c>
      <c r="AG143">
        <v>631000000</v>
      </c>
      <c r="AH143">
        <v>-58000000</v>
      </c>
      <c r="AI143">
        <v>95000000</v>
      </c>
      <c r="AJ143">
        <v>-99000000</v>
      </c>
      <c r="AK143">
        <v>1518000000</v>
      </c>
      <c r="AL143">
        <v>2083000000</v>
      </c>
      <c r="AM143">
        <v>328000000</v>
      </c>
      <c r="AN143">
        <v>493000000</v>
      </c>
      <c r="AO143" s="9">
        <v>22700000000</v>
      </c>
      <c r="AP143">
        <v>51000000</v>
      </c>
      <c r="AQ143">
        <v>58100000</v>
      </c>
      <c r="AR143">
        <v>397000000</v>
      </c>
      <c r="AS143">
        <v>0</v>
      </c>
      <c r="AT143">
        <v>0</v>
      </c>
      <c r="AV143" s="10" t="s">
        <v>474</v>
      </c>
      <c r="AW143">
        <v>16600</v>
      </c>
    </row>
    <row r="144" spans="1:49" x14ac:dyDescent="0.2">
      <c r="A144">
        <v>12</v>
      </c>
      <c r="B144" t="s">
        <v>287</v>
      </c>
      <c r="C144" t="s">
        <v>285</v>
      </c>
      <c r="D144" s="8" t="s">
        <v>286</v>
      </c>
      <c r="E144" t="s">
        <v>66</v>
      </c>
      <c r="F144" t="s">
        <v>299</v>
      </c>
      <c r="G144" s="2" t="d">
        <v>2025-11-12</v>
      </c>
      <c r="H144" s="2" t="d">
        <v>2025-11-12</v>
      </c>
      <c r="I144" s="7">
        <v>2025</v>
      </c>
      <c r="J144" t="s">
        <v>65</v>
      </c>
      <c r="K144">
        <v>11</v>
      </c>
      <c r="L144" s="2" t="d">
        <v>2025-06-29</v>
      </c>
      <c r="M144" s="2" t="d">
        <v>2025-09-30</v>
      </c>
      <c r="N144" t="s">
        <v>467</v>
      </c>
      <c r="O144" t="s">
        <v>467</v>
      </c>
      <c r="P144" s="7">
        <v>2025</v>
      </c>
      <c r="Q144" t="s">
        <v>65</v>
      </c>
      <c r="R144" t="s">
        <v>59</v>
      </c>
      <c r="S144" t="s">
        <v>289</v>
      </c>
      <c r="T144" t="s">
        <v>61</v>
      </c>
      <c r="U144">
        <v>2438000000</v>
      </c>
      <c r="V144">
        <v>968000000</v>
      </c>
      <c r="W144">
        <v>1161000000</v>
      </c>
      <c r="X144">
        <v>0</v>
      </c>
      <c r="Y144">
        <v>144000000</v>
      </c>
      <c r="Z144">
        <v>753000000</v>
      </c>
      <c r="AA144">
        <v>-9679000000</v>
      </c>
      <c r="AB144">
        <v>848000000</v>
      </c>
      <c r="AC144">
        <v>29167000000</v>
      </c>
      <c r="AD144">
        <v>0</v>
      </c>
      <c r="AE144">
        <v>2808000000</v>
      </c>
      <c r="AF144">
        <v>0</v>
      </c>
      <c r="AG144">
        <v>507000000</v>
      </c>
      <c r="AH144">
        <v>-66000000</v>
      </c>
      <c r="AI144">
        <v>94000000</v>
      </c>
      <c r="AJ144">
        <v>-180000000</v>
      </c>
      <c r="AK144">
        <v>1617000000</v>
      </c>
      <c r="AL144">
        <v>2095000000</v>
      </c>
      <c r="AM144">
        <v>368000000</v>
      </c>
      <c r="AN144">
        <v>609000000</v>
      </c>
      <c r="AO144" s="9">
        <v>22909000000</v>
      </c>
      <c r="AP144">
        <v>33000000</v>
      </c>
      <c r="AQ144">
        <v>58200000</v>
      </c>
      <c r="AR144">
        <v>419000000</v>
      </c>
      <c r="AS144">
        <v>0</v>
      </c>
      <c r="AT144">
        <v>0</v>
      </c>
      <c r="AV144" s="10" t="s">
        <v>474</v>
      </c>
      <c r="AW144">
        <v>16500</v>
      </c>
    </row>
    <row r="145" spans="1:49" x14ac:dyDescent="0.2">
      <c r="A145">
        <v>12</v>
      </c>
      <c r="B145" t="s">
        <v>287</v>
      </c>
      <c r="C145" t="s">
        <v>285</v>
      </c>
      <c r="D145" s="8" t="s">
        <v>286</v>
      </c>
      <c r="E145" t="s">
        <v>55</v>
      </c>
      <c r="F145" t="s">
        <v>301</v>
      </c>
      <c r="G145" s="2" t="d">
        <v>2026-02-03</v>
      </c>
      <c r="H145" s="2" t="d">
        <v>2026-02-03</v>
      </c>
      <c r="I145" s="7">
        <v>2026</v>
      </c>
      <c r="J145" t="s">
        <v>57</v>
      </c>
      <c r="K145">
        <v>12</v>
      </c>
      <c r="L145" s="2" t="d">
        <v>2025-10-01</v>
      </c>
      <c r="M145" s="2" t="d">
        <v>2025-12-27</v>
      </c>
      <c r="N145" t="s">
        <v>468</v>
      </c>
      <c r="O145" t="s">
        <v>468</v>
      </c>
      <c r="P145" s="7">
        <v>2025</v>
      </c>
      <c r="Q145" t="s">
        <v>57</v>
      </c>
      <c r="R145" t="s">
        <v>59</v>
      </c>
      <c r="S145" t="s">
        <v>300</v>
      </c>
      <c r="T145" t="s">
        <v>61</v>
      </c>
      <c r="U145">
        <v>2285000000</v>
      </c>
      <c r="V145">
        <v>933000000</v>
      </c>
      <c r="W145">
        <v>1042000000</v>
      </c>
      <c r="X145">
        <v>0</v>
      </c>
      <c r="Y145">
        <v>127000000</v>
      </c>
      <c r="Z145">
        <v>572000000</v>
      </c>
      <c r="AA145">
        <v>-9263000000</v>
      </c>
      <c r="AB145">
        <v>849000000</v>
      </c>
      <c r="AC145">
        <v>29197000000</v>
      </c>
      <c r="AD145">
        <v>0</v>
      </c>
      <c r="AE145">
        <v>2528000000</v>
      </c>
      <c r="AF145">
        <v>0</v>
      </c>
      <c r="AG145">
        <v>832000000</v>
      </c>
      <c r="AH145">
        <v>-60000000</v>
      </c>
      <c r="AI145">
        <v>111000000</v>
      </c>
      <c r="AJ145">
        <v>0</v>
      </c>
      <c r="AK145">
        <v>1564000000</v>
      </c>
      <c r="AL145">
        <v>2373000000</v>
      </c>
      <c r="AM145">
        <v>385000000</v>
      </c>
      <c r="AN145">
        <v>445000000</v>
      </c>
      <c r="AO145" s="9">
        <v>23757000000</v>
      </c>
      <c r="AP145">
        <v>27000000</v>
      </c>
      <c r="AQ145">
        <v>58200000</v>
      </c>
      <c r="AR145">
        <v>475000000</v>
      </c>
      <c r="AS145">
        <v>0</v>
      </c>
      <c r="AT145">
        <v>0</v>
      </c>
      <c r="AV145" s="10" t="s">
        <v>474</v>
      </c>
      <c r="AW145">
        <v>16500</v>
      </c>
    </row>
    <row r="146" spans="1:49" x14ac:dyDescent="0.2">
      <c r="A146">
        <v>13</v>
      </c>
      <c r="B146" t="s">
        <v>303</v>
      </c>
      <c r="C146" t="s">
        <v>302</v>
      </c>
      <c r="D146" s="8" t="s">
        <v>304</v>
      </c>
      <c r="E146" t="s">
        <v>55</v>
      </c>
      <c r="F146" t="s">
        <v>305</v>
      </c>
      <c r="G146" s="2" t="d">
        <v>2023-05-15</v>
      </c>
      <c r="H146" s="2" t="d">
        <v>2023-05-15</v>
      </c>
      <c r="I146">
        <v>2023</v>
      </c>
      <c r="J146" t="s">
        <v>57</v>
      </c>
      <c r="K146">
        <v>1</v>
      </c>
      <c r="L146" s="2" t="d">
        <v>2023-01-01</v>
      </c>
      <c r="M146" s="2" t="d">
        <v>2023-03-31</v>
      </c>
      <c r="N146" t="s">
        <v>467</v>
      </c>
      <c r="O146" t="s">
        <v>467</v>
      </c>
      <c r="P146">
        <v>2023</v>
      </c>
      <c r="Q146" t="s">
        <v>57</v>
      </c>
      <c r="R146" t="s">
        <v>59</v>
      </c>
      <c r="S146" t="s">
        <v>307</v>
      </c>
      <c r="T146" t="s">
        <v>306</v>
      </c>
      <c r="W146">
        <v>-157365</v>
      </c>
      <c r="X146">
        <v>0</v>
      </c>
      <c r="Y146">
        <v>-115936</v>
      </c>
      <c r="Z146">
        <v>4206615</v>
      </c>
      <c r="AA146">
        <v>-13928346</v>
      </c>
      <c r="AB146">
        <v>0</v>
      </c>
      <c r="AC146">
        <v>0</v>
      </c>
      <c r="AD146">
        <v>0</v>
      </c>
      <c r="AE146">
        <v>2898422</v>
      </c>
      <c r="AF146">
        <v>511504000</v>
      </c>
      <c r="AG146">
        <v>-678937</v>
      </c>
      <c r="AH146">
        <v>0</v>
      </c>
      <c r="AI146">
        <v>0</v>
      </c>
      <c r="AJ146">
        <v>0</v>
      </c>
      <c r="AK146">
        <v>0</v>
      </c>
      <c r="AL146">
        <v>0</v>
      </c>
      <c r="AM146">
        <v>0</v>
      </c>
      <c r="AN146">
        <v>3090679</v>
      </c>
      <c r="AO146" s="9">
        <v>514676646</v>
      </c>
      <c r="AP146">
        <v>0</v>
      </c>
      <c r="AQ146">
        <v>13950000</v>
      </c>
      <c r="AR146">
        <v>0</v>
      </c>
      <c r="AS146">
        <v>0</v>
      </c>
      <c r="AT146">
        <v>0</v>
      </c>
      <c r="AV146" s="10" t="s">
        <v>474</v>
      </c>
      <c r="AW146">
        <v>2</v>
      </c>
    </row>
    <row r="147" spans="1:49" x14ac:dyDescent="0.2">
      <c r="A147">
        <v>13</v>
      </c>
      <c r="B147" t="s">
        <v>303</v>
      </c>
      <c r="C147" t="s">
        <v>302</v>
      </c>
      <c r="D147" s="8" t="s">
        <v>304</v>
      </c>
      <c r="E147" t="s">
        <v>55</v>
      </c>
      <c r="F147" t="s">
        <v>308</v>
      </c>
      <c r="G147" s="2" t="d">
        <v>2023-08-11</v>
      </c>
      <c r="H147" s="2" t="d">
        <v>2023-08-11</v>
      </c>
      <c r="I147">
        <v>2023</v>
      </c>
      <c r="J147" t="s">
        <v>58</v>
      </c>
      <c r="K147">
        <v>2</v>
      </c>
      <c r="L147" s="2" t="d">
        <v>2023-04-01</v>
      </c>
      <c r="M147" s="2" t="d">
        <v>2023-06-30</v>
      </c>
      <c r="N147" t="s">
        <v>467</v>
      </c>
      <c r="O147" t="s">
        <v>467</v>
      </c>
      <c r="P147">
        <v>2023</v>
      </c>
      <c r="Q147" t="s">
        <v>58</v>
      </c>
      <c r="R147" t="s">
        <v>59</v>
      </c>
      <c r="S147" t="s">
        <v>307</v>
      </c>
      <c r="T147" t="s">
        <v>306</v>
      </c>
      <c r="W147">
        <v>-901500</v>
      </c>
      <c r="X147">
        <v>0</v>
      </c>
      <c r="Y147">
        <v>-1231804</v>
      </c>
      <c r="Z147">
        <v>5014235</v>
      </c>
      <c r="AA147">
        <v>-14779846</v>
      </c>
      <c r="AB147">
        <v>0</v>
      </c>
      <c r="AC147">
        <v>0</v>
      </c>
      <c r="AD147">
        <v>0</v>
      </c>
      <c r="AE147">
        <v>840228</v>
      </c>
      <c r="AF147">
        <v>515933705</v>
      </c>
      <c r="AG147">
        <v>-3544284</v>
      </c>
      <c r="AH147">
        <v>0</v>
      </c>
      <c r="AI147">
        <v>0</v>
      </c>
      <c r="AJ147">
        <v>0</v>
      </c>
      <c r="AK147">
        <v>0</v>
      </c>
      <c r="AL147">
        <v>0</v>
      </c>
      <c r="AM147">
        <v>0</v>
      </c>
      <c r="AN147">
        <v>3782431</v>
      </c>
      <c r="AO147" s="9">
        <v>516816433</v>
      </c>
      <c r="AP147">
        <v>0</v>
      </c>
      <c r="AQ147">
        <v>13950000</v>
      </c>
      <c r="AR147">
        <v>0</v>
      </c>
      <c r="AS147">
        <v>0</v>
      </c>
      <c r="AT147">
        <v>0</v>
      </c>
      <c r="AV147" s="10" t="s">
        <v>474</v>
      </c>
      <c r="AW147">
        <v>2</v>
      </c>
    </row>
    <row r="148" spans="1:49" x14ac:dyDescent="0.2">
      <c r="A148">
        <v>13</v>
      </c>
      <c r="B148" t="s">
        <v>303</v>
      </c>
      <c r="C148" t="s">
        <v>302</v>
      </c>
      <c r="D148" s="8" t="s">
        <v>304</v>
      </c>
      <c r="E148" t="s">
        <v>55</v>
      </c>
      <c r="F148" t="s">
        <v>309</v>
      </c>
      <c r="G148" s="2" t="d">
        <v>2023-11-16</v>
      </c>
      <c r="H148" s="2" t="d">
        <v>2023-11-15</v>
      </c>
      <c r="I148">
        <v>2023</v>
      </c>
      <c r="J148" t="s">
        <v>63</v>
      </c>
      <c r="K148">
        <v>3</v>
      </c>
      <c r="L148" s="2" t="d">
        <v>2023-07-01</v>
      </c>
      <c r="M148" s="2" t="d">
        <v>2023-09-30</v>
      </c>
      <c r="N148" t="s">
        <v>467</v>
      </c>
      <c r="O148" t="s">
        <v>467</v>
      </c>
      <c r="P148">
        <v>2023</v>
      </c>
      <c r="Q148" t="s">
        <v>63</v>
      </c>
      <c r="R148" t="s">
        <v>59</v>
      </c>
      <c r="S148" t="s">
        <v>307</v>
      </c>
      <c r="T148" t="s">
        <v>306</v>
      </c>
      <c r="W148">
        <v>-2041000</v>
      </c>
      <c r="X148">
        <v>0</v>
      </c>
      <c r="Y148">
        <v>-2185730</v>
      </c>
      <c r="Z148">
        <v>4604452</v>
      </c>
      <c r="AA148">
        <v>-16736475</v>
      </c>
      <c r="AB148">
        <v>0</v>
      </c>
      <c r="AC148">
        <v>0</v>
      </c>
      <c r="AD148">
        <v>0</v>
      </c>
      <c r="AE148">
        <v>1749418</v>
      </c>
      <c r="AF148">
        <v>518212824</v>
      </c>
      <c r="AG148">
        <v>-3457143</v>
      </c>
      <c r="AH148">
        <v>0</v>
      </c>
      <c r="AI148">
        <v>0</v>
      </c>
      <c r="AJ148">
        <v>0</v>
      </c>
      <c r="AK148">
        <v>0</v>
      </c>
      <c r="AL148">
        <v>0</v>
      </c>
      <c r="AM148">
        <v>0</v>
      </c>
      <c r="AN148">
        <v>2418722</v>
      </c>
      <c r="AO148" s="9">
        <v>519994492</v>
      </c>
      <c r="AP148">
        <v>0</v>
      </c>
      <c r="AQ148">
        <v>13950000</v>
      </c>
      <c r="AR148">
        <v>0</v>
      </c>
      <c r="AS148">
        <v>0</v>
      </c>
      <c r="AT148">
        <v>0</v>
      </c>
      <c r="AV148" s="10" t="s">
        <v>474</v>
      </c>
      <c r="AW148">
        <v>2</v>
      </c>
    </row>
    <row r="149" spans="1:49" x14ac:dyDescent="0.2">
      <c r="A149">
        <v>13</v>
      </c>
      <c r="B149" t="s">
        <v>303</v>
      </c>
      <c r="C149" t="s">
        <v>302</v>
      </c>
      <c r="D149" s="8" t="s">
        <v>304</v>
      </c>
      <c r="E149" t="s">
        <v>66</v>
      </c>
      <c r="F149" t="s">
        <v>310</v>
      </c>
      <c r="G149" s="2" t="d">
        <v>2024-03-29</v>
      </c>
      <c r="H149" s="2" t="d">
        <v>2024-03-29</v>
      </c>
      <c r="I149">
        <v>2023</v>
      </c>
      <c r="J149" t="s">
        <v>65</v>
      </c>
      <c r="K149">
        <v>4</v>
      </c>
      <c r="L149" s="2" t="d">
        <v>2023-10-01</v>
      </c>
      <c r="M149" s="2" t="d">
        <v>2023-12-31</v>
      </c>
      <c r="N149" t="s">
        <v>467</v>
      </c>
      <c r="O149" t="s">
        <v>467</v>
      </c>
      <c r="P149">
        <v>2023</v>
      </c>
      <c r="Q149" t="s">
        <v>65</v>
      </c>
      <c r="R149" t="s">
        <v>59</v>
      </c>
      <c r="S149" t="s">
        <v>307</v>
      </c>
      <c r="T149" t="s">
        <v>306</v>
      </c>
      <c r="W149">
        <v>-1170848</v>
      </c>
      <c r="X149">
        <v>0</v>
      </c>
      <c r="Y149">
        <v>-2558679</v>
      </c>
      <c r="Z149">
        <v>4135052</v>
      </c>
      <c r="AA149">
        <v>-8379450</v>
      </c>
      <c r="AB149">
        <v>0</v>
      </c>
      <c r="AC149">
        <v>0</v>
      </c>
      <c r="AD149">
        <v>0</v>
      </c>
      <c r="AE149">
        <v>1628692</v>
      </c>
      <c r="AF149">
        <v>303560538</v>
      </c>
      <c r="AG149">
        <v>-3164239</v>
      </c>
      <c r="AH149">
        <v>0</v>
      </c>
      <c r="AI149">
        <v>0</v>
      </c>
      <c r="AJ149">
        <v>0</v>
      </c>
      <c r="AK149">
        <v>0</v>
      </c>
      <c r="AL149">
        <v>0</v>
      </c>
      <c r="AM149">
        <v>0</v>
      </c>
      <c r="AN149">
        <v>2576373</v>
      </c>
      <c r="AO149" s="9">
        <v>305619950</v>
      </c>
      <c r="AP149">
        <v>0</v>
      </c>
      <c r="AQ149">
        <v>13950000</v>
      </c>
      <c r="AR149">
        <v>0</v>
      </c>
      <c r="AS149">
        <v>0</v>
      </c>
      <c r="AT149">
        <v>0</v>
      </c>
      <c r="AV149" s="10" t="s">
        <v>474</v>
      </c>
      <c r="AW149">
        <v>2</v>
      </c>
    </row>
    <row r="150" spans="1:49" x14ac:dyDescent="0.2">
      <c r="A150">
        <v>13</v>
      </c>
      <c r="B150" t="s">
        <v>303</v>
      </c>
      <c r="C150" t="s">
        <v>302</v>
      </c>
      <c r="D150" s="8" t="s">
        <v>304</v>
      </c>
      <c r="E150" t="s">
        <v>55</v>
      </c>
      <c r="F150" t="s">
        <v>311</v>
      </c>
      <c r="G150" s="2" t="d">
        <v>2024-05-08</v>
      </c>
      <c r="H150" s="2" t="d">
        <v>2024-05-08</v>
      </c>
      <c r="I150" s="7">
        <v>2024</v>
      </c>
      <c r="J150" t="s">
        <v>57</v>
      </c>
      <c r="K150">
        <v>5</v>
      </c>
      <c r="L150" s="2" t="d">
        <v>2024-01-01</v>
      </c>
      <c r="M150" s="2" t="d">
        <v>2024-03-31</v>
      </c>
      <c r="N150" t="s">
        <v>468</v>
      </c>
      <c r="O150" t="s">
        <v>468</v>
      </c>
      <c r="P150" s="7">
        <v>2024</v>
      </c>
      <c r="Q150" t="s">
        <v>57</v>
      </c>
      <c r="R150" t="s">
        <v>59</v>
      </c>
      <c r="S150" t="s">
        <v>307</v>
      </c>
      <c r="T150" t="s">
        <v>306</v>
      </c>
      <c r="W150">
        <v>-1017452</v>
      </c>
      <c r="X150">
        <v>0</v>
      </c>
      <c r="Y150">
        <v>-1406517</v>
      </c>
      <c r="Z150">
        <v>2934886</v>
      </c>
      <c r="AA150">
        <v>-8346902</v>
      </c>
      <c r="AB150">
        <v>0</v>
      </c>
      <c r="AC150">
        <v>0</v>
      </c>
      <c r="AD150">
        <v>0</v>
      </c>
      <c r="AE150">
        <v>420807</v>
      </c>
      <c r="AF150">
        <v>307512876</v>
      </c>
      <c r="AG150">
        <v>-1207885</v>
      </c>
      <c r="AH150">
        <v>0</v>
      </c>
      <c r="AI150">
        <v>0</v>
      </c>
      <c r="AJ150">
        <v>0</v>
      </c>
      <c r="AK150">
        <v>0</v>
      </c>
      <c r="AL150">
        <v>0</v>
      </c>
      <c r="AM150">
        <v>0</v>
      </c>
      <c r="AN150">
        <v>1528369</v>
      </c>
      <c r="AO150" s="9">
        <v>308214543</v>
      </c>
      <c r="AP150">
        <v>0</v>
      </c>
      <c r="AQ150">
        <v>13950000</v>
      </c>
      <c r="AR150">
        <v>0</v>
      </c>
      <c r="AS150">
        <v>0</v>
      </c>
      <c r="AT150">
        <v>0</v>
      </c>
      <c r="AV150" s="10" t="s">
        <v>474</v>
      </c>
      <c r="AW150">
        <v>2</v>
      </c>
    </row>
    <row r="151" spans="1:49" x14ac:dyDescent="0.2">
      <c r="A151">
        <v>13</v>
      </c>
      <c r="B151" t="s">
        <v>303</v>
      </c>
      <c r="C151" t="s">
        <v>302</v>
      </c>
      <c r="D151" s="8" t="s">
        <v>304</v>
      </c>
      <c r="E151" t="s">
        <v>55</v>
      </c>
      <c r="F151" t="s">
        <v>312</v>
      </c>
      <c r="G151" s="2" t="d">
        <v>2024-08-14</v>
      </c>
      <c r="H151" s="2" t="d">
        <v>2024-08-14</v>
      </c>
      <c r="I151" s="7">
        <v>2024</v>
      </c>
      <c r="J151" t="s">
        <v>58</v>
      </c>
      <c r="K151">
        <v>6</v>
      </c>
      <c r="L151" s="2" t="d">
        <v>2024-04-01</v>
      </c>
      <c r="M151" s="2" t="d">
        <v>2024-06-30</v>
      </c>
      <c r="N151" t="s">
        <v>467</v>
      </c>
      <c r="O151" t="s">
        <v>467</v>
      </c>
      <c r="P151" s="7">
        <v>2024</v>
      </c>
      <c r="Q151" t="s">
        <v>58</v>
      </c>
      <c r="R151" t="s">
        <v>59</v>
      </c>
      <c r="S151" t="s">
        <v>313</v>
      </c>
      <c r="T151" t="s">
        <v>306</v>
      </c>
      <c r="W151">
        <v>-17770978</v>
      </c>
      <c r="X151">
        <v>10719142</v>
      </c>
      <c r="Y151">
        <v>-163621</v>
      </c>
      <c r="Z151">
        <v>-29182363</v>
      </c>
      <c r="AA151">
        <v>269306333</v>
      </c>
      <c r="AB151">
        <v>0</v>
      </c>
      <c r="AC151">
        <v>0</v>
      </c>
      <c r="AD151">
        <v>37785</v>
      </c>
      <c r="AE151">
        <v>105676772</v>
      </c>
      <c r="AF151">
        <v>63226232</v>
      </c>
      <c r="AG151">
        <v>-15832264</v>
      </c>
      <c r="AH151">
        <v>-171733</v>
      </c>
      <c r="AI151">
        <v>111673</v>
      </c>
      <c r="AJ151">
        <v>0</v>
      </c>
      <c r="AK151">
        <v>0</v>
      </c>
      <c r="AL151">
        <v>0</v>
      </c>
      <c r="AM151">
        <v>1068205</v>
      </c>
      <c r="AN151">
        <v>-29345984</v>
      </c>
      <c r="AO151" s="9">
        <v>299185613</v>
      </c>
      <c r="AP151">
        <v>9124416</v>
      </c>
      <c r="AQ151">
        <v>100021539</v>
      </c>
      <c r="AR151">
        <v>0</v>
      </c>
      <c r="AS151">
        <v>535957.1</v>
      </c>
      <c r="AT151">
        <v>10719142</v>
      </c>
      <c r="AV151" s="10" t="s">
        <v>474</v>
      </c>
      <c r="AW151">
        <v>2</v>
      </c>
    </row>
    <row r="152" spans="1:49" x14ac:dyDescent="0.2">
      <c r="A152">
        <v>13</v>
      </c>
      <c r="B152" t="s">
        <v>303</v>
      </c>
      <c r="C152" t="s">
        <v>302</v>
      </c>
      <c r="D152" s="8" t="s">
        <v>304</v>
      </c>
      <c r="E152" t="s">
        <v>55</v>
      </c>
      <c r="F152" t="s">
        <v>314</v>
      </c>
      <c r="G152" s="2" t="d">
        <v>2024-11-14</v>
      </c>
      <c r="H152" s="2" t="d">
        <v>2024-11-14</v>
      </c>
      <c r="I152" s="7">
        <v>2024</v>
      </c>
      <c r="J152" t="s">
        <v>63</v>
      </c>
      <c r="K152">
        <v>7</v>
      </c>
      <c r="L152" s="2" t="d">
        <v>2024-07-01</v>
      </c>
      <c r="M152" s="2" t="d">
        <v>2024-09-30</v>
      </c>
      <c r="N152" t="s">
        <v>467</v>
      </c>
      <c r="O152" t="s">
        <v>467</v>
      </c>
      <c r="P152" s="7">
        <v>2024</v>
      </c>
      <c r="Q152" t="s">
        <v>63</v>
      </c>
      <c r="R152" t="s">
        <v>59</v>
      </c>
      <c r="S152" t="s">
        <v>313</v>
      </c>
      <c r="T152" t="s">
        <v>306</v>
      </c>
      <c r="W152">
        <v>-12281088</v>
      </c>
      <c r="X152">
        <v>5049070</v>
      </c>
      <c r="Y152">
        <v>-224963</v>
      </c>
      <c r="Z152">
        <v>-9734202</v>
      </c>
      <c r="AA152">
        <v>263276601</v>
      </c>
      <c r="AB152">
        <v>0</v>
      </c>
      <c r="AC152">
        <v>0</v>
      </c>
      <c r="AD152">
        <v>1136819</v>
      </c>
      <c r="AE152">
        <v>91799754</v>
      </c>
      <c r="AF152">
        <v>196670850</v>
      </c>
      <c r="AG152">
        <v>-7880489</v>
      </c>
      <c r="AH152">
        <v>-110886</v>
      </c>
      <c r="AI152">
        <v>68747</v>
      </c>
      <c r="AJ152">
        <v>0</v>
      </c>
      <c r="AK152">
        <v>0</v>
      </c>
      <c r="AL152">
        <v>0</v>
      </c>
      <c r="AM152">
        <v>361240</v>
      </c>
      <c r="AN152">
        <v>-9959165</v>
      </c>
      <c r="AO152" s="9">
        <v>293793833</v>
      </c>
      <c r="AP152">
        <v>1626364</v>
      </c>
      <c r="AQ152">
        <v>122134375</v>
      </c>
      <c r="AR152">
        <v>0</v>
      </c>
      <c r="AS152">
        <v>788410.6</v>
      </c>
      <c r="AT152">
        <v>15232254.9</v>
      </c>
      <c r="AV152" s="10" t="s">
        <v>474</v>
      </c>
      <c r="AW152">
        <v>2</v>
      </c>
    </row>
    <row r="153" spans="1:49" x14ac:dyDescent="0.2">
      <c r="A153">
        <v>13</v>
      </c>
      <c r="B153" t="s">
        <v>303</v>
      </c>
      <c r="C153" t="s">
        <v>302</v>
      </c>
      <c r="D153" s="8" t="s">
        <v>304</v>
      </c>
      <c r="E153" t="s">
        <v>66</v>
      </c>
      <c r="F153" t="s">
        <v>315</v>
      </c>
      <c r="G153" s="2" t="d">
        <v>2025-03-24</v>
      </c>
      <c r="H153" s="2" t="d">
        <v>2025-03-24</v>
      </c>
      <c r="I153" s="7">
        <v>2024</v>
      </c>
      <c r="J153" t="s">
        <v>65</v>
      </c>
      <c r="K153">
        <v>8</v>
      </c>
      <c r="L153" s="2" t="d">
        <v>2024-10-01</v>
      </c>
      <c r="M153" s="2" t="d">
        <v>2024-12-31</v>
      </c>
      <c r="N153" t="s">
        <v>467</v>
      </c>
      <c r="O153" t="s">
        <v>467</v>
      </c>
      <c r="P153" s="7">
        <v>2024</v>
      </c>
      <c r="Q153" t="s">
        <v>65</v>
      </c>
      <c r="R153" t="s">
        <v>59</v>
      </c>
      <c r="S153" t="s">
        <v>313</v>
      </c>
      <c r="T153" t="s">
        <v>109</v>
      </c>
      <c r="W153">
        <v>-21731482</v>
      </c>
      <c r="X153">
        <v>10942788</v>
      </c>
      <c r="Y153">
        <v>1112101</v>
      </c>
      <c r="Z153">
        <v>-36951321</v>
      </c>
      <c r="AA153">
        <v>250857000</v>
      </c>
      <c r="AB153">
        <v>0</v>
      </c>
      <c r="AC153">
        <v>0</v>
      </c>
      <c r="AD153">
        <v>1024000</v>
      </c>
      <c r="AE153">
        <v>97132000</v>
      </c>
      <c r="AF153">
        <v>178155000</v>
      </c>
      <c r="AG153">
        <v>-13469362</v>
      </c>
      <c r="AH153">
        <v>-69381</v>
      </c>
      <c r="AI153">
        <v>87580</v>
      </c>
      <c r="AJ153">
        <v>0</v>
      </c>
      <c r="AK153">
        <v>0</v>
      </c>
      <c r="AL153">
        <v>0</v>
      </c>
      <c r="AM153">
        <v>2970000</v>
      </c>
      <c r="AN153">
        <v>-35839220</v>
      </c>
      <c r="AO153" s="9">
        <v>281736000</v>
      </c>
      <c r="AP153">
        <v>1733220</v>
      </c>
      <c r="AQ153">
        <v>98910013</v>
      </c>
      <c r="AR153">
        <v>0</v>
      </c>
      <c r="AS153">
        <v>1335550</v>
      </c>
      <c r="AT153">
        <v>25386632.300000001</v>
      </c>
      <c r="AV153" s="10" t="s">
        <v>474</v>
      </c>
      <c r="AW153">
        <v>113</v>
      </c>
    </row>
    <row r="154" spans="1:49" x14ac:dyDescent="0.2">
      <c r="A154">
        <v>13</v>
      </c>
      <c r="B154" t="s">
        <v>303</v>
      </c>
      <c r="C154" t="s">
        <v>302</v>
      </c>
      <c r="D154" s="8" t="s">
        <v>304</v>
      </c>
      <c r="E154" t="s">
        <v>55</v>
      </c>
      <c r="F154" t="s">
        <v>316</v>
      </c>
      <c r="G154" s="2" t="d">
        <v>2025-05-13</v>
      </c>
      <c r="H154" s="2" t="d">
        <v>2025-05-13</v>
      </c>
      <c r="I154" s="7">
        <v>2025</v>
      </c>
      <c r="J154" t="s">
        <v>57</v>
      </c>
      <c r="K154">
        <v>9</v>
      </c>
      <c r="L154" s="2" t="d">
        <v>2025-01-01</v>
      </c>
      <c r="M154" s="2" t="d">
        <v>2025-03-31</v>
      </c>
      <c r="N154" t="s">
        <v>468</v>
      </c>
      <c r="O154" t="s">
        <v>468</v>
      </c>
      <c r="P154" s="7">
        <v>2025</v>
      </c>
      <c r="Q154" t="s">
        <v>57</v>
      </c>
      <c r="R154" t="s">
        <v>59</v>
      </c>
      <c r="S154" t="s">
        <v>313</v>
      </c>
      <c r="T154" t="s">
        <v>109</v>
      </c>
      <c r="W154">
        <v>-17874000</v>
      </c>
      <c r="X154">
        <v>7846000</v>
      </c>
      <c r="Y154">
        <v>4411000</v>
      </c>
      <c r="Z154">
        <v>-14221000</v>
      </c>
      <c r="AA154">
        <v>269330000</v>
      </c>
      <c r="AB154">
        <v>0</v>
      </c>
      <c r="AC154">
        <v>0</v>
      </c>
      <c r="AD154">
        <v>1793000</v>
      </c>
      <c r="AE154">
        <v>90078000</v>
      </c>
      <c r="AF154">
        <v>170610000</v>
      </c>
      <c r="AG154">
        <v>-12243000</v>
      </c>
      <c r="AH154">
        <v>-332000</v>
      </c>
      <c r="AI154">
        <v>124000</v>
      </c>
      <c r="AJ154">
        <v>-900000</v>
      </c>
      <c r="AK154">
        <v>0</v>
      </c>
      <c r="AL154">
        <v>0</v>
      </c>
      <c r="AM154">
        <v>1430000</v>
      </c>
      <c r="AN154">
        <v>-9810000</v>
      </c>
      <c r="AO154" s="9">
        <v>302146000</v>
      </c>
      <c r="AP154">
        <v>2311000</v>
      </c>
      <c r="AQ154">
        <v>138109974</v>
      </c>
      <c r="AR154">
        <v>0</v>
      </c>
      <c r="AS154">
        <v>1727850</v>
      </c>
      <c r="AT154">
        <v>31897082.300000001</v>
      </c>
      <c r="AV154" s="10" t="s">
        <v>474</v>
      </c>
      <c r="AW154">
        <v>113</v>
      </c>
    </row>
    <row r="155" spans="1:49" x14ac:dyDescent="0.2">
      <c r="A155">
        <v>13</v>
      </c>
      <c r="B155" t="s">
        <v>303</v>
      </c>
      <c r="C155" t="s">
        <v>302</v>
      </c>
      <c r="D155" s="8" t="s">
        <v>304</v>
      </c>
      <c r="E155" t="s">
        <v>55</v>
      </c>
      <c r="F155" t="s">
        <v>317</v>
      </c>
      <c r="G155" s="2" t="d">
        <v>2025-08-11</v>
      </c>
      <c r="H155" s="2" t="d">
        <v>2025-08-11</v>
      </c>
      <c r="I155" s="7">
        <v>2025</v>
      </c>
      <c r="J155" t="s">
        <v>58</v>
      </c>
      <c r="K155">
        <v>10</v>
      </c>
      <c r="L155" s="2" t="d">
        <v>2025-04-01</v>
      </c>
      <c r="M155" s="2" t="d">
        <v>2025-06-30</v>
      </c>
      <c r="N155" t="s">
        <v>467</v>
      </c>
      <c r="O155" t="s">
        <v>467</v>
      </c>
      <c r="P155" s="7">
        <v>2025</v>
      </c>
      <c r="Q155" t="s">
        <v>58</v>
      </c>
      <c r="R155" t="s">
        <v>59</v>
      </c>
      <c r="S155" t="s">
        <v>313</v>
      </c>
      <c r="T155" t="s">
        <v>109</v>
      </c>
      <c r="W155">
        <v>-28015000</v>
      </c>
      <c r="X155">
        <v>11468000</v>
      </c>
      <c r="Y155">
        <v>-431000</v>
      </c>
      <c r="Z155">
        <v>-24254000</v>
      </c>
      <c r="AA155">
        <v>696411000</v>
      </c>
      <c r="AB155">
        <v>0</v>
      </c>
      <c r="AC155">
        <v>0</v>
      </c>
      <c r="AD155">
        <v>1864000</v>
      </c>
      <c r="AE155">
        <v>226771000</v>
      </c>
      <c r="AF155">
        <v>456194000</v>
      </c>
      <c r="AG155">
        <v>-18471000</v>
      </c>
      <c r="AH155">
        <v>-877000</v>
      </c>
      <c r="AI155">
        <v>125000</v>
      </c>
      <c r="AJ155">
        <v>0</v>
      </c>
      <c r="AK155">
        <v>0</v>
      </c>
      <c r="AL155">
        <v>0</v>
      </c>
      <c r="AM155">
        <v>2340000</v>
      </c>
      <c r="AN155">
        <v>-24685000</v>
      </c>
      <c r="AO155" s="9">
        <v>731084000</v>
      </c>
      <c r="AP155">
        <v>11365000</v>
      </c>
      <c r="AQ155">
        <v>140085498</v>
      </c>
      <c r="AR155">
        <v>0</v>
      </c>
      <c r="AS155">
        <v>2301250</v>
      </c>
      <c r="AT155">
        <v>41637232.299999997</v>
      </c>
      <c r="AV155" s="10" t="s">
        <v>474</v>
      </c>
      <c r="AW155">
        <v>113</v>
      </c>
    </row>
    <row r="156" spans="1:49" x14ac:dyDescent="0.2">
      <c r="A156">
        <v>13</v>
      </c>
      <c r="B156" t="s">
        <v>303</v>
      </c>
      <c r="C156" t="s">
        <v>302</v>
      </c>
      <c r="D156" s="8" t="s">
        <v>304</v>
      </c>
      <c r="E156" t="s">
        <v>55</v>
      </c>
      <c r="F156" t="s">
        <v>318</v>
      </c>
      <c r="G156" s="2" t="d">
        <v>2025-11-12</v>
      </c>
      <c r="H156" s="2" t="d">
        <v>2025-11-12</v>
      </c>
      <c r="I156" s="7">
        <v>2025</v>
      </c>
      <c r="J156" t="s">
        <v>63</v>
      </c>
      <c r="K156">
        <v>11</v>
      </c>
      <c r="L156" s="2" t="d">
        <v>2025-07-01</v>
      </c>
      <c r="M156" s="2" t="d">
        <v>2025-09-30</v>
      </c>
      <c r="N156" t="s">
        <v>467</v>
      </c>
      <c r="O156" t="s">
        <v>467</v>
      </c>
      <c r="P156" s="7">
        <v>2025</v>
      </c>
      <c r="Q156" t="s">
        <v>63</v>
      </c>
      <c r="R156" t="s">
        <v>59</v>
      </c>
      <c r="S156" t="s">
        <v>313</v>
      </c>
      <c r="T156" t="s">
        <v>109</v>
      </c>
      <c r="W156">
        <v>-36309000</v>
      </c>
      <c r="X156">
        <v>14945000</v>
      </c>
      <c r="Y156">
        <v>-531000</v>
      </c>
      <c r="Z156">
        <v>-29191000</v>
      </c>
      <c r="AA156">
        <v>1205586000</v>
      </c>
      <c r="AB156">
        <v>0</v>
      </c>
      <c r="AC156">
        <v>0</v>
      </c>
      <c r="AD156">
        <v>1661000</v>
      </c>
      <c r="AE156">
        <v>410041000</v>
      </c>
      <c r="AF156">
        <v>773522000</v>
      </c>
      <c r="AG156">
        <v>-18031000</v>
      </c>
      <c r="AH156">
        <v>-5046000</v>
      </c>
      <c r="AI156">
        <v>124000</v>
      </c>
      <c r="AJ156">
        <v>0</v>
      </c>
      <c r="AK156">
        <v>0</v>
      </c>
      <c r="AL156">
        <v>0</v>
      </c>
      <c r="AM156">
        <v>2023000</v>
      </c>
      <c r="AN156">
        <v>-29722000</v>
      </c>
      <c r="AO156" s="9">
        <v>1246219000</v>
      </c>
      <c r="AP156">
        <v>9120000</v>
      </c>
      <c r="AQ156">
        <v>150364909</v>
      </c>
      <c r="AR156">
        <v>0</v>
      </c>
      <c r="AS156">
        <v>3048500</v>
      </c>
      <c r="AT156">
        <v>54280982.299999997</v>
      </c>
      <c r="AV156" s="10" t="s">
        <v>474</v>
      </c>
      <c r="AW156">
        <v>113</v>
      </c>
    </row>
    <row r="157" spans="1:49" x14ac:dyDescent="0.2">
      <c r="A157">
        <v>13</v>
      </c>
      <c r="B157" t="s">
        <v>303</v>
      </c>
      <c r="C157" t="s">
        <v>302</v>
      </c>
      <c r="D157" s="8" t="s">
        <v>304</v>
      </c>
      <c r="E157" t="s">
        <v>66</v>
      </c>
      <c r="F157" t="s">
        <v>319</v>
      </c>
      <c r="G157" s="2" t="d">
        <v>2026-03-17</v>
      </c>
      <c r="H157" s="2" t="d">
        <v>2026-03-17</v>
      </c>
      <c r="I157" s="7">
        <v>2025</v>
      </c>
      <c r="J157" t="s">
        <v>65</v>
      </c>
      <c r="K157">
        <v>12</v>
      </c>
      <c r="L157" s="2" t="d">
        <v>2025-10-01</v>
      </c>
      <c r="M157" s="2" t="d">
        <v>2025-12-31</v>
      </c>
      <c r="N157" t="s">
        <v>467</v>
      </c>
      <c r="O157" t="s">
        <v>467</v>
      </c>
      <c r="P157" s="7">
        <v>2025</v>
      </c>
      <c r="Q157" t="s">
        <v>65</v>
      </c>
      <c r="R157" t="s">
        <v>59</v>
      </c>
      <c r="S157" t="s">
        <v>313</v>
      </c>
      <c r="T157" t="s">
        <v>109</v>
      </c>
      <c r="W157">
        <v>-57096000</v>
      </c>
      <c r="X157">
        <v>24593000</v>
      </c>
      <c r="Y157">
        <v>1080000</v>
      </c>
      <c r="Z157">
        <v>-42526000</v>
      </c>
      <c r="AA157">
        <v>1476210000</v>
      </c>
      <c r="AB157">
        <v>0</v>
      </c>
      <c r="AC157">
        <v>0</v>
      </c>
      <c r="AD157">
        <v>1450000</v>
      </c>
      <c r="AE157">
        <v>788445000</v>
      </c>
      <c r="AF157">
        <v>624094000</v>
      </c>
      <c r="AG157">
        <v>-33429000</v>
      </c>
      <c r="AH157">
        <v>-26950000</v>
      </c>
      <c r="AI157">
        <v>149000</v>
      </c>
      <c r="AJ157">
        <v>0</v>
      </c>
      <c r="AK157">
        <v>0</v>
      </c>
      <c r="AL157">
        <v>0</v>
      </c>
      <c r="AM157">
        <v>4145000</v>
      </c>
      <c r="AN157">
        <v>-41446000</v>
      </c>
      <c r="AO157" s="9">
        <v>1528457000</v>
      </c>
      <c r="AP157">
        <v>18999000</v>
      </c>
      <c r="AQ157">
        <v>146351775</v>
      </c>
      <c r="AR157">
        <v>0</v>
      </c>
      <c r="AS157">
        <v>4278150</v>
      </c>
      <c r="AT157">
        <v>75825482.299999997</v>
      </c>
      <c r="AV157" s="10" t="s">
        <v>474</v>
      </c>
      <c r="AW157">
        <v>205</v>
      </c>
    </row>
    <row r="158" spans="1:49" x14ac:dyDescent="0.2">
      <c r="A158">
        <v>14</v>
      </c>
      <c r="B158" t="s">
        <v>342</v>
      </c>
      <c r="C158" t="s">
        <v>321</v>
      </c>
      <c r="D158" s="8" t="s">
        <v>322</v>
      </c>
      <c r="E158" t="s">
        <v>55</v>
      </c>
      <c r="F158" t="s">
        <v>320</v>
      </c>
      <c r="G158" s="2" t="d">
        <v>2023-06-01</v>
      </c>
      <c r="H158" s="2" t="d">
        <v>2023-06-01</v>
      </c>
      <c r="I158" s="7">
        <v>2024</v>
      </c>
      <c r="J158" t="s">
        <v>57</v>
      </c>
      <c r="K158">
        <v>1</v>
      </c>
      <c r="L158" s="2" t="d">
        <v>2023-02-01</v>
      </c>
      <c r="M158" s="2" t="d">
        <v>2023-04-30</v>
      </c>
      <c r="N158" t="s">
        <v>468</v>
      </c>
      <c r="O158" t="s">
        <v>468</v>
      </c>
      <c r="P158" s="7">
        <v>2023</v>
      </c>
      <c r="Q158" t="s">
        <v>58</v>
      </c>
      <c r="R158" t="s">
        <v>59</v>
      </c>
      <c r="S158" t="s">
        <v>325</v>
      </c>
      <c r="T158" t="s">
        <v>109</v>
      </c>
      <c r="U158">
        <v>133393000</v>
      </c>
      <c r="V158">
        <v>42583000</v>
      </c>
      <c r="W158">
        <v>-115377000</v>
      </c>
      <c r="X158">
        <v>55263000</v>
      </c>
      <c r="Y158">
        <v>1061000</v>
      </c>
      <c r="Z158">
        <v>-105808000</v>
      </c>
      <c r="AA158">
        <v>1617174000</v>
      </c>
      <c r="AB158">
        <v>0</v>
      </c>
      <c r="AC158">
        <v>0</v>
      </c>
      <c r="AD158">
        <v>26480000</v>
      </c>
      <c r="AE158">
        <v>150099000</v>
      </c>
      <c r="AF158">
        <v>568128000</v>
      </c>
      <c r="AG158">
        <v>-28059000</v>
      </c>
      <c r="AH158">
        <v>-462000</v>
      </c>
      <c r="AI158">
        <v>19855000</v>
      </c>
      <c r="AJ158">
        <v>0</v>
      </c>
      <c r="AK158">
        <v>128216000</v>
      </c>
      <c r="AL158">
        <v>0</v>
      </c>
      <c r="AM158">
        <v>13215000</v>
      </c>
      <c r="AN158">
        <v>-106869000</v>
      </c>
      <c r="AO158" s="9">
        <v>2212785000</v>
      </c>
      <c r="AP158">
        <v>55549000</v>
      </c>
      <c r="AQ158">
        <v>288300705</v>
      </c>
      <c r="AR158">
        <v>-607000</v>
      </c>
      <c r="AS158">
        <v>23814250</v>
      </c>
      <c r="AT158">
        <v>365306450</v>
      </c>
      <c r="AV158" s="10" t="s">
        <v>474</v>
      </c>
      <c r="AW158">
        <v>2100</v>
      </c>
    </row>
    <row r="159" spans="1:49" x14ac:dyDescent="0.2">
      <c r="A159">
        <v>14</v>
      </c>
      <c r="B159" t="s">
        <v>342</v>
      </c>
      <c r="C159" t="s">
        <v>321</v>
      </c>
      <c r="D159" s="8" t="s">
        <v>322</v>
      </c>
      <c r="E159" t="s">
        <v>55</v>
      </c>
      <c r="F159" t="s">
        <v>323</v>
      </c>
      <c r="G159" s="2" t="d">
        <v>2023-08-31</v>
      </c>
      <c r="H159" s="2" t="d">
        <v>2023-08-31</v>
      </c>
      <c r="I159" s="7">
        <v>2024</v>
      </c>
      <c r="J159" t="s">
        <v>58</v>
      </c>
      <c r="K159">
        <v>2</v>
      </c>
      <c r="L159" s="2" t="d">
        <v>2023-05-01</v>
      </c>
      <c r="M159" s="2" t="d">
        <v>2023-07-31</v>
      </c>
      <c r="N159" t="s">
        <v>467</v>
      </c>
      <c r="O159" t="s">
        <v>467</v>
      </c>
      <c r="P159" s="7">
        <v>2023</v>
      </c>
      <c r="Q159" t="s">
        <v>63</v>
      </c>
      <c r="R159" t="s">
        <v>59</v>
      </c>
      <c r="S159" t="s">
        <v>325</v>
      </c>
      <c r="T159" t="s">
        <v>109</v>
      </c>
      <c r="U159">
        <v>149421000</v>
      </c>
      <c r="V159">
        <v>44667000</v>
      </c>
      <c r="W159">
        <v>-100357000</v>
      </c>
      <c r="X159">
        <v>54161000</v>
      </c>
      <c r="Y159">
        <v>1474000</v>
      </c>
      <c r="Z159">
        <v>-88064000</v>
      </c>
      <c r="AA159">
        <v>1589319000</v>
      </c>
      <c r="AB159">
        <v>0</v>
      </c>
      <c r="AC159">
        <v>0</v>
      </c>
      <c r="AD159">
        <v>25156000</v>
      </c>
      <c r="AE159">
        <v>133065000</v>
      </c>
      <c r="AF159">
        <v>598531000</v>
      </c>
      <c r="AG159">
        <v>-11903000</v>
      </c>
      <c r="AH159">
        <v>-32000</v>
      </c>
      <c r="AI159">
        <v>21031000</v>
      </c>
      <c r="AJ159">
        <v>0</v>
      </c>
      <c r="AK159">
        <v>124525000</v>
      </c>
      <c r="AL159">
        <v>0</v>
      </c>
      <c r="AM159">
        <v>13840000</v>
      </c>
      <c r="AN159">
        <v>-89538000</v>
      </c>
      <c r="AO159" s="9">
        <v>2207197000</v>
      </c>
      <c r="AP159">
        <v>52846000</v>
      </c>
      <c r="AQ159">
        <v>293170401</v>
      </c>
      <c r="AR159">
        <v>-605000</v>
      </c>
      <c r="AS159">
        <v>26522300</v>
      </c>
      <c r="AT159">
        <v>395653200</v>
      </c>
      <c r="AV159" s="10" t="s">
        <v>474</v>
      </c>
      <c r="AW159">
        <v>2100</v>
      </c>
    </row>
    <row r="160" spans="1:49" x14ac:dyDescent="0.2">
      <c r="A160">
        <v>14</v>
      </c>
      <c r="B160" t="s">
        <v>342</v>
      </c>
      <c r="C160" t="s">
        <v>321</v>
      </c>
      <c r="D160" s="8" t="s">
        <v>322</v>
      </c>
      <c r="E160" t="s">
        <v>55</v>
      </c>
      <c r="F160" t="s">
        <v>324</v>
      </c>
      <c r="G160" s="2" t="d">
        <v>2023-12-05</v>
      </c>
      <c r="H160" s="2" t="d">
        <v>2023-12-05</v>
      </c>
      <c r="I160" s="7">
        <v>2024</v>
      </c>
      <c r="J160" t="s">
        <v>63</v>
      </c>
      <c r="K160">
        <v>3</v>
      </c>
      <c r="L160" s="2" t="d">
        <v>2023-08-01</v>
      </c>
      <c r="M160" s="2" t="d">
        <v>2023-10-31</v>
      </c>
      <c r="N160" t="s">
        <v>467</v>
      </c>
      <c r="O160" t="s">
        <v>467</v>
      </c>
      <c r="P160" s="7">
        <v>2023</v>
      </c>
      <c r="Q160" t="s">
        <v>65</v>
      </c>
      <c r="R160" t="s">
        <v>59</v>
      </c>
      <c r="S160" t="s">
        <v>325</v>
      </c>
      <c r="T160" t="s">
        <v>109</v>
      </c>
      <c r="U160">
        <v>164165000</v>
      </c>
      <c r="V160">
        <v>43765000</v>
      </c>
      <c r="W160">
        <v>-81468000</v>
      </c>
      <c r="X160">
        <v>52306000</v>
      </c>
      <c r="Y160">
        <v>1317000</v>
      </c>
      <c r="Z160">
        <v>-68987000</v>
      </c>
      <c r="AA160">
        <v>1580829000</v>
      </c>
      <c r="AB160">
        <v>0</v>
      </c>
      <c r="AC160">
        <v>0</v>
      </c>
      <c r="AD160">
        <v>22940000</v>
      </c>
      <c r="AE160">
        <v>127340000</v>
      </c>
      <c r="AF160">
        <v>670632000</v>
      </c>
      <c r="AG160">
        <v>-22230000</v>
      </c>
      <c r="AH160">
        <v>-623000</v>
      </c>
      <c r="AI160">
        <v>22362000</v>
      </c>
      <c r="AJ160">
        <v>0</v>
      </c>
      <c r="AK160">
        <v>133828000</v>
      </c>
      <c r="AL160">
        <v>0</v>
      </c>
      <c r="AM160">
        <v>13793000</v>
      </c>
      <c r="AN160">
        <v>-70304000</v>
      </c>
      <c r="AO160" s="9">
        <v>2195867000</v>
      </c>
      <c r="AP160">
        <v>54913000</v>
      </c>
      <c r="AQ160">
        <v>296650848</v>
      </c>
      <c r="AR160">
        <v>-1000</v>
      </c>
      <c r="AS160">
        <v>29137600</v>
      </c>
      <c r="AT160">
        <v>421436900</v>
      </c>
      <c r="AV160" s="10" t="s">
        <v>474</v>
      </c>
      <c r="AW160">
        <v>2100</v>
      </c>
    </row>
    <row r="161" spans="1:49" x14ac:dyDescent="0.2">
      <c r="A161">
        <v>14</v>
      </c>
      <c r="B161" t="s">
        <v>342</v>
      </c>
      <c r="C161" t="s">
        <v>321</v>
      </c>
      <c r="D161" s="8" t="s">
        <v>322</v>
      </c>
      <c r="E161" t="s">
        <v>66</v>
      </c>
      <c r="F161" t="s">
        <v>326</v>
      </c>
      <c r="G161" s="2" t="d">
        <v>2024-03-27</v>
      </c>
      <c r="H161" s="2" t="d">
        <v>2024-03-27</v>
      </c>
      <c r="I161" s="7">
        <v>2024</v>
      </c>
      <c r="J161" t="s">
        <v>65</v>
      </c>
      <c r="K161">
        <v>4</v>
      </c>
      <c r="L161" s="2" t="d">
        <v>2023-11-01</v>
      </c>
      <c r="M161" s="2" t="d">
        <v>2024-01-31</v>
      </c>
      <c r="N161" t="s">
        <v>467</v>
      </c>
      <c r="O161" t="s">
        <v>467</v>
      </c>
      <c r="P161" s="7">
        <v>2024</v>
      </c>
      <c r="Q161" t="s">
        <v>57</v>
      </c>
      <c r="R161" t="s">
        <v>59</v>
      </c>
      <c r="S161" t="s">
        <v>325</v>
      </c>
      <c r="T161" t="s">
        <v>109</v>
      </c>
      <c r="U161">
        <v>174175000</v>
      </c>
      <c r="V161">
        <v>48266000</v>
      </c>
      <c r="W161">
        <v>-81214000</v>
      </c>
      <c r="X161">
        <v>56446000</v>
      </c>
      <c r="Y161">
        <v>2007000</v>
      </c>
      <c r="Z161">
        <v>-69975000</v>
      </c>
      <c r="AA161">
        <v>1594043000</v>
      </c>
      <c r="AB161">
        <v>0</v>
      </c>
      <c r="AC161">
        <v>0</v>
      </c>
      <c r="AD161">
        <v>22928000</v>
      </c>
      <c r="AE161">
        <v>256651000</v>
      </c>
      <c r="AF161">
        <v>669305000</v>
      </c>
      <c r="AG161">
        <v>-6182000</v>
      </c>
      <c r="AH161">
        <v>-187000</v>
      </c>
      <c r="AI161">
        <v>24346000</v>
      </c>
      <c r="AJ161">
        <v>-13585000</v>
      </c>
      <c r="AK161">
        <v>214322000</v>
      </c>
      <c r="AL161">
        <v>0</v>
      </c>
      <c r="AM161">
        <v>6759000</v>
      </c>
      <c r="AN161">
        <v>-71982000</v>
      </c>
      <c r="AO161" s="9">
        <v>2321407000</v>
      </c>
      <c r="AP161">
        <v>53562000</v>
      </c>
      <c r="AQ161">
        <v>294923536</v>
      </c>
      <c r="AR161">
        <v>-1216000</v>
      </c>
      <c r="AS161">
        <v>31959900</v>
      </c>
      <c r="AT161">
        <v>448745300</v>
      </c>
      <c r="AV161" s="10" t="s">
        <v>474</v>
      </c>
      <c r="AW161">
        <v>2300</v>
      </c>
    </row>
    <row r="162" spans="1:49" x14ac:dyDescent="0.2">
      <c r="A162">
        <v>14</v>
      </c>
      <c r="B162" t="s">
        <v>342</v>
      </c>
      <c r="C162" t="s">
        <v>321</v>
      </c>
      <c r="D162" s="8" t="s">
        <v>322</v>
      </c>
      <c r="E162" t="s">
        <v>55</v>
      </c>
      <c r="F162" t="s">
        <v>327</v>
      </c>
      <c r="G162" s="2" t="d">
        <v>2024-05-30</v>
      </c>
      <c r="H162" s="2" t="d">
        <v>2024-05-30</v>
      </c>
      <c r="I162" s="7">
        <v>2025</v>
      </c>
      <c r="J162" t="s">
        <v>57</v>
      </c>
      <c r="K162">
        <v>5</v>
      </c>
      <c r="L162" s="2" t="d">
        <v>2024-02-01</v>
      </c>
      <c r="M162" s="2" t="d">
        <v>2024-04-30</v>
      </c>
      <c r="N162" t="s">
        <v>468</v>
      </c>
      <c r="O162" t="s">
        <v>468</v>
      </c>
      <c r="P162" s="7">
        <v>2024</v>
      </c>
      <c r="Q162" t="s">
        <v>58</v>
      </c>
      <c r="R162" t="s">
        <v>59</v>
      </c>
      <c r="S162" t="s">
        <v>325</v>
      </c>
      <c r="T162" t="s">
        <v>109</v>
      </c>
      <c r="U162">
        <v>186355000</v>
      </c>
      <c r="V162">
        <v>50137000</v>
      </c>
      <c r="W162">
        <v>-80600000</v>
      </c>
      <c r="X162">
        <v>58321000</v>
      </c>
      <c r="Y162">
        <v>1512000</v>
      </c>
      <c r="Z162">
        <v>-68593000</v>
      </c>
      <c r="AA162">
        <v>1615620000</v>
      </c>
      <c r="AB162">
        <v>0</v>
      </c>
      <c r="AC162">
        <v>0</v>
      </c>
      <c r="AD162">
        <v>21446000</v>
      </c>
      <c r="AE162">
        <v>198716000</v>
      </c>
      <c r="AF162">
        <v>574488000</v>
      </c>
      <c r="AG162">
        <v>42003000</v>
      </c>
      <c r="AH162">
        <v>-886000</v>
      </c>
      <c r="AI162">
        <v>25975000</v>
      </c>
      <c r="AJ162">
        <v>-61553000</v>
      </c>
      <c r="AK162">
        <v>133773000</v>
      </c>
      <c r="AL162">
        <v>0</v>
      </c>
      <c r="AM162">
        <v>9202000</v>
      </c>
      <c r="AN162">
        <v>-70105000</v>
      </c>
      <c r="AO162" s="9">
        <v>2309730000</v>
      </c>
      <c r="AP162">
        <v>58553000</v>
      </c>
      <c r="AQ162">
        <v>309547693</v>
      </c>
      <c r="AR162">
        <v>-36000</v>
      </c>
      <c r="AS162">
        <v>34875950</v>
      </c>
      <c r="AT162">
        <v>475106400</v>
      </c>
      <c r="AV162" s="10" t="s">
        <v>474</v>
      </c>
      <c r="AW162">
        <v>2300</v>
      </c>
    </row>
    <row r="163" spans="1:49" x14ac:dyDescent="0.2">
      <c r="A163">
        <v>14</v>
      </c>
      <c r="B163" t="s">
        <v>342</v>
      </c>
      <c r="C163" t="s">
        <v>321</v>
      </c>
      <c r="D163" s="8" t="s">
        <v>322</v>
      </c>
      <c r="E163" t="s">
        <v>55</v>
      </c>
      <c r="F163" t="s">
        <v>328</v>
      </c>
      <c r="G163" s="2" t="d">
        <v>2024-08-27</v>
      </c>
      <c r="H163" s="2" t="d">
        <v>2024-08-27</v>
      </c>
      <c r="I163" s="7">
        <v>2025</v>
      </c>
      <c r="J163" t="s">
        <v>58</v>
      </c>
      <c r="K163">
        <v>6</v>
      </c>
      <c r="L163" s="2" t="d">
        <v>2024-05-01</v>
      </c>
      <c r="M163" s="2" t="d">
        <v>2024-07-31</v>
      </c>
      <c r="N163" t="s">
        <v>467</v>
      </c>
      <c r="O163" t="s">
        <v>467</v>
      </c>
      <c r="P163" s="7">
        <v>2024</v>
      </c>
      <c r="Q163" t="s">
        <v>63</v>
      </c>
      <c r="R163" t="s">
        <v>59</v>
      </c>
      <c r="S163" t="s">
        <v>325</v>
      </c>
      <c r="T163" t="s">
        <v>109</v>
      </c>
      <c r="U163">
        <v>198937000</v>
      </c>
      <c r="V163">
        <v>50699000</v>
      </c>
      <c r="W163">
        <v>-79381000</v>
      </c>
      <c r="X163">
        <v>63602000</v>
      </c>
      <c r="Y163">
        <v>2199000</v>
      </c>
      <c r="Z163">
        <v>-66985000</v>
      </c>
      <c r="AA163">
        <v>1633687000</v>
      </c>
      <c r="AB163">
        <v>0</v>
      </c>
      <c r="AC163">
        <v>0</v>
      </c>
      <c r="AD163">
        <v>20127000</v>
      </c>
      <c r="AE163">
        <v>205898000</v>
      </c>
      <c r="AF163">
        <v>502274000</v>
      </c>
      <c r="AG163">
        <v>2300000</v>
      </c>
      <c r="AH163">
        <v>-553000</v>
      </c>
      <c r="AI163">
        <v>26387000</v>
      </c>
      <c r="AJ163">
        <v>0</v>
      </c>
      <c r="AK163">
        <v>155148000</v>
      </c>
      <c r="AL163">
        <v>0</v>
      </c>
      <c r="AM163">
        <v>6746000</v>
      </c>
      <c r="AN163">
        <v>-69184000</v>
      </c>
      <c r="AO163" s="9">
        <v>2347119000</v>
      </c>
      <c r="AP163">
        <v>64677000</v>
      </c>
      <c r="AQ163">
        <v>312615531</v>
      </c>
      <c r="AR163">
        <v>-36000</v>
      </c>
      <c r="AS163">
        <v>38056050</v>
      </c>
      <c r="AT163">
        <v>503832450</v>
      </c>
      <c r="AV163" s="10" t="s">
        <v>474</v>
      </c>
      <c r="AW163">
        <v>2300</v>
      </c>
    </row>
    <row r="164" spans="1:49" x14ac:dyDescent="0.2">
      <c r="A164">
        <v>14</v>
      </c>
      <c r="B164" t="s">
        <v>342</v>
      </c>
      <c r="C164" t="s">
        <v>321</v>
      </c>
      <c r="D164" s="8" t="s">
        <v>322</v>
      </c>
      <c r="E164" t="s">
        <v>55</v>
      </c>
      <c r="F164" t="s">
        <v>329</v>
      </c>
      <c r="G164" s="2" t="d">
        <v>2024-12-04</v>
      </c>
      <c r="H164" s="2" t="d">
        <v>2024-12-04</v>
      </c>
      <c r="I164" s="7">
        <v>2025</v>
      </c>
      <c r="J164" t="s">
        <v>63</v>
      </c>
      <c r="K164">
        <v>7</v>
      </c>
      <c r="L164" s="2" t="d">
        <v>2024-08-01</v>
      </c>
      <c r="M164" s="2" t="d">
        <v>2024-10-31</v>
      </c>
      <c r="N164" t="s">
        <v>467</v>
      </c>
      <c r="O164" t="s">
        <v>467</v>
      </c>
      <c r="P164" s="7">
        <v>2024</v>
      </c>
      <c r="Q164" t="s">
        <v>65</v>
      </c>
      <c r="R164" t="s">
        <v>59</v>
      </c>
      <c r="S164" t="s">
        <v>325</v>
      </c>
      <c r="T164" t="s">
        <v>109</v>
      </c>
      <c r="U164">
        <v>210648000</v>
      </c>
      <c r="V164">
        <v>53260000</v>
      </c>
      <c r="W164">
        <v>-89120000</v>
      </c>
      <c r="X164">
        <v>70453000</v>
      </c>
      <c r="Y164">
        <v>1524000</v>
      </c>
      <c r="Z164">
        <v>-76840000</v>
      </c>
      <c r="AA164">
        <v>1639523000</v>
      </c>
      <c r="AB164">
        <v>0</v>
      </c>
      <c r="AC164">
        <v>0</v>
      </c>
      <c r="AD164">
        <v>20095000</v>
      </c>
      <c r="AE164">
        <v>235742000</v>
      </c>
      <c r="AF164">
        <v>424517000</v>
      </c>
      <c r="AG164">
        <v>-7174000</v>
      </c>
      <c r="AH164">
        <v>-227000</v>
      </c>
      <c r="AI164">
        <v>27760000</v>
      </c>
      <c r="AJ164">
        <v>0</v>
      </c>
      <c r="AK164">
        <v>164603000</v>
      </c>
      <c r="AL164">
        <v>0</v>
      </c>
      <c r="AM164">
        <v>9706000</v>
      </c>
      <c r="AN164">
        <v>-78364000</v>
      </c>
      <c r="AO164" s="9">
        <v>2367020000</v>
      </c>
      <c r="AP164">
        <v>70188000</v>
      </c>
      <c r="AQ164">
        <v>316987303</v>
      </c>
      <c r="AR164">
        <v>-38000</v>
      </c>
      <c r="AS164">
        <v>41578700</v>
      </c>
      <c r="AT164">
        <v>536229400</v>
      </c>
      <c r="AV164" s="10" t="s">
        <v>474</v>
      </c>
      <c r="AW164">
        <v>2300</v>
      </c>
    </row>
    <row r="165" spans="1:49" x14ac:dyDescent="0.2">
      <c r="A165">
        <v>14</v>
      </c>
      <c r="B165" t="s">
        <v>342</v>
      </c>
      <c r="C165" t="s">
        <v>321</v>
      </c>
      <c r="D165" s="8" t="s">
        <v>322</v>
      </c>
      <c r="E165" t="s">
        <v>66</v>
      </c>
      <c r="F165" t="s">
        <v>330</v>
      </c>
      <c r="G165" s="2" t="d">
        <v>2025-03-26</v>
      </c>
      <c r="H165" s="2" t="d">
        <v>2025-03-26</v>
      </c>
      <c r="I165" s="7">
        <v>2025</v>
      </c>
      <c r="J165" t="s">
        <v>65</v>
      </c>
      <c r="K165">
        <v>8</v>
      </c>
      <c r="L165" s="2" t="d">
        <v>2024-11-01</v>
      </c>
      <c r="M165" s="2" t="d">
        <v>2025-01-31</v>
      </c>
      <c r="N165" t="s">
        <v>467</v>
      </c>
      <c r="O165" t="s">
        <v>467</v>
      </c>
      <c r="P165" s="7">
        <v>2025</v>
      </c>
      <c r="Q165" t="s">
        <v>57</v>
      </c>
      <c r="R165" t="s">
        <v>59</v>
      </c>
      <c r="S165" t="s">
        <v>331</v>
      </c>
      <c r="T165" t="s">
        <v>109</v>
      </c>
      <c r="U165">
        <v>225521000</v>
      </c>
      <c r="V165">
        <v>57010000</v>
      </c>
      <c r="W165">
        <v>-80258000</v>
      </c>
      <c r="X165">
        <v>74626000</v>
      </c>
      <c r="Y165">
        <v>1599000</v>
      </c>
      <c r="Z165">
        <v>-69189000</v>
      </c>
      <c r="AA165">
        <v>1669247000</v>
      </c>
      <c r="AB165">
        <v>0</v>
      </c>
      <c r="AC165">
        <v>0</v>
      </c>
      <c r="AD165">
        <v>19065000</v>
      </c>
      <c r="AE165">
        <v>186574000</v>
      </c>
      <c r="AF165">
        <v>535331000</v>
      </c>
      <c r="AG165">
        <v>-3401000</v>
      </c>
      <c r="AH165">
        <v>-194000</v>
      </c>
      <c r="AI165">
        <v>29284000</v>
      </c>
      <c r="AJ165">
        <v>-62284000</v>
      </c>
      <c r="AK165">
        <v>236012000</v>
      </c>
      <c r="AL165">
        <v>0</v>
      </c>
      <c r="AM165">
        <v>8159000</v>
      </c>
      <c r="AN165">
        <v>-70788000</v>
      </c>
      <c r="AO165" s="9">
        <v>2406625000</v>
      </c>
      <c r="AP165">
        <v>74113000</v>
      </c>
      <c r="AQ165">
        <v>314811783</v>
      </c>
      <c r="AR165">
        <v>-61000</v>
      </c>
      <c r="AS165">
        <v>45310000</v>
      </c>
      <c r="AT165">
        <v>569276700</v>
      </c>
      <c r="AV165" s="10" t="s">
        <v>474</v>
      </c>
      <c r="AW165">
        <v>2800</v>
      </c>
    </row>
    <row r="166" spans="1:49" x14ac:dyDescent="0.2">
      <c r="A166">
        <v>14</v>
      </c>
      <c r="B166" t="s">
        <v>342</v>
      </c>
      <c r="C166" t="s">
        <v>321</v>
      </c>
      <c r="D166" s="8" t="s">
        <v>322</v>
      </c>
      <c r="E166" t="s">
        <v>55</v>
      </c>
      <c r="F166" t="s">
        <v>332</v>
      </c>
      <c r="G166" s="2" t="d">
        <v>2025-05-28</v>
      </c>
      <c r="H166" s="2" t="d">
        <v>2025-05-28</v>
      </c>
      <c r="I166" s="7">
        <v>2026</v>
      </c>
      <c r="J166" t="s">
        <v>57</v>
      </c>
      <c r="K166">
        <v>9</v>
      </c>
      <c r="L166" s="2" t="d">
        <v>2025-02-01</v>
      </c>
      <c r="M166" s="2" t="d">
        <v>2025-04-30</v>
      </c>
      <c r="N166" t="s">
        <v>468</v>
      </c>
      <c r="O166" t="s">
        <v>468</v>
      </c>
      <c r="P166" s="7">
        <v>2025</v>
      </c>
      <c r="Q166" t="s">
        <v>58</v>
      </c>
      <c r="R166" t="s">
        <v>59</v>
      </c>
      <c r="S166" t="s">
        <v>333</v>
      </c>
      <c r="T166" t="s">
        <v>109</v>
      </c>
      <c r="U166">
        <v>229029000</v>
      </c>
      <c r="V166">
        <v>56532000</v>
      </c>
      <c r="W166">
        <v>-87483000</v>
      </c>
      <c r="X166">
        <v>72253000</v>
      </c>
      <c r="Y166">
        <v>133492000</v>
      </c>
      <c r="Z166">
        <v>-74701000</v>
      </c>
      <c r="AA166">
        <v>1546542000</v>
      </c>
      <c r="AB166">
        <v>0</v>
      </c>
      <c r="AC166">
        <v>0</v>
      </c>
      <c r="AD166">
        <v>12559000</v>
      </c>
      <c r="AE166">
        <v>188624000</v>
      </c>
      <c r="AF166">
        <v>578294000</v>
      </c>
      <c r="AG166">
        <v>52274000</v>
      </c>
      <c r="AH166">
        <v>-146000</v>
      </c>
      <c r="AI166">
        <v>29458000</v>
      </c>
      <c r="AJ166">
        <v>0</v>
      </c>
      <c r="AK166">
        <v>155010000</v>
      </c>
      <c r="AL166">
        <v>0</v>
      </c>
      <c r="AM166">
        <v>21572000</v>
      </c>
      <c r="AN166">
        <v>-208193000</v>
      </c>
      <c r="AO166" s="9">
        <v>2383951000</v>
      </c>
      <c r="AP166">
        <v>68655000</v>
      </c>
      <c r="AQ166">
        <v>327976349</v>
      </c>
      <c r="AR166">
        <v>0</v>
      </c>
      <c r="AS166">
        <v>47950900</v>
      </c>
      <c r="AT166">
        <v>596219700</v>
      </c>
      <c r="AV166" s="10" t="s">
        <v>474</v>
      </c>
      <c r="AW166">
        <v>2800</v>
      </c>
    </row>
    <row r="167" spans="1:49" x14ac:dyDescent="0.2">
      <c r="A167">
        <v>14</v>
      </c>
      <c r="B167" t="s">
        <v>342</v>
      </c>
      <c r="C167" t="s">
        <v>321</v>
      </c>
      <c r="D167" s="8" t="s">
        <v>322</v>
      </c>
      <c r="E167" t="s">
        <v>55</v>
      </c>
      <c r="F167" t="s">
        <v>334</v>
      </c>
      <c r="G167" s="2" t="d">
        <v>2025-08-28</v>
      </c>
      <c r="H167" s="2" t="d">
        <v>2025-08-28</v>
      </c>
      <c r="I167" s="7">
        <v>2026</v>
      </c>
      <c r="J167" t="s">
        <v>58</v>
      </c>
      <c r="K167">
        <v>10</v>
      </c>
      <c r="L167" s="2" t="d">
        <v>2025-05-01</v>
      </c>
      <c r="M167" s="2" t="d">
        <v>2025-07-31</v>
      </c>
      <c r="N167" t="s">
        <v>467</v>
      </c>
      <c r="O167" t="s">
        <v>467</v>
      </c>
      <c r="P167" s="7">
        <v>2025</v>
      </c>
      <c r="Q167" t="s">
        <v>63</v>
      </c>
      <c r="R167" t="s">
        <v>59</v>
      </c>
      <c r="S167" t="s">
        <v>333</v>
      </c>
      <c r="T167" t="s">
        <v>109</v>
      </c>
      <c r="U167">
        <v>242183000</v>
      </c>
      <c r="V167">
        <v>60474000</v>
      </c>
      <c r="W167">
        <v>-80618000</v>
      </c>
      <c r="X167">
        <v>79091000</v>
      </c>
      <c r="Y167">
        <v>3270000</v>
      </c>
      <c r="Z167">
        <v>-68749000</v>
      </c>
      <c r="AA167">
        <v>1507786000</v>
      </c>
      <c r="AB167">
        <v>0</v>
      </c>
      <c r="AC167">
        <v>0</v>
      </c>
      <c r="AD167">
        <v>11543000</v>
      </c>
      <c r="AE167">
        <v>278005000</v>
      </c>
      <c r="AF167">
        <v>532818000</v>
      </c>
      <c r="AG167">
        <v>-1043000</v>
      </c>
      <c r="AH167">
        <v>-264000</v>
      </c>
      <c r="AI167">
        <v>31166000</v>
      </c>
      <c r="AJ167">
        <v>0</v>
      </c>
      <c r="AK167">
        <v>179332000</v>
      </c>
      <c r="AL167">
        <v>0</v>
      </c>
      <c r="AM167">
        <v>9725000</v>
      </c>
      <c r="AN167">
        <v>-72019000</v>
      </c>
      <c r="AO167" s="9">
        <v>2350484000</v>
      </c>
      <c r="AP167">
        <v>73884000</v>
      </c>
      <c r="AQ167">
        <v>330938421</v>
      </c>
      <c r="AR167">
        <v>0</v>
      </c>
      <c r="AS167">
        <v>50933700</v>
      </c>
      <c r="AT167">
        <v>627359800</v>
      </c>
      <c r="AV167" s="10" t="s">
        <v>474</v>
      </c>
      <c r="AW167">
        <v>2800</v>
      </c>
    </row>
    <row r="168" spans="1:49" x14ac:dyDescent="0.2">
      <c r="A168">
        <v>14</v>
      </c>
      <c r="B168" t="s">
        <v>342</v>
      </c>
      <c r="C168" t="s">
        <v>321</v>
      </c>
      <c r="D168" s="8" t="s">
        <v>322</v>
      </c>
      <c r="E168" t="s">
        <v>55</v>
      </c>
      <c r="F168" t="s">
        <v>335</v>
      </c>
      <c r="G168" s="2" t="d">
        <v>2025-12-04</v>
      </c>
      <c r="H168" s="2" t="d">
        <v>2025-12-04</v>
      </c>
      <c r="I168" s="7">
        <v>2026</v>
      </c>
      <c r="J168" t="s">
        <v>63</v>
      </c>
      <c r="K168">
        <v>11</v>
      </c>
      <c r="L168" s="2" t="d">
        <v>2025-08-01</v>
      </c>
      <c r="M168" s="2" t="d">
        <v>2025-10-31</v>
      </c>
      <c r="N168" t="s">
        <v>467</v>
      </c>
      <c r="O168" t="s">
        <v>467</v>
      </c>
      <c r="P168" s="7">
        <v>2025</v>
      </c>
      <c r="Q168" t="s">
        <v>65</v>
      </c>
      <c r="R168" t="s">
        <v>59</v>
      </c>
      <c r="S168" t="s">
        <v>333</v>
      </c>
      <c r="T168" t="s">
        <v>109</v>
      </c>
      <c r="U168">
        <v>258913000</v>
      </c>
      <c r="V168">
        <v>67851000</v>
      </c>
      <c r="W168">
        <v>-73311000</v>
      </c>
      <c r="X168">
        <v>83146000</v>
      </c>
      <c r="Y168">
        <v>-3159000</v>
      </c>
      <c r="Z168">
        <v>-63450000</v>
      </c>
      <c r="AA168">
        <v>1549922000</v>
      </c>
      <c r="AB168">
        <v>0</v>
      </c>
      <c r="AC168">
        <v>0</v>
      </c>
      <c r="AD168">
        <v>10343000</v>
      </c>
      <c r="AE168">
        <v>150206000</v>
      </c>
      <c r="AF168">
        <v>499640000</v>
      </c>
      <c r="AG168">
        <v>21014000</v>
      </c>
      <c r="AH168">
        <v>-109000</v>
      </c>
      <c r="AI168">
        <v>34463000</v>
      </c>
      <c r="AJ168">
        <v>-244720000</v>
      </c>
      <c r="AK168">
        <v>198756000</v>
      </c>
      <c r="AL168">
        <v>0</v>
      </c>
      <c r="AM168">
        <v>9634000</v>
      </c>
      <c r="AN168">
        <v>-60291000</v>
      </c>
      <c r="AO168" s="9">
        <v>2431969000</v>
      </c>
      <c r="AP168">
        <v>75341000</v>
      </c>
      <c r="AQ168">
        <v>332732831</v>
      </c>
      <c r="AR168">
        <v>0</v>
      </c>
      <c r="AS168">
        <v>54119250</v>
      </c>
      <c r="AT168">
        <v>659572100</v>
      </c>
      <c r="AV168" s="10" t="s">
        <v>474</v>
      </c>
      <c r="AW168">
        <v>2800</v>
      </c>
    </row>
    <row r="169" spans="1:49" x14ac:dyDescent="0.2">
      <c r="A169">
        <v>14</v>
      </c>
      <c r="B169" t="s">
        <v>342</v>
      </c>
      <c r="C169" t="s">
        <v>321</v>
      </c>
      <c r="D169" s="8" t="s">
        <v>322</v>
      </c>
      <c r="E169" t="s">
        <v>66</v>
      </c>
      <c r="F169" t="s">
        <v>336</v>
      </c>
      <c r="G169" s="2" t="d">
        <v>2026-03-19</v>
      </c>
      <c r="H169" s="2" t="d">
        <v>2026-03-19</v>
      </c>
      <c r="I169" s="7">
        <v>2026</v>
      </c>
      <c r="J169" t="s">
        <v>65</v>
      </c>
      <c r="K169">
        <v>12</v>
      </c>
      <c r="L169" s="2" t="d">
        <v>2025-11-01</v>
      </c>
      <c r="M169" s="2" t="d">
        <v>2026-01-31</v>
      </c>
      <c r="N169" t="s">
        <v>467</v>
      </c>
      <c r="O169" t="s">
        <v>467</v>
      </c>
      <c r="P169" s="7">
        <v>2026</v>
      </c>
      <c r="Q169" t="s">
        <v>57</v>
      </c>
      <c r="R169" t="s">
        <v>59</v>
      </c>
      <c r="S169" t="s">
        <v>337</v>
      </c>
      <c r="T169" t="s">
        <v>109</v>
      </c>
      <c r="U169">
        <v>271153000</v>
      </c>
      <c r="V169">
        <v>74320000</v>
      </c>
      <c r="W169">
        <v>-79897000</v>
      </c>
      <c r="X169">
        <v>89363000</v>
      </c>
      <c r="Y169">
        <v>37421000</v>
      </c>
      <c r="Z169">
        <v>-72811000</v>
      </c>
      <c r="AA169">
        <v>1437145000</v>
      </c>
      <c r="AB169">
        <v>0</v>
      </c>
      <c r="AC169">
        <v>0</v>
      </c>
      <c r="AD169">
        <v>15001000</v>
      </c>
      <c r="AE169">
        <v>169627000</v>
      </c>
      <c r="AF169">
        <v>459041000</v>
      </c>
      <c r="AG169">
        <v>4371000</v>
      </c>
      <c r="AH169">
        <v>-194000</v>
      </c>
      <c r="AI169">
        <v>37965000</v>
      </c>
      <c r="AJ169">
        <v>-4250000</v>
      </c>
      <c r="AK169">
        <v>289079000</v>
      </c>
      <c r="AL169">
        <v>0</v>
      </c>
      <c r="AM169">
        <v>10299000</v>
      </c>
      <c r="AN169">
        <v>-110232000</v>
      </c>
      <c r="AO169" s="9">
        <v>2438102000</v>
      </c>
      <c r="AP169">
        <v>79707000</v>
      </c>
      <c r="AQ169">
        <v>330111148</v>
      </c>
      <c r="AR169">
        <v>0</v>
      </c>
      <c r="AS169">
        <v>57615650</v>
      </c>
      <c r="AT169">
        <v>694815850</v>
      </c>
      <c r="AV169" s="10" t="s">
        <v>474</v>
      </c>
      <c r="AW169">
        <v>2900</v>
      </c>
    </row>
    <row r="170" spans="1:49" x14ac:dyDescent="0.2">
      <c r="A170">
        <v>15</v>
      </c>
      <c r="B170" t="s">
        <v>338</v>
      </c>
      <c r="C170" t="s">
        <v>339</v>
      </c>
      <c r="D170" s="8" t="s">
        <v>340</v>
      </c>
      <c r="E170" t="s">
        <v>55</v>
      </c>
      <c r="F170" t="s">
        <v>341</v>
      </c>
      <c r="G170" s="2" t="d">
        <v>2023-05-09</v>
      </c>
      <c r="H170" s="2" t="d">
        <v>2023-05-08</v>
      </c>
      <c r="I170">
        <v>2023</v>
      </c>
      <c r="J170" t="s">
        <v>57</v>
      </c>
      <c r="K170">
        <v>1</v>
      </c>
      <c r="L170" s="2" t="d">
        <v>2023-01-01</v>
      </c>
      <c r="M170" s="2" t="d">
        <v>2023-03-31</v>
      </c>
      <c r="N170" t="s">
        <v>468</v>
      </c>
      <c r="O170" t="s">
        <v>468</v>
      </c>
      <c r="P170">
        <v>2023</v>
      </c>
      <c r="Q170" t="s">
        <v>57</v>
      </c>
      <c r="R170" t="s">
        <v>59</v>
      </c>
      <c r="T170" t="s">
        <v>109</v>
      </c>
      <c r="U170">
        <v>525186000</v>
      </c>
      <c r="V170">
        <v>107645000</v>
      </c>
      <c r="W170">
        <v>4115000</v>
      </c>
      <c r="X170">
        <v>90100000</v>
      </c>
      <c r="Y170">
        <v>1681000</v>
      </c>
      <c r="Z170">
        <v>20832000</v>
      </c>
      <c r="AA170">
        <v>2803193000</v>
      </c>
      <c r="AB170">
        <v>0</v>
      </c>
      <c r="AC170">
        <v>0</v>
      </c>
      <c r="AD170">
        <v>259488000</v>
      </c>
      <c r="AE170">
        <v>1264738000</v>
      </c>
      <c r="AF170">
        <v>1639797000</v>
      </c>
      <c r="AG170">
        <v>187376000</v>
      </c>
      <c r="AH170">
        <v>-4755000</v>
      </c>
      <c r="AI170">
        <v>8320000</v>
      </c>
      <c r="AJ170">
        <v>0</v>
      </c>
      <c r="AK170">
        <v>254041000</v>
      </c>
      <c r="AL170">
        <v>0</v>
      </c>
      <c r="AM170">
        <v>4530000</v>
      </c>
      <c r="AN170">
        <v>19151000</v>
      </c>
      <c r="AO170" s="9">
        <v>3683138000</v>
      </c>
      <c r="AP170">
        <v>114714000</v>
      </c>
      <c r="AQ170">
        <v>2217439000</v>
      </c>
      <c r="AR170">
        <v>-1275000</v>
      </c>
      <c r="AS170">
        <v>41783337.5</v>
      </c>
      <c r="AT170">
        <v>621978162.5</v>
      </c>
      <c r="AU170">
        <v>48316662.5</v>
      </c>
      <c r="AV170" s="3" t="s">
        <v>492</v>
      </c>
      <c r="AW170">
        <v>3838</v>
      </c>
    </row>
    <row r="171" spans="1:49" x14ac:dyDescent="0.2">
      <c r="A171">
        <v>15</v>
      </c>
      <c r="B171" t="s">
        <v>338</v>
      </c>
      <c r="C171" t="s">
        <v>339</v>
      </c>
      <c r="D171" s="8" t="s">
        <v>340</v>
      </c>
      <c r="E171" t="s">
        <v>55</v>
      </c>
      <c r="F171" t="s">
        <v>343</v>
      </c>
      <c r="G171" s="2" t="d">
        <v>2023-08-08</v>
      </c>
      <c r="H171" s="2" t="d">
        <v>2023-08-08</v>
      </c>
      <c r="I171">
        <v>2023</v>
      </c>
      <c r="J171" t="s">
        <v>58</v>
      </c>
      <c r="K171">
        <v>2</v>
      </c>
      <c r="L171" s="2" t="d">
        <v>2023-04-01</v>
      </c>
      <c r="M171" s="2" t="d">
        <v>2023-06-30</v>
      </c>
      <c r="N171" t="s">
        <v>467</v>
      </c>
      <c r="O171" t="s">
        <v>467</v>
      </c>
      <c r="P171">
        <v>2023</v>
      </c>
      <c r="Q171" t="s">
        <v>58</v>
      </c>
      <c r="R171" t="s">
        <v>59</v>
      </c>
      <c r="T171" t="s">
        <v>109</v>
      </c>
      <c r="U171">
        <v>533317000</v>
      </c>
      <c r="V171">
        <v>106899000</v>
      </c>
      <c r="W171">
        <v>10074000</v>
      </c>
      <c r="X171">
        <v>99533000</v>
      </c>
      <c r="Y171">
        <v>2171000</v>
      </c>
      <c r="Z171">
        <v>30043000</v>
      </c>
      <c r="AA171">
        <v>3035138000</v>
      </c>
      <c r="AB171">
        <v>0</v>
      </c>
      <c r="AC171">
        <v>0</v>
      </c>
      <c r="AD171">
        <v>245989000</v>
      </c>
      <c r="AE171">
        <v>1055923000</v>
      </c>
      <c r="AF171">
        <v>2047329000</v>
      </c>
      <c r="AG171">
        <v>90192000</v>
      </c>
      <c r="AH171">
        <v>-3934000</v>
      </c>
      <c r="AI171">
        <v>8399000</v>
      </c>
      <c r="AJ171">
        <v>0</v>
      </c>
      <c r="AK171">
        <v>375756000</v>
      </c>
      <c r="AL171">
        <v>0</v>
      </c>
      <c r="AM171">
        <v>4613000</v>
      </c>
      <c r="AN171">
        <v>27872000</v>
      </c>
      <c r="AO171" s="9">
        <v>3980264000</v>
      </c>
      <c r="AP171">
        <v>114201000</v>
      </c>
      <c r="AQ171">
        <v>2278155000</v>
      </c>
      <c r="AR171">
        <v>-1317000</v>
      </c>
      <c r="AS171">
        <v>46759987.5</v>
      </c>
      <c r="AT171">
        <v>674751175</v>
      </c>
      <c r="AU171">
        <v>52773012.5</v>
      </c>
      <c r="AV171" s="3" t="s">
        <v>492</v>
      </c>
      <c r="AW171">
        <v>3838</v>
      </c>
    </row>
    <row r="172" spans="1:49" x14ac:dyDescent="0.2">
      <c r="A172">
        <v>15</v>
      </c>
      <c r="B172" t="s">
        <v>338</v>
      </c>
      <c r="C172" t="s">
        <v>339</v>
      </c>
      <c r="D172" s="8" t="s">
        <v>340</v>
      </c>
      <c r="E172" t="s">
        <v>55</v>
      </c>
      <c r="F172" t="s">
        <v>344</v>
      </c>
      <c r="G172" s="2" t="d">
        <v>2023-11-03</v>
      </c>
      <c r="H172" s="2" t="d">
        <v>2023-11-03</v>
      </c>
      <c r="I172">
        <v>2023</v>
      </c>
      <c r="J172" t="s">
        <v>63</v>
      </c>
      <c r="K172">
        <v>3</v>
      </c>
      <c r="L172" s="2" t="d">
        <v>2023-07-01</v>
      </c>
      <c r="M172" s="2" t="d">
        <v>2023-09-30</v>
      </c>
      <c r="N172" t="s">
        <v>467</v>
      </c>
      <c r="O172" t="s">
        <v>467</v>
      </c>
      <c r="P172">
        <v>2023</v>
      </c>
      <c r="Q172" t="s">
        <v>63</v>
      </c>
      <c r="R172" t="s">
        <v>59</v>
      </c>
      <c r="T172" t="s">
        <v>109</v>
      </c>
      <c r="U172">
        <v>558159000</v>
      </c>
      <c r="V172">
        <v>107922000</v>
      </c>
      <c r="W172">
        <v>39983000</v>
      </c>
      <c r="X172">
        <v>105708000</v>
      </c>
      <c r="Y172">
        <v>6530000</v>
      </c>
      <c r="Z172">
        <v>79969000</v>
      </c>
      <c r="AA172">
        <v>3271897000</v>
      </c>
      <c r="AB172">
        <v>0</v>
      </c>
      <c r="AC172">
        <v>0</v>
      </c>
      <c r="AD172">
        <v>236271000</v>
      </c>
      <c r="AE172">
        <v>1040310000</v>
      </c>
      <c r="AF172">
        <v>2243264000</v>
      </c>
      <c r="AG172">
        <v>133443000</v>
      </c>
      <c r="AH172">
        <v>-1565000</v>
      </c>
      <c r="AI172">
        <v>8663000</v>
      </c>
      <c r="AJ172">
        <v>0</v>
      </c>
      <c r="AK172">
        <v>430269000</v>
      </c>
      <c r="AL172">
        <v>0</v>
      </c>
      <c r="AM172">
        <v>9475000</v>
      </c>
      <c r="AN172">
        <v>73439000</v>
      </c>
      <c r="AO172" s="9">
        <v>4193417000</v>
      </c>
      <c r="AP172">
        <v>114380000</v>
      </c>
      <c r="AQ172">
        <v>2325600000</v>
      </c>
      <c r="AR172">
        <v>-742000</v>
      </c>
      <c r="AS172">
        <v>52045387.5</v>
      </c>
      <c r="AT172">
        <v>728413787.5</v>
      </c>
      <c r="AU172">
        <v>53662612.5</v>
      </c>
      <c r="AV172" s="3" t="s">
        <v>492</v>
      </c>
      <c r="AW172">
        <v>3838</v>
      </c>
    </row>
    <row r="173" spans="1:49" x14ac:dyDescent="0.2">
      <c r="A173">
        <v>15</v>
      </c>
      <c r="B173" t="s">
        <v>338</v>
      </c>
      <c r="C173" t="s">
        <v>339</v>
      </c>
      <c r="D173" s="8" t="s">
        <v>340</v>
      </c>
      <c r="E173" t="s">
        <v>66</v>
      </c>
      <c r="F173" t="s">
        <v>345</v>
      </c>
      <c r="G173" s="2" t="d">
        <v>2024-02-20</v>
      </c>
      <c r="H173" s="2" t="d">
        <v>2024-02-20</v>
      </c>
      <c r="I173">
        <v>2023</v>
      </c>
      <c r="J173" t="s">
        <v>65</v>
      </c>
      <c r="K173">
        <v>4</v>
      </c>
      <c r="L173" s="2" t="d">
        <v>2023-10-01</v>
      </c>
      <c r="M173" s="2" t="d">
        <v>2023-12-31</v>
      </c>
      <c r="N173" t="s">
        <v>467</v>
      </c>
      <c r="O173" t="s">
        <v>467</v>
      </c>
      <c r="P173">
        <v>2023</v>
      </c>
      <c r="Q173" t="s">
        <v>65</v>
      </c>
      <c r="R173" t="s">
        <v>59</v>
      </c>
      <c r="T173" t="s">
        <v>109</v>
      </c>
      <c r="U173">
        <v>608350000</v>
      </c>
      <c r="V173">
        <v>108639000</v>
      </c>
      <c r="W173">
        <v>65794000</v>
      </c>
      <c r="X173">
        <v>109283000</v>
      </c>
      <c r="Y173">
        <v>9334000</v>
      </c>
      <c r="Z173">
        <v>106247000</v>
      </c>
      <c r="AA173">
        <v>3560965000</v>
      </c>
      <c r="AB173">
        <v>0</v>
      </c>
      <c r="AC173">
        <v>0</v>
      </c>
      <c r="AD173">
        <v>229392000</v>
      </c>
      <c r="AE173">
        <v>831047000</v>
      </c>
      <c r="AF173">
        <v>2843132000</v>
      </c>
      <c r="AG173">
        <v>301172000</v>
      </c>
      <c r="AH173">
        <v>-4860000</v>
      </c>
      <c r="AI173">
        <v>7972000</v>
      </c>
      <c r="AJ173">
        <v>0</v>
      </c>
      <c r="AK173">
        <v>364784000</v>
      </c>
      <c r="AL173">
        <v>0</v>
      </c>
      <c r="AM173">
        <v>12122000</v>
      </c>
      <c r="AN173">
        <v>96913000</v>
      </c>
      <c r="AO173" s="9">
        <v>4522425000</v>
      </c>
      <c r="AP173">
        <v>132608000</v>
      </c>
      <c r="AQ173">
        <v>2297927000</v>
      </c>
      <c r="AR173">
        <v>-136000</v>
      </c>
      <c r="AS173">
        <v>57509537.5</v>
      </c>
      <c r="AT173">
        <v>780187250</v>
      </c>
      <c r="AU173">
        <v>51773462.5</v>
      </c>
      <c r="AV173" s="3" t="s">
        <v>492</v>
      </c>
      <c r="AW173">
        <v>3735</v>
      </c>
    </row>
    <row r="174" spans="1:49" x14ac:dyDescent="0.2">
      <c r="A174">
        <v>15</v>
      </c>
      <c r="B174" t="s">
        <v>338</v>
      </c>
      <c r="C174" t="s">
        <v>339</v>
      </c>
      <c r="D174" s="8" t="s">
        <v>340</v>
      </c>
      <c r="E174" t="s">
        <v>55</v>
      </c>
      <c r="F174" t="s">
        <v>346</v>
      </c>
      <c r="G174" s="2" t="d">
        <v>2024-05-07</v>
      </c>
      <c r="H174" s="2" t="d">
        <v>2024-05-07</v>
      </c>
      <c r="I174" s="7">
        <v>2024</v>
      </c>
      <c r="J174" t="s">
        <v>57</v>
      </c>
      <c r="K174">
        <v>5</v>
      </c>
      <c r="L174" s="2" t="d">
        <v>2024-01-01</v>
      </c>
      <c r="M174" s="2" t="d">
        <v>2024-03-31</v>
      </c>
      <c r="N174" t="s">
        <v>468</v>
      </c>
      <c r="O174" t="s">
        <v>468</v>
      </c>
      <c r="P174" s="7">
        <v>2024</v>
      </c>
      <c r="Q174" t="s">
        <v>57</v>
      </c>
      <c r="R174" t="s">
        <v>59</v>
      </c>
      <c r="T174" t="s">
        <v>109</v>
      </c>
      <c r="U174">
        <v>634338000</v>
      </c>
      <c r="V174">
        <v>116256000</v>
      </c>
      <c r="W174">
        <v>80881000</v>
      </c>
      <c r="X174">
        <v>110040000</v>
      </c>
      <c r="Y174">
        <v>4655000</v>
      </c>
      <c r="Z174">
        <v>110726000</v>
      </c>
      <c r="AA174">
        <v>3861172000</v>
      </c>
      <c r="AB174">
        <v>0</v>
      </c>
      <c r="AC174">
        <v>0</v>
      </c>
      <c r="AD174">
        <v>217069000</v>
      </c>
      <c r="AE174">
        <v>520388000</v>
      </c>
      <c r="AF174">
        <v>3347512000</v>
      </c>
      <c r="AG174">
        <v>129579000</v>
      </c>
      <c r="AH174">
        <v>-2664000</v>
      </c>
      <c r="AI174">
        <v>8438000</v>
      </c>
      <c r="AJ174">
        <v>0</v>
      </c>
      <c r="AK174">
        <v>486986000</v>
      </c>
      <c r="AL174">
        <v>0</v>
      </c>
      <c r="AM174">
        <v>35634000</v>
      </c>
      <c r="AN174">
        <v>106071000</v>
      </c>
      <c r="AO174" s="9">
        <v>4807079000</v>
      </c>
      <c r="AP174">
        <v>125651000</v>
      </c>
      <c r="AQ174">
        <v>2400107000</v>
      </c>
      <c r="AR174">
        <v>0</v>
      </c>
      <c r="AS174">
        <v>63011537.5</v>
      </c>
      <c r="AT174">
        <v>827215712.5</v>
      </c>
      <c r="AU174">
        <v>47028462.5</v>
      </c>
      <c r="AV174" s="3" t="s">
        <v>492</v>
      </c>
      <c r="AW174">
        <v>3735</v>
      </c>
    </row>
    <row r="175" spans="1:49" x14ac:dyDescent="0.2">
      <c r="A175">
        <v>15</v>
      </c>
      <c r="B175" t="s">
        <v>338</v>
      </c>
      <c r="C175" t="s">
        <v>339</v>
      </c>
      <c r="D175" s="8" t="s">
        <v>340</v>
      </c>
      <c r="E175" t="s">
        <v>55</v>
      </c>
      <c r="F175" t="s">
        <v>347</v>
      </c>
      <c r="G175" s="2" t="d">
        <v>2024-08-06</v>
      </c>
      <c r="H175" s="2" t="d">
        <v>2024-08-06</v>
      </c>
      <c r="I175" s="7">
        <v>2024</v>
      </c>
      <c r="J175" t="s">
        <v>58</v>
      </c>
      <c r="K175">
        <v>6</v>
      </c>
      <c r="L175" s="2" t="d">
        <v>2024-04-01</v>
      </c>
      <c r="M175" s="2" t="d">
        <v>2024-06-30</v>
      </c>
      <c r="N175" t="s">
        <v>467</v>
      </c>
      <c r="O175" t="s">
        <v>467</v>
      </c>
      <c r="P175" s="7">
        <v>2024</v>
      </c>
      <c r="Q175" t="s">
        <v>58</v>
      </c>
      <c r="R175" t="s">
        <v>59</v>
      </c>
      <c r="T175" t="s">
        <v>109</v>
      </c>
      <c r="U175">
        <v>678134000</v>
      </c>
      <c r="V175">
        <v>128562000</v>
      </c>
      <c r="W175">
        <v>105339000</v>
      </c>
      <c r="X175">
        <v>108781000</v>
      </c>
      <c r="Y175">
        <v>5189000</v>
      </c>
      <c r="Z175">
        <v>140759000</v>
      </c>
      <c r="AA175">
        <v>4137806000</v>
      </c>
      <c r="AB175">
        <v>0</v>
      </c>
      <c r="AC175">
        <v>0</v>
      </c>
      <c r="AD175">
        <v>258459000</v>
      </c>
      <c r="AE175">
        <v>512659000</v>
      </c>
      <c r="AF175">
        <v>3485800000</v>
      </c>
      <c r="AG175">
        <v>144187000</v>
      </c>
      <c r="AH175">
        <v>-2879000</v>
      </c>
      <c r="AI175">
        <v>8056000</v>
      </c>
      <c r="AJ175">
        <v>0</v>
      </c>
      <c r="AK175">
        <v>659339000</v>
      </c>
      <c r="AL175">
        <v>0</v>
      </c>
      <c r="AM175">
        <v>67345000</v>
      </c>
      <c r="AN175">
        <v>135570000</v>
      </c>
      <c r="AO175" s="9">
        <v>5191880000</v>
      </c>
      <c r="AP175">
        <v>141764000</v>
      </c>
      <c r="AQ175">
        <v>2414696000</v>
      </c>
      <c r="AR175">
        <v>0</v>
      </c>
      <c r="AS175">
        <v>68450587.5</v>
      </c>
      <c r="AT175">
        <v>867546125</v>
      </c>
      <c r="AU175">
        <v>40330412.5</v>
      </c>
      <c r="AV175" s="3" t="s">
        <v>492</v>
      </c>
      <c r="AW175">
        <v>3735</v>
      </c>
    </row>
    <row r="176" spans="1:49" x14ac:dyDescent="0.2">
      <c r="A176">
        <v>15</v>
      </c>
      <c r="B176" t="s">
        <v>338</v>
      </c>
      <c r="C176" t="s">
        <v>339</v>
      </c>
      <c r="D176" s="8" t="s">
        <v>340</v>
      </c>
      <c r="E176" t="s">
        <v>55</v>
      </c>
      <c r="F176" t="s">
        <v>348</v>
      </c>
      <c r="G176" s="2" t="d">
        <v>2024-11-05</v>
      </c>
      <c r="H176" s="2" t="d">
        <v>2024-11-05</v>
      </c>
      <c r="I176" s="7">
        <v>2024</v>
      </c>
      <c r="J176" t="s">
        <v>63</v>
      </c>
      <c r="K176">
        <v>7</v>
      </c>
      <c r="L176" s="2" t="d">
        <v>2024-07-01</v>
      </c>
      <c r="M176" s="2" t="d">
        <v>2024-09-30</v>
      </c>
      <c r="N176" t="s">
        <v>467</v>
      </c>
      <c r="O176" t="s">
        <v>467</v>
      </c>
      <c r="P176" s="7">
        <v>2024</v>
      </c>
      <c r="Q176" t="s">
        <v>63</v>
      </c>
      <c r="R176" t="s">
        <v>59</v>
      </c>
      <c r="T176" t="s">
        <v>109</v>
      </c>
      <c r="U176">
        <v>725516000</v>
      </c>
      <c r="V176">
        <v>146639000</v>
      </c>
      <c r="W176">
        <v>113140000</v>
      </c>
      <c r="X176">
        <v>117555000</v>
      </c>
      <c r="Y176">
        <v>7809000</v>
      </c>
      <c r="Z176">
        <v>157150000</v>
      </c>
      <c r="AA176">
        <v>4591362000</v>
      </c>
      <c r="AB176">
        <v>0</v>
      </c>
      <c r="AC176">
        <v>0</v>
      </c>
      <c r="AD176">
        <v>254915000</v>
      </c>
      <c r="AE176">
        <v>768710000</v>
      </c>
      <c r="AF176">
        <v>3795949000</v>
      </c>
      <c r="AG176">
        <v>419772000</v>
      </c>
      <c r="AH176">
        <v>-3985000</v>
      </c>
      <c r="AI176">
        <v>8087000</v>
      </c>
      <c r="AJ176">
        <v>0</v>
      </c>
      <c r="AK176">
        <v>668110000</v>
      </c>
      <c r="AL176">
        <v>0</v>
      </c>
      <c r="AM176">
        <v>27021000</v>
      </c>
      <c r="AN176">
        <v>149341000</v>
      </c>
      <c r="AO176" s="9">
        <v>5768097000</v>
      </c>
      <c r="AP176">
        <v>142425000</v>
      </c>
      <c r="AQ176">
        <v>2459589000</v>
      </c>
      <c r="AR176">
        <v>0</v>
      </c>
      <c r="AS176">
        <v>74328337.5</v>
      </c>
      <c r="AT176">
        <v>910772787.5</v>
      </c>
      <c r="AU176">
        <v>43226662.5</v>
      </c>
      <c r="AV176" s="3" t="s">
        <v>492</v>
      </c>
      <c r="AW176">
        <v>3735</v>
      </c>
    </row>
    <row r="177" spans="1:49" x14ac:dyDescent="0.2">
      <c r="A177">
        <v>15</v>
      </c>
      <c r="B177" t="s">
        <v>338</v>
      </c>
      <c r="C177" t="s">
        <v>339</v>
      </c>
      <c r="D177" s="8" t="s">
        <v>340</v>
      </c>
      <c r="E177" t="s">
        <v>66</v>
      </c>
      <c r="F177" t="s">
        <v>349</v>
      </c>
      <c r="G177" s="2" t="d">
        <v>2025-02-18</v>
      </c>
      <c r="H177" s="2" t="d">
        <v>2025-02-18</v>
      </c>
      <c r="I177" s="7">
        <v>2024</v>
      </c>
      <c r="J177" t="s">
        <v>65</v>
      </c>
      <c r="K177">
        <v>8</v>
      </c>
      <c r="L177" s="2" t="d">
        <v>2024-10-01</v>
      </c>
      <c r="M177" s="2" t="d">
        <v>2024-12-31</v>
      </c>
      <c r="N177" t="s">
        <v>467</v>
      </c>
      <c r="O177" t="s">
        <v>467</v>
      </c>
      <c r="P177" s="7">
        <v>2024</v>
      </c>
      <c r="Q177" t="s">
        <v>65</v>
      </c>
      <c r="R177" t="s">
        <v>59</v>
      </c>
      <c r="T177" t="s">
        <v>109</v>
      </c>
      <c r="U177">
        <v>827519000</v>
      </c>
      <c r="V177">
        <v>174533000</v>
      </c>
      <c r="W177">
        <v>110430000</v>
      </c>
      <c r="X177">
        <v>171502000</v>
      </c>
      <c r="Y177">
        <v>3602000</v>
      </c>
      <c r="Z177">
        <v>80538000</v>
      </c>
      <c r="AA177">
        <v>5094407000</v>
      </c>
      <c r="AB177">
        <v>0</v>
      </c>
      <c r="AC177">
        <v>0</v>
      </c>
      <c r="AD177">
        <v>239219000</v>
      </c>
      <c r="AE177">
        <v>2098524000</v>
      </c>
      <c r="AF177">
        <v>3131463000</v>
      </c>
      <c r="AG177">
        <v>460327000</v>
      </c>
      <c r="AH177">
        <v>-3106000</v>
      </c>
      <c r="AI177">
        <v>7006000</v>
      </c>
      <c r="AJ177">
        <v>0</v>
      </c>
      <c r="AK177">
        <v>575048000</v>
      </c>
      <c r="AL177">
        <v>0</v>
      </c>
      <c r="AM177">
        <v>103000</v>
      </c>
      <c r="AN177">
        <v>76936000</v>
      </c>
      <c r="AO177" s="9">
        <v>6340884000</v>
      </c>
      <c r="AP177">
        <v>281798000</v>
      </c>
      <c r="AQ177">
        <v>2450818000</v>
      </c>
      <c r="AR177">
        <v>0</v>
      </c>
      <c r="AS177">
        <v>82903437.5</v>
      </c>
      <c r="AT177">
        <v>999371350</v>
      </c>
      <c r="AU177">
        <v>88598562.5</v>
      </c>
      <c r="AV177" s="3" t="s">
        <v>492</v>
      </c>
      <c r="AW177">
        <v>3936</v>
      </c>
    </row>
    <row r="178" spans="1:49" x14ac:dyDescent="0.2">
      <c r="A178">
        <v>15</v>
      </c>
      <c r="B178" t="s">
        <v>338</v>
      </c>
      <c r="C178" t="s">
        <v>339</v>
      </c>
      <c r="D178" s="8" t="s">
        <v>340</v>
      </c>
      <c r="E178" t="s">
        <v>55</v>
      </c>
      <c r="F178" t="s">
        <v>350</v>
      </c>
      <c r="G178" s="2" t="d">
        <v>2025-05-06</v>
      </c>
      <c r="H178" s="2" t="d">
        <v>2025-05-06</v>
      </c>
      <c r="I178" s="7">
        <v>2025</v>
      </c>
      <c r="J178" t="s">
        <v>57</v>
      </c>
      <c r="K178">
        <v>9</v>
      </c>
      <c r="L178" s="2" t="d">
        <v>2025-01-01</v>
      </c>
      <c r="M178" s="2" t="d">
        <v>2025-03-31</v>
      </c>
      <c r="N178" t="s">
        <v>468</v>
      </c>
      <c r="O178" t="s">
        <v>468</v>
      </c>
      <c r="P178" s="7">
        <v>2025</v>
      </c>
      <c r="Q178" t="s">
        <v>57</v>
      </c>
      <c r="R178" t="s">
        <v>59</v>
      </c>
      <c r="T178" t="s">
        <v>109</v>
      </c>
      <c r="U178">
        <v>883855000</v>
      </c>
      <c r="V178">
        <v>172970000</v>
      </c>
      <c r="W178">
        <v>176048000</v>
      </c>
      <c r="X178">
        <v>134889000</v>
      </c>
      <c r="Y178">
        <v>5599000</v>
      </c>
      <c r="Z178">
        <v>223316000</v>
      </c>
      <c r="AA178">
        <v>5518973000</v>
      </c>
      <c r="AB178">
        <v>0</v>
      </c>
      <c r="AC178">
        <v>0</v>
      </c>
      <c r="AD178">
        <v>244596000</v>
      </c>
      <c r="AE178">
        <v>993464000</v>
      </c>
      <c r="AF178">
        <v>4437225000</v>
      </c>
      <c r="AG178">
        <v>310263000</v>
      </c>
      <c r="AH178">
        <v>-6184000</v>
      </c>
      <c r="AI178">
        <v>6622000</v>
      </c>
      <c r="AJ178">
        <v>0</v>
      </c>
      <c r="AK178">
        <v>725205000</v>
      </c>
      <c r="AL178">
        <v>0</v>
      </c>
      <c r="AM178">
        <v>2330000</v>
      </c>
      <c r="AN178">
        <v>217717000</v>
      </c>
      <c r="AO178" s="9">
        <v>6736917000</v>
      </c>
      <c r="AP178">
        <v>155339000</v>
      </c>
      <c r="AQ178">
        <v>2552818000</v>
      </c>
      <c r="AR178">
        <v>0</v>
      </c>
      <c r="AS178">
        <v>89647887.5</v>
      </c>
      <c r="AT178">
        <v>1044612462.5</v>
      </c>
      <c r="AU178">
        <v>45241112.5</v>
      </c>
      <c r="AV178" s="3" t="s">
        <v>492</v>
      </c>
      <c r="AW178">
        <v>3936</v>
      </c>
    </row>
    <row r="179" spans="1:49" x14ac:dyDescent="0.2">
      <c r="A179">
        <v>15</v>
      </c>
      <c r="B179" t="s">
        <v>338</v>
      </c>
      <c r="C179" t="s">
        <v>339</v>
      </c>
      <c r="D179" s="8" t="s">
        <v>340</v>
      </c>
      <c r="E179" t="s">
        <v>55</v>
      </c>
      <c r="F179" t="s">
        <v>351</v>
      </c>
      <c r="G179" s="2" t="d">
        <v>2025-08-05</v>
      </c>
      <c r="H179" s="2" t="d">
        <v>2025-08-05</v>
      </c>
      <c r="I179" s="7">
        <v>2025</v>
      </c>
      <c r="J179" t="s">
        <v>58</v>
      </c>
      <c r="K179">
        <v>10</v>
      </c>
      <c r="L179" s="2" t="d">
        <v>2025-04-01</v>
      </c>
      <c r="M179" s="2" t="d">
        <v>2025-06-30</v>
      </c>
      <c r="N179" t="s">
        <v>467</v>
      </c>
      <c r="O179" t="s">
        <v>467</v>
      </c>
      <c r="P179" s="7">
        <v>2025</v>
      </c>
      <c r="Q179" t="s">
        <v>58</v>
      </c>
      <c r="R179" t="s">
        <v>59</v>
      </c>
      <c r="T179" t="s">
        <v>109</v>
      </c>
      <c r="U179">
        <v>1003697000</v>
      </c>
      <c r="V179">
        <v>192934000</v>
      </c>
      <c r="W179">
        <v>269317000</v>
      </c>
      <c r="X179">
        <v>135043000</v>
      </c>
      <c r="Y179">
        <v>3596000</v>
      </c>
      <c r="Z179">
        <v>332168000</v>
      </c>
      <c r="AA179">
        <v>6025564000</v>
      </c>
      <c r="AB179">
        <v>0</v>
      </c>
      <c r="AC179">
        <v>0</v>
      </c>
      <c r="AD179">
        <v>237812000</v>
      </c>
      <c r="AE179">
        <v>929547000</v>
      </c>
      <c r="AF179">
        <v>5070875000</v>
      </c>
      <c r="AG179">
        <v>539251000</v>
      </c>
      <c r="AH179">
        <v>-7634000</v>
      </c>
      <c r="AI179">
        <v>6530000</v>
      </c>
      <c r="AJ179">
        <v>0</v>
      </c>
      <c r="AK179">
        <v>747484000</v>
      </c>
      <c r="AL179">
        <v>0</v>
      </c>
      <c r="AM179">
        <v>10774000</v>
      </c>
      <c r="AN179">
        <v>328572000</v>
      </c>
      <c r="AO179" s="9">
        <v>7365688000</v>
      </c>
      <c r="AP179">
        <v>159971000</v>
      </c>
      <c r="AQ179">
        <v>2562912000</v>
      </c>
      <c r="AR179">
        <v>0</v>
      </c>
      <c r="AS179">
        <v>96400037.5</v>
      </c>
      <c r="AT179">
        <v>1083255425</v>
      </c>
      <c r="AU179">
        <v>38642962.5</v>
      </c>
      <c r="AV179" s="3" t="s">
        <v>492</v>
      </c>
      <c r="AW179">
        <v>3936</v>
      </c>
    </row>
    <row r="180" spans="1:49" x14ac:dyDescent="0.2">
      <c r="A180">
        <v>15</v>
      </c>
      <c r="B180" t="s">
        <v>338</v>
      </c>
      <c r="C180" t="s">
        <v>339</v>
      </c>
      <c r="D180" s="8" t="s">
        <v>340</v>
      </c>
      <c r="E180" t="s">
        <v>55</v>
      </c>
      <c r="F180" t="s">
        <v>352</v>
      </c>
      <c r="G180" s="2" t="d">
        <v>2025-11-04</v>
      </c>
      <c r="H180" s="2" t="d">
        <v>2025-11-04</v>
      </c>
      <c r="I180" s="7">
        <v>2025</v>
      </c>
      <c r="J180" t="s">
        <v>63</v>
      </c>
      <c r="K180">
        <v>11</v>
      </c>
      <c r="L180" s="2" t="d">
        <v>2025-07-01</v>
      </c>
      <c r="M180" s="2" t="d">
        <v>2025-09-30</v>
      </c>
      <c r="N180" t="s">
        <v>467</v>
      </c>
      <c r="O180" t="s">
        <v>467</v>
      </c>
      <c r="P180" s="7">
        <v>2025</v>
      </c>
      <c r="Q180" t="s">
        <v>63</v>
      </c>
      <c r="R180" t="s">
        <v>59</v>
      </c>
      <c r="T180" t="s">
        <v>109</v>
      </c>
      <c r="U180">
        <v>1181092000</v>
      </c>
      <c r="V180">
        <v>207307000</v>
      </c>
      <c r="W180">
        <v>393256000</v>
      </c>
      <c r="X180">
        <v>144191000</v>
      </c>
      <c r="Y180">
        <v>3753000</v>
      </c>
      <c r="Z180">
        <v>480501000</v>
      </c>
      <c r="AA180">
        <v>6688269000</v>
      </c>
      <c r="AB180">
        <v>0</v>
      </c>
      <c r="AC180">
        <v>0</v>
      </c>
      <c r="AD180">
        <v>235436000</v>
      </c>
      <c r="AE180">
        <v>1615967000</v>
      </c>
      <c r="AF180">
        <v>4821850000</v>
      </c>
      <c r="AG180">
        <v>507664000</v>
      </c>
      <c r="AH180">
        <v>-6792000</v>
      </c>
      <c r="AI180">
        <v>5975000</v>
      </c>
      <c r="AJ180">
        <v>0</v>
      </c>
      <c r="AK180">
        <v>1005910000</v>
      </c>
      <c r="AL180">
        <v>0</v>
      </c>
      <c r="AM180">
        <v>67503000</v>
      </c>
      <c r="AN180">
        <v>476748000</v>
      </c>
      <c r="AO180" s="9">
        <v>8113960000</v>
      </c>
      <c r="AP180">
        <v>172318000</v>
      </c>
      <c r="AQ180">
        <v>2571057000</v>
      </c>
      <c r="AR180">
        <v>0</v>
      </c>
      <c r="AS180">
        <v>103609587.5</v>
      </c>
      <c r="AT180">
        <v>1123836837.5</v>
      </c>
      <c r="AU180">
        <v>40581412.5</v>
      </c>
      <c r="AV180" s="3" t="s">
        <v>492</v>
      </c>
      <c r="AW180">
        <v>3936</v>
      </c>
    </row>
    <row r="181" spans="1:49" x14ac:dyDescent="0.2">
      <c r="A181">
        <v>15</v>
      </c>
      <c r="B181" t="s">
        <v>338</v>
      </c>
      <c r="C181" t="s">
        <v>339</v>
      </c>
      <c r="D181" s="8" t="s">
        <v>340</v>
      </c>
      <c r="E181" t="s">
        <v>66</v>
      </c>
      <c r="F181" t="s">
        <v>353</v>
      </c>
      <c r="G181" s="2" t="d">
        <v>2025-02-17</v>
      </c>
      <c r="H181" s="2" t="d">
        <v>2025-02-17</v>
      </c>
      <c r="I181" s="7">
        <v>2025</v>
      </c>
      <c r="J181" t="s">
        <v>65</v>
      </c>
      <c r="K181">
        <v>12</v>
      </c>
      <c r="L181" s="2" t="d">
        <v>2025-10-01</v>
      </c>
      <c r="M181" s="2" t="d">
        <v>2025-12-31</v>
      </c>
      <c r="N181" t="s">
        <v>467</v>
      </c>
      <c r="O181" t="s">
        <v>467</v>
      </c>
      <c r="P181" s="7">
        <v>2025</v>
      </c>
      <c r="Q181" t="s">
        <v>65</v>
      </c>
      <c r="R181" t="s">
        <v>59</v>
      </c>
      <c r="T181" t="s">
        <v>109</v>
      </c>
      <c r="U181">
        <v>1406802000</v>
      </c>
      <c r="V181">
        <v>215966000</v>
      </c>
      <c r="W181">
        <v>575394000</v>
      </c>
      <c r="X181">
        <v>143554000</v>
      </c>
      <c r="Y181">
        <v>9776000</v>
      </c>
      <c r="Z181">
        <v>621383000</v>
      </c>
      <c r="AA181">
        <v>7488011000</v>
      </c>
      <c r="AB181">
        <v>0</v>
      </c>
      <c r="AC181">
        <v>0</v>
      </c>
      <c r="AD181">
        <v>229338000</v>
      </c>
      <c r="AE181">
        <v>1423796000</v>
      </c>
      <c r="AF181">
        <v>5753247000</v>
      </c>
      <c r="AG181">
        <v>777295000</v>
      </c>
      <c r="AH181">
        <v>-13272000</v>
      </c>
      <c r="AI181">
        <v>7018000</v>
      </c>
      <c r="AJ181">
        <v>0</v>
      </c>
      <c r="AK181">
        <v>1042065000</v>
      </c>
      <c r="AL181">
        <v>0</v>
      </c>
      <c r="AM181">
        <v>8064000</v>
      </c>
      <c r="AN181">
        <v>611607000</v>
      </c>
      <c r="AO181" s="9">
        <v>8900392000</v>
      </c>
      <c r="AP181">
        <v>196405000</v>
      </c>
      <c r="AQ181">
        <v>2565197000</v>
      </c>
      <c r="AR181">
        <v>0</v>
      </c>
      <c r="AS181">
        <v>110787287.5</v>
      </c>
      <c r="AT181">
        <v>1156603550</v>
      </c>
      <c r="AU181">
        <v>32766712.5</v>
      </c>
      <c r="AV181" s="3" t="s">
        <v>492</v>
      </c>
      <c r="AW181">
        <v>4429</v>
      </c>
    </row>
    <row r="182" spans="1:49" x14ac:dyDescent="0.2">
      <c r="A182">
        <v>16</v>
      </c>
      <c r="B182" t="s">
        <v>354</v>
      </c>
      <c r="C182" t="s">
        <v>355</v>
      </c>
      <c r="D182" s="8" t="s">
        <v>356</v>
      </c>
      <c r="E182" t="s">
        <v>55</v>
      </c>
      <c r="F182" t="s">
        <v>357</v>
      </c>
      <c r="G182" s="2" t="d">
        <v>2023-05-03</v>
      </c>
      <c r="H182" s="2" t="d">
        <v>2023-05-03</v>
      </c>
      <c r="I182">
        <v>2023</v>
      </c>
      <c r="J182" t="s">
        <v>57</v>
      </c>
      <c r="K182">
        <v>1</v>
      </c>
      <c r="L182" s="2" t="d">
        <v>2023-01-01</v>
      </c>
      <c r="M182" s="2" t="d">
        <v>2023-03-31</v>
      </c>
      <c r="N182" t="s">
        <v>468</v>
      </c>
      <c r="O182" t="s">
        <v>468</v>
      </c>
      <c r="P182">
        <v>2023</v>
      </c>
      <c r="Q182" t="s">
        <v>57</v>
      </c>
      <c r="R182" t="s">
        <v>59</v>
      </c>
      <c r="S182" t="s">
        <v>374</v>
      </c>
      <c r="T182" t="s">
        <v>61</v>
      </c>
      <c r="U182">
        <v>15862000000</v>
      </c>
      <c r="V182">
        <v>10103000000</v>
      </c>
      <c r="W182">
        <v>2731000000</v>
      </c>
      <c r="X182">
        <v>472000000</v>
      </c>
      <c r="Y182">
        <v>708000000</v>
      </c>
      <c r="Z182">
        <v>2634000000</v>
      </c>
      <c r="AA182">
        <v>18170000000</v>
      </c>
      <c r="AB182">
        <v>12165000000</v>
      </c>
      <c r="AC182">
        <v>24873000000</v>
      </c>
      <c r="AD182">
        <v>0</v>
      </c>
      <c r="AE182">
        <v>6789000000</v>
      </c>
      <c r="AF182">
        <v>0</v>
      </c>
      <c r="AG182">
        <v>1573000000</v>
      </c>
      <c r="AH182">
        <v>-750000000</v>
      </c>
      <c r="AI182">
        <v>532000000</v>
      </c>
      <c r="AJ182">
        <v>-5000000</v>
      </c>
      <c r="AK182">
        <v>18349000000</v>
      </c>
      <c r="AL182">
        <v>17633000000</v>
      </c>
      <c r="AM182">
        <v>8951000000</v>
      </c>
      <c r="AN182">
        <v>1942000000</v>
      </c>
      <c r="AO182" s="9">
        <v>83649000000</v>
      </c>
      <c r="AP182">
        <v>0</v>
      </c>
      <c r="AQ182">
        <v>519400000</v>
      </c>
      <c r="AR182">
        <v>129000000</v>
      </c>
      <c r="AS182">
        <v>269350000</v>
      </c>
      <c r="AT182">
        <v>3869425000</v>
      </c>
      <c r="AU182">
        <v>202650000</v>
      </c>
      <c r="AV182" s="3" t="s">
        <v>473</v>
      </c>
      <c r="AW182">
        <v>109100</v>
      </c>
    </row>
    <row r="183" spans="1:49" x14ac:dyDescent="0.2">
      <c r="A183">
        <v>16</v>
      </c>
      <c r="B183" t="s">
        <v>354</v>
      </c>
      <c r="C183" t="s">
        <v>355</v>
      </c>
      <c r="D183" s="8" t="s">
        <v>356</v>
      </c>
      <c r="E183" t="s">
        <v>55</v>
      </c>
      <c r="F183" t="s">
        <v>373</v>
      </c>
      <c r="G183" s="2" t="d">
        <v>2023-08-02</v>
      </c>
      <c r="H183" s="2" t="d">
        <v>2023-08-02</v>
      </c>
      <c r="I183">
        <v>2023</v>
      </c>
      <c r="J183" t="s">
        <v>58</v>
      </c>
      <c r="K183">
        <v>2</v>
      </c>
      <c r="L183" s="2" t="d">
        <v>2023-04-01</v>
      </c>
      <c r="M183" s="2" t="d">
        <v>2023-06-30</v>
      </c>
      <c r="N183" t="s">
        <v>467</v>
      </c>
      <c r="O183" t="s">
        <v>467</v>
      </c>
      <c r="P183">
        <v>2023</v>
      </c>
      <c r="Q183" t="s">
        <v>58</v>
      </c>
      <c r="R183" t="s">
        <v>59</v>
      </c>
      <c r="S183" t="s">
        <v>374</v>
      </c>
      <c r="T183" t="s">
        <v>61</v>
      </c>
      <c r="U183">
        <v>17318000000</v>
      </c>
      <c r="V183">
        <v>11065000000</v>
      </c>
      <c r="W183">
        <v>3652000000</v>
      </c>
      <c r="X183">
        <v>528000000</v>
      </c>
      <c r="Y183">
        <v>752000000</v>
      </c>
      <c r="Z183">
        <v>3652000000</v>
      </c>
      <c r="AA183">
        <v>18256000000</v>
      </c>
      <c r="AB183">
        <v>14714000000</v>
      </c>
      <c r="AC183">
        <v>22985000000</v>
      </c>
      <c r="AD183">
        <v>0</v>
      </c>
      <c r="AE183">
        <v>7387000000</v>
      </c>
      <c r="AF183">
        <v>0</v>
      </c>
      <c r="AG183">
        <v>3249000000</v>
      </c>
      <c r="AH183">
        <v>-707000000</v>
      </c>
      <c r="AI183">
        <v>542000000</v>
      </c>
      <c r="AJ183">
        <v>-15000000</v>
      </c>
      <c r="AK183">
        <v>18704000000</v>
      </c>
      <c r="AL183">
        <v>17746000000</v>
      </c>
      <c r="AM183">
        <v>8443000000</v>
      </c>
      <c r="AN183">
        <v>2924000000</v>
      </c>
      <c r="AO183" s="9">
        <v>85427000000</v>
      </c>
      <c r="AP183">
        <v>0</v>
      </c>
      <c r="AQ183">
        <v>515000000</v>
      </c>
      <c r="AR183">
        <v>127000000</v>
      </c>
      <c r="AS183">
        <v>295750000</v>
      </c>
      <c r="AT183">
        <v>4128075000</v>
      </c>
      <c r="AU183">
        <v>232250000</v>
      </c>
      <c r="AV183" s="3" t="s">
        <v>473</v>
      </c>
      <c r="AW183">
        <v>109100</v>
      </c>
    </row>
    <row r="184" spans="1:49" x14ac:dyDescent="0.2">
      <c r="A184">
        <v>16</v>
      </c>
      <c r="B184" t="s">
        <v>354</v>
      </c>
      <c r="C184" t="s">
        <v>355</v>
      </c>
      <c r="D184" s="8" t="s">
        <v>356</v>
      </c>
      <c r="E184" t="s">
        <v>55</v>
      </c>
      <c r="F184" t="s">
        <v>375</v>
      </c>
      <c r="G184" s="2" t="d">
        <v>2023-11-01</v>
      </c>
      <c r="H184" s="2" t="d">
        <v>2023-11-01</v>
      </c>
      <c r="I184">
        <v>2023</v>
      </c>
      <c r="J184" t="s">
        <v>63</v>
      </c>
      <c r="K184">
        <v>3</v>
      </c>
      <c r="L184" s="2" t="d">
        <v>2023-07-01</v>
      </c>
      <c r="M184" s="2" t="d">
        <v>2023-09-30</v>
      </c>
      <c r="N184" t="s">
        <v>467</v>
      </c>
      <c r="O184" t="s">
        <v>467</v>
      </c>
      <c r="P184">
        <v>2023</v>
      </c>
      <c r="Q184" t="s">
        <v>63</v>
      </c>
      <c r="R184" t="s">
        <v>59</v>
      </c>
      <c r="S184" t="s">
        <v>374</v>
      </c>
      <c r="T184" t="s">
        <v>61</v>
      </c>
      <c r="U184">
        <v>16810000000</v>
      </c>
      <c r="V184">
        <v>10583000000</v>
      </c>
      <c r="W184">
        <v>3449000000</v>
      </c>
      <c r="X184">
        <v>554000000</v>
      </c>
      <c r="Y184">
        <v>734000000</v>
      </c>
      <c r="Z184">
        <v>3515000000</v>
      </c>
      <c r="AA184">
        <v>20507000000</v>
      </c>
      <c r="AB184">
        <v>12880000000</v>
      </c>
      <c r="AC184">
        <v>24259000000</v>
      </c>
      <c r="AD184">
        <v>0</v>
      </c>
      <c r="AE184">
        <v>6545000000</v>
      </c>
      <c r="AF184">
        <v>0</v>
      </c>
      <c r="AG184">
        <v>4060000000</v>
      </c>
      <c r="AH184">
        <v>-781000000</v>
      </c>
      <c r="AI184">
        <v>525000000</v>
      </c>
      <c r="AJ184">
        <v>-47000000</v>
      </c>
      <c r="AK184">
        <v>18742000000</v>
      </c>
      <c r="AL184">
        <v>17580000000</v>
      </c>
      <c r="AM184">
        <v>7827000000</v>
      </c>
      <c r="AN184">
        <v>2793000000</v>
      </c>
      <c r="AO184" s="9">
        <v>86791000000</v>
      </c>
      <c r="AP184">
        <v>0</v>
      </c>
      <c r="AQ184">
        <v>512600000</v>
      </c>
      <c r="AR184">
        <v>129000000</v>
      </c>
      <c r="AS184">
        <v>323450000</v>
      </c>
      <c r="AT184">
        <v>4386325000</v>
      </c>
      <c r="AU184">
        <v>230550000</v>
      </c>
      <c r="AV184" s="3" t="s">
        <v>473</v>
      </c>
      <c r="AW184">
        <v>109100</v>
      </c>
    </row>
    <row r="185" spans="1:49" x14ac:dyDescent="0.2">
      <c r="A185">
        <v>16</v>
      </c>
      <c r="B185" t="s">
        <v>354</v>
      </c>
      <c r="C185" t="s">
        <v>355</v>
      </c>
      <c r="D185" s="8" t="s">
        <v>356</v>
      </c>
      <c r="E185" t="s">
        <v>66</v>
      </c>
      <c r="F185" t="s">
        <v>376</v>
      </c>
      <c r="G185" s="2" t="d">
        <v>2024-02-16</v>
      </c>
      <c r="H185" s="2" t="d">
        <v>2024-02-16</v>
      </c>
      <c r="I185">
        <v>2023</v>
      </c>
      <c r="J185" t="s">
        <v>65</v>
      </c>
      <c r="K185">
        <v>4</v>
      </c>
      <c r="L185" s="2" t="d">
        <v>2023-10-01</v>
      </c>
      <c r="M185" s="2" t="d">
        <v>2023-12-31</v>
      </c>
      <c r="N185" t="s">
        <v>467</v>
      </c>
      <c r="O185" t="s">
        <v>467</v>
      </c>
      <c r="P185">
        <v>2023</v>
      </c>
      <c r="Q185" t="s">
        <v>65</v>
      </c>
      <c r="R185" t="s">
        <v>59</v>
      </c>
      <c r="S185" t="s">
        <v>374</v>
      </c>
      <c r="T185" t="s">
        <v>61</v>
      </c>
      <c r="U185">
        <v>17070000000</v>
      </c>
      <c r="V185">
        <v>11016000000</v>
      </c>
      <c r="W185">
        <v>3134000000</v>
      </c>
      <c r="X185">
        <v>554000000</v>
      </c>
      <c r="Y185">
        <v>587000000</v>
      </c>
      <c r="Z185">
        <v>3249000000</v>
      </c>
      <c r="AA185">
        <v>19503000000</v>
      </c>
      <c r="AB185">
        <v>13406000000</v>
      </c>
      <c r="AC185">
        <v>24472000000</v>
      </c>
      <c r="AD185">
        <v>0</v>
      </c>
      <c r="AE185">
        <v>6978000000</v>
      </c>
      <c r="AF185">
        <v>0</v>
      </c>
      <c r="AG185">
        <v>4003000000</v>
      </c>
      <c r="AH185">
        <v>-854000000</v>
      </c>
      <c r="AI185">
        <v>545000000</v>
      </c>
      <c r="AJ185">
        <v>-8000000</v>
      </c>
      <c r="AK185">
        <v>18820000000</v>
      </c>
      <c r="AL185">
        <v>16565000000</v>
      </c>
      <c r="AM185">
        <v>7906000000</v>
      </c>
      <c r="AN185">
        <v>2673000000</v>
      </c>
      <c r="AO185" s="9">
        <v>87476000000</v>
      </c>
      <c r="AP185">
        <v>0</v>
      </c>
      <c r="AQ185">
        <v>513600000</v>
      </c>
      <c r="AR185">
        <v>126000000</v>
      </c>
      <c r="AS185">
        <v>351150000</v>
      </c>
      <c r="AT185">
        <v>4616875000</v>
      </c>
      <c r="AU185">
        <v>202850000</v>
      </c>
      <c r="AV185" s="3" t="s">
        <v>473</v>
      </c>
      <c r="AW185">
        <v>113200</v>
      </c>
    </row>
    <row r="186" spans="1:49" x14ac:dyDescent="0.2">
      <c r="A186">
        <v>16</v>
      </c>
      <c r="B186" t="s">
        <v>354</v>
      </c>
      <c r="C186" t="s">
        <v>355</v>
      </c>
      <c r="D186" s="8" t="s">
        <v>356</v>
      </c>
      <c r="E186" t="s">
        <v>55</v>
      </c>
      <c r="F186" t="s">
        <v>377</v>
      </c>
      <c r="G186" s="2" t="d">
        <v>2024-05-01</v>
      </c>
      <c r="H186" s="2" t="d">
        <v>2024-05-01</v>
      </c>
      <c r="I186" s="7">
        <v>2024</v>
      </c>
      <c r="J186" t="s">
        <v>57</v>
      </c>
      <c r="K186">
        <v>5</v>
      </c>
      <c r="L186" s="2" t="d">
        <v>2024-01-01</v>
      </c>
      <c r="M186" s="2" t="d">
        <v>2024-03-31</v>
      </c>
      <c r="N186" t="s">
        <v>468</v>
      </c>
      <c r="O186" t="s">
        <v>468</v>
      </c>
      <c r="P186" s="7">
        <v>2024</v>
      </c>
      <c r="Q186" t="s">
        <v>57</v>
      </c>
      <c r="R186" t="s">
        <v>59</v>
      </c>
      <c r="S186" t="s">
        <v>374</v>
      </c>
      <c r="T186" t="s">
        <v>61</v>
      </c>
      <c r="U186">
        <v>15799000000</v>
      </c>
      <c r="V186">
        <v>9662000000</v>
      </c>
      <c r="W186">
        <v>3519000000</v>
      </c>
      <c r="X186">
        <v>520000000</v>
      </c>
      <c r="Y186">
        <v>688000000</v>
      </c>
      <c r="Z186">
        <v>3532000000</v>
      </c>
      <c r="AA186">
        <v>17645000000</v>
      </c>
      <c r="AB186">
        <v>13022000000</v>
      </c>
      <c r="AC186">
        <v>24831000000</v>
      </c>
      <c r="AD186">
        <v>0</v>
      </c>
      <c r="AE186">
        <v>4959000000</v>
      </c>
      <c r="AF186">
        <v>0</v>
      </c>
      <c r="AG186">
        <v>2052000000</v>
      </c>
      <c r="AH186">
        <v>-736000000</v>
      </c>
      <c r="AI186">
        <v>524000000</v>
      </c>
      <c r="AJ186">
        <v>0</v>
      </c>
      <c r="AK186">
        <v>18742000000</v>
      </c>
      <c r="AL186">
        <v>16953000000</v>
      </c>
      <c r="AM186">
        <v>7778000000</v>
      </c>
      <c r="AN186">
        <v>2854000000</v>
      </c>
      <c r="AO186" s="9">
        <v>83741000000</v>
      </c>
      <c r="AP186">
        <v>0</v>
      </c>
      <c r="AQ186">
        <v>496900000</v>
      </c>
      <c r="AR186">
        <v>143000000</v>
      </c>
      <c r="AS186">
        <v>377150000</v>
      </c>
      <c r="AT186">
        <v>4785725000</v>
      </c>
      <c r="AU186">
        <v>142850000</v>
      </c>
      <c r="AV186" s="3" t="s">
        <v>473</v>
      </c>
      <c r="AW186">
        <v>113200</v>
      </c>
    </row>
    <row r="187" spans="1:49" x14ac:dyDescent="0.2">
      <c r="A187">
        <v>16</v>
      </c>
      <c r="B187" t="s">
        <v>354</v>
      </c>
      <c r="C187" t="s">
        <v>355</v>
      </c>
      <c r="D187" s="8" t="s">
        <v>356</v>
      </c>
      <c r="E187" t="s">
        <v>55</v>
      </c>
      <c r="F187" t="s">
        <v>378</v>
      </c>
      <c r="G187" s="2" t="d">
        <v>2024-08-07</v>
      </c>
      <c r="H187" s="2" t="d">
        <v>2024-08-07</v>
      </c>
      <c r="I187" s="7">
        <v>2024</v>
      </c>
      <c r="J187" t="s">
        <v>58</v>
      </c>
      <c r="K187">
        <v>6</v>
      </c>
      <c r="L187" s="2" t="d">
        <v>2024-04-01</v>
      </c>
      <c r="M187" s="2" t="d">
        <v>2024-06-30</v>
      </c>
      <c r="N187" t="s">
        <v>467</v>
      </c>
      <c r="O187" t="s">
        <v>467</v>
      </c>
      <c r="P187" s="7">
        <v>2024</v>
      </c>
      <c r="Q187" t="s">
        <v>58</v>
      </c>
      <c r="R187" t="s">
        <v>59</v>
      </c>
      <c r="S187" t="s">
        <v>374</v>
      </c>
      <c r="T187" t="s">
        <v>61</v>
      </c>
      <c r="U187">
        <v>16689000000</v>
      </c>
      <c r="V187">
        <v>10150000000</v>
      </c>
      <c r="W187">
        <v>3482000000</v>
      </c>
      <c r="X187">
        <v>535000000</v>
      </c>
      <c r="Y187">
        <v>836000000</v>
      </c>
      <c r="Z187">
        <v>3500000000</v>
      </c>
      <c r="AA187">
        <v>17136000000</v>
      </c>
      <c r="AB187">
        <v>13475000000</v>
      </c>
      <c r="AC187">
        <v>23836000000</v>
      </c>
      <c r="AD187">
        <v>0</v>
      </c>
      <c r="AE187">
        <v>4341000000</v>
      </c>
      <c r="AF187">
        <v>0</v>
      </c>
      <c r="AG187">
        <v>3021000000</v>
      </c>
      <c r="AH187">
        <v>-719000000</v>
      </c>
      <c r="AI187">
        <v>531000000</v>
      </c>
      <c r="AJ187">
        <v>-32000000</v>
      </c>
      <c r="AK187">
        <v>18937000000</v>
      </c>
      <c r="AL187">
        <v>17082000000</v>
      </c>
      <c r="AM187">
        <v>7575000000</v>
      </c>
      <c r="AN187">
        <v>2681000000</v>
      </c>
      <c r="AO187" s="9">
        <v>83336000000</v>
      </c>
      <c r="AP187">
        <v>0</v>
      </c>
      <c r="AQ187">
        <v>489500000</v>
      </c>
      <c r="AR187">
        <v>137000000</v>
      </c>
      <c r="AS187">
        <v>403900000</v>
      </c>
      <c r="AT187">
        <v>4943575000</v>
      </c>
      <c r="AU187">
        <v>131100000</v>
      </c>
      <c r="AV187" s="3" t="s">
        <v>473</v>
      </c>
      <c r="AW187">
        <v>113200</v>
      </c>
    </row>
    <row r="188" spans="1:49" x14ac:dyDescent="0.2">
      <c r="A188">
        <v>16</v>
      </c>
      <c r="B188" t="s">
        <v>354</v>
      </c>
      <c r="C188" t="s">
        <v>355</v>
      </c>
      <c r="D188" s="8" t="s">
        <v>356</v>
      </c>
      <c r="E188" t="s">
        <v>55</v>
      </c>
      <c r="F188" t="s">
        <v>379</v>
      </c>
      <c r="G188" s="2" t="d">
        <v>2024-11-06</v>
      </c>
      <c r="H188" s="2" t="d">
        <v>2024-11-06</v>
      </c>
      <c r="I188" s="7">
        <v>2024</v>
      </c>
      <c r="J188" t="s">
        <v>63</v>
      </c>
      <c r="K188">
        <v>7</v>
      </c>
      <c r="L188" s="2" t="d">
        <v>2024-07-01</v>
      </c>
      <c r="M188" s="2" t="d">
        <v>2024-09-30</v>
      </c>
      <c r="N188" t="s">
        <v>467</v>
      </c>
      <c r="O188" t="s">
        <v>467</v>
      </c>
      <c r="P188" s="7">
        <v>2024</v>
      </c>
      <c r="Q188" t="s">
        <v>63</v>
      </c>
      <c r="R188" t="s">
        <v>59</v>
      </c>
      <c r="S188" t="s">
        <v>374</v>
      </c>
      <c r="T188" t="s">
        <v>61</v>
      </c>
      <c r="U188">
        <v>16106000000</v>
      </c>
      <c r="V188">
        <v>10066000000</v>
      </c>
      <c r="W188">
        <v>3147000000</v>
      </c>
      <c r="X188">
        <v>533000000</v>
      </c>
      <c r="Y188">
        <v>642000000</v>
      </c>
      <c r="Z188">
        <v>3098000000</v>
      </c>
      <c r="AA188">
        <v>19403000000</v>
      </c>
      <c r="AB188">
        <v>12117000000</v>
      </c>
      <c r="AC188">
        <v>25784000000</v>
      </c>
      <c r="AD188">
        <v>0</v>
      </c>
      <c r="AE188">
        <v>5638000000</v>
      </c>
      <c r="AF188">
        <v>0</v>
      </c>
      <c r="AG188">
        <v>3569000000</v>
      </c>
      <c r="AH188">
        <v>-723000000</v>
      </c>
      <c r="AI188">
        <v>543000000</v>
      </c>
      <c r="AJ188">
        <v>0</v>
      </c>
      <c r="AK188">
        <v>18902000000</v>
      </c>
      <c r="AL188">
        <v>17312000000</v>
      </c>
      <c r="AM188">
        <v>7705000000</v>
      </c>
      <c r="AN188">
        <v>2463000000</v>
      </c>
      <c r="AO188" s="9">
        <v>86273000000</v>
      </c>
      <c r="AP188">
        <v>0</v>
      </c>
      <c r="AQ188">
        <v>486700000</v>
      </c>
      <c r="AR188">
        <v>125000000</v>
      </c>
      <c r="AS188">
        <v>430550000</v>
      </c>
      <c r="AT188">
        <v>5072675000</v>
      </c>
      <c r="AU188">
        <v>102450000</v>
      </c>
      <c r="AV188" s="3" t="s">
        <v>473</v>
      </c>
      <c r="AW188">
        <v>113200</v>
      </c>
    </row>
    <row r="189" spans="1:49" x14ac:dyDescent="0.2">
      <c r="A189">
        <v>16</v>
      </c>
      <c r="B189" t="s">
        <v>354</v>
      </c>
      <c r="C189" t="s">
        <v>355</v>
      </c>
      <c r="D189" s="8" t="s">
        <v>356</v>
      </c>
      <c r="E189" t="s">
        <v>66</v>
      </c>
      <c r="F189" t="s">
        <v>380</v>
      </c>
      <c r="G189" s="2" t="d">
        <v>2025-02-14</v>
      </c>
      <c r="H189" s="2" t="d">
        <v>2025-02-14</v>
      </c>
      <c r="I189" s="7">
        <v>2024</v>
      </c>
      <c r="J189" t="s">
        <v>65</v>
      </c>
      <c r="K189">
        <v>8</v>
      </c>
      <c r="L189" s="2" t="d">
        <v>2024-10-01</v>
      </c>
      <c r="M189" s="2" t="d">
        <v>2024-12-31</v>
      </c>
      <c r="N189" t="s">
        <v>467</v>
      </c>
      <c r="O189" t="s">
        <v>467</v>
      </c>
      <c r="P189" s="7">
        <v>2024</v>
      </c>
      <c r="Q189" t="s">
        <v>65</v>
      </c>
      <c r="R189" t="s">
        <v>59</v>
      </c>
      <c r="S189" t="s">
        <v>374</v>
      </c>
      <c r="T189" t="s">
        <v>61</v>
      </c>
      <c r="U189">
        <v>16215000000</v>
      </c>
      <c r="V189">
        <v>10321000000</v>
      </c>
      <c r="W189">
        <v>2924000000</v>
      </c>
      <c r="X189">
        <v>519000000</v>
      </c>
      <c r="Y189">
        <v>463000000</v>
      </c>
      <c r="Z189">
        <v>3243000000</v>
      </c>
      <c r="AA189">
        <v>19494000000</v>
      </c>
      <c r="AB189">
        <v>11058000000</v>
      </c>
      <c r="AC189">
        <v>27351000000</v>
      </c>
      <c r="AD189">
        <v>0</v>
      </c>
      <c r="AE189">
        <v>6889000000</v>
      </c>
      <c r="AF189">
        <v>0</v>
      </c>
      <c r="AG189">
        <v>3393000000</v>
      </c>
      <c r="AH189">
        <v>-1037000000</v>
      </c>
      <c r="AI189">
        <v>555000000</v>
      </c>
      <c r="AJ189">
        <v>-2000000</v>
      </c>
      <c r="AK189">
        <v>18847000000</v>
      </c>
      <c r="AL189">
        <v>16827000000</v>
      </c>
      <c r="AM189">
        <v>7675000000</v>
      </c>
      <c r="AN189">
        <v>2790000000</v>
      </c>
      <c r="AO189" s="9">
        <v>87764000000</v>
      </c>
      <c r="AP189">
        <v>0</v>
      </c>
      <c r="AQ189">
        <v>489400000</v>
      </c>
      <c r="AR189">
        <v>107000000</v>
      </c>
      <c r="AS189">
        <v>456500000</v>
      </c>
      <c r="AT189">
        <v>5161125000</v>
      </c>
      <c r="AU189">
        <v>62500000</v>
      </c>
      <c r="AV189" s="3" t="s">
        <v>473</v>
      </c>
      <c r="AW189">
        <v>112900</v>
      </c>
    </row>
    <row r="190" spans="1:49" x14ac:dyDescent="0.2">
      <c r="A190">
        <v>16</v>
      </c>
      <c r="B190" t="s">
        <v>354</v>
      </c>
      <c r="C190" t="s">
        <v>355</v>
      </c>
      <c r="D190" s="8" t="s">
        <v>356</v>
      </c>
      <c r="E190" t="s">
        <v>55</v>
      </c>
      <c r="F190" t="s">
        <v>381</v>
      </c>
      <c r="G190" s="2" t="d">
        <v>2025-05-07</v>
      </c>
      <c r="H190" s="2" t="d">
        <v>2025-05-07</v>
      </c>
      <c r="I190" s="7">
        <v>2025</v>
      </c>
      <c r="J190" t="s">
        <v>57</v>
      </c>
      <c r="K190">
        <v>9</v>
      </c>
      <c r="L190" s="2" t="d">
        <v>2025-01-01</v>
      </c>
      <c r="M190" s="2" t="d">
        <v>2025-03-31</v>
      </c>
      <c r="N190" t="s">
        <v>468</v>
      </c>
      <c r="O190" t="s">
        <v>468</v>
      </c>
      <c r="P190" s="7">
        <v>2025</v>
      </c>
      <c r="Q190" t="s">
        <v>57</v>
      </c>
      <c r="R190" t="s">
        <v>59</v>
      </c>
      <c r="S190" t="s">
        <v>374</v>
      </c>
      <c r="T190" t="s">
        <v>61</v>
      </c>
      <c r="U190">
        <v>14249000000</v>
      </c>
      <c r="V190">
        <v>8965000000</v>
      </c>
      <c r="W190">
        <v>2579000000</v>
      </c>
      <c r="X190">
        <v>480000000</v>
      </c>
      <c r="Y190">
        <v>574000000</v>
      </c>
      <c r="Z190">
        <v>2570000000</v>
      </c>
      <c r="AA190">
        <v>18070000000</v>
      </c>
      <c r="AB190">
        <v>12769000000</v>
      </c>
      <c r="AC190">
        <v>25819000000</v>
      </c>
      <c r="AD190">
        <v>0</v>
      </c>
      <c r="AE190">
        <v>3562000000</v>
      </c>
      <c r="AF190">
        <v>0</v>
      </c>
      <c r="AG190">
        <v>1289000000</v>
      </c>
      <c r="AH190">
        <v>-918000000</v>
      </c>
      <c r="AI190">
        <v>540000000</v>
      </c>
      <c r="AJ190">
        <v>-2000000</v>
      </c>
      <c r="AK190">
        <v>18771000000</v>
      </c>
      <c r="AL190">
        <v>17862000000</v>
      </c>
      <c r="AM190">
        <v>7792000000</v>
      </c>
      <c r="AN190">
        <v>2003000000</v>
      </c>
      <c r="AO190" s="9">
        <v>84974000000</v>
      </c>
      <c r="AP190">
        <v>0</v>
      </c>
      <c r="AQ190">
        <v>477100000</v>
      </c>
      <c r="AR190">
        <v>116000000</v>
      </c>
      <c r="AS190">
        <v>462812500</v>
      </c>
      <c r="AT190">
        <v>5184625000</v>
      </c>
      <c r="AU190">
        <v>17187500</v>
      </c>
      <c r="AV190" s="3" t="s">
        <v>473</v>
      </c>
      <c r="AW190">
        <v>112900</v>
      </c>
    </row>
    <row r="191" spans="1:49" x14ac:dyDescent="0.2">
      <c r="A191">
        <v>16</v>
      </c>
      <c r="B191" t="s">
        <v>354</v>
      </c>
      <c r="C191" t="s">
        <v>355</v>
      </c>
      <c r="D191" s="8" t="s">
        <v>356</v>
      </c>
      <c r="E191" t="s">
        <v>55</v>
      </c>
      <c r="F191" t="s">
        <v>382</v>
      </c>
      <c r="G191" s="2" t="d">
        <v>2025-08-06</v>
      </c>
      <c r="H191" s="2" t="d">
        <v>2025-08-06</v>
      </c>
      <c r="I191" s="7">
        <v>2025</v>
      </c>
      <c r="J191" t="s">
        <v>58</v>
      </c>
      <c r="K191">
        <v>10</v>
      </c>
      <c r="L191" s="2" t="d">
        <v>2025-04-01</v>
      </c>
      <c r="M191" s="2" t="d">
        <v>2025-06-30</v>
      </c>
      <c r="N191" t="s">
        <v>467</v>
      </c>
      <c r="O191" t="s">
        <v>467</v>
      </c>
      <c r="P191" s="7">
        <v>2025</v>
      </c>
      <c r="Q191" t="s">
        <v>58</v>
      </c>
      <c r="R191" t="s">
        <v>59</v>
      </c>
      <c r="S191" t="s">
        <v>374</v>
      </c>
      <c r="T191" t="s">
        <v>61</v>
      </c>
      <c r="U191">
        <v>16569000000</v>
      </c>
      <c r="V191">
        <v>10807000000</v>
      </c>
      <c r="W191">
        <v>2860000000</v>
      </c>
      <c r="X191">
        <v>551000000</v>
      </c>
      <c r="Y191">
        <v>646000000</v>
      </c>
      <c r="Z191">
        <v>2818000000</v>
      </c>
      <c r="AA191">
        <v>18663000000</v>
      </c>
      <c r="AB191">
        <v>12800000000</v>
      </c>
      <c r="AC191">
        <v>27948000000</v>
      </c>
      <c r="AD191">
        <v>0</v>
      </c>
      <c r="AE191">
        <v>5442000000</v>
      </c>
      <c r="AF191">
        <v>0</v>
      </c>
      <c r="AG191">
        <v>3122000000</v>
      </c>
      <c r="AH191">
        <v>-955000000</v>
      </c>
      <c r="AI191">
        <v>554000000</v>
      </c>
      <c r="AJ191">
        <v>-19000000</v>
      </c>
      <c r="AK191">
        <v>19851000000</v>
      </c>
      <c r="AL191">
        <v>18595000000</v>
      </c>
      <c r="AM191">
        <v>8563000000</v>
      </c>
      <c r="AN191">
        <v>2179000000</v>
      </c>
      <c r="AO191" s="9">
        <v>90325000000</v>
      </c>
      <c r="AP191">
        <v>0</v>
      </c>
      <c r="AQ191">
        <v>471500000</v>
      </c>
      <c r="AR191">
        <v>126000000</v>
      </c>
      <c r="AS191">
        <v>472675000</v>
      </c>
      <c r="AT191">
        <v>5272812500</v>
      </c>
      <c r="AU191">
        <v>78325000</v>
      </c>
      <c r="AV191" s="3" t="s">
        <v>473</v>
      </c>
      <c r="AW191">
        <v>112900</v>
      </c>
    </row>
    <row r="192" spans="1:49" x14ac:dyDescent="0.2">
      <c r="A192">
        <v>16</v>
      </c>
      <c r="B192" t="s">
        <v>354</v>
      </c>
      <c r="C192" t="s">
        <v>355</v>
      </c>
      <c r="D192" s="8" t="s">
        <v>356</v>
      </c>
      <c r="E192" t="s">
        <v>55</v>
      </c>
      <c r="F192" t="s">
        <v>383</v>
      </c>
      <c r="G192" s="2" t="d">
        <v>2025-11-03</v>
      </c>
      <c r="H192" s="2" t="d">
        <v>2025-11-03</v>
      </c>
      <c r="I192" s="7">
        <v>2025</v>
      </c>
      <c r="J192" t="s">
        <v>63</v>
      </c>
      <c r="K192">
        <v>11</v>
      </c>
      <c r="L192" s="2" t="d">
        <v>2025-07-01</v>
      </c>
      <c r="M192" s="2" t="d">
        <v>2025-09-30</v>
      </c>
      <c r="N192" t="s">
        <v>467</v>
      </c>
      <c r="O192" t="s">
        <v>467</v>
      </c>
      <c r="P192" s="7">
        <v>2025</v>
      </c>
      <c r="Q192" t="s">
        <v>63</v>
      </c>
      <c r="R192" t="s">
        <v>59</v>
      </c>
      <c r="S192" t="s">
        <v>374</v>
      </c>
      <c r="T192" t="s">
        <v>61</v>
      </c>
      <c r="U192">
        <v>17638000000</v>
      </c>
      <c r="V192">
        <v>11673000000</v>
      </c>
      <c r="W192">
        <v>3052000000</v>
      </c>
      <c r="X192">
        <v>555000000</v>
      </c>
      <c r="Y192">
        <v>836000000</v>
      </c>
      <c r="Z192">
        <v>3127000000</v>
      </c>
      <c r="AA192">
        <v>20659000000</v>
      </c>
      <c r="AB192">
        <v>13798000000</v>
      </c>
      <c r="AC192">
        <v>27736000000</v>
      </c>
      <c r="AD192">
        <v>0</v>
      </c>
      <c r="AE192">
        <v>7538000000</v>
      </c>
      <c r="AF192">
        <v>0</v>
      </c>
      <c r="AG192">
        <v>3737000000</v>
      </c>
      <c r="AH192">
        <v>-1071000000</v>
      </c>
      <c r="AI192">
        <v>570000000</v>
      </c>
      <c r="AJ192">
        <v>-5000000</v>
      </c>
      <c r="AK192">
        <v>20461000000</v>
      </c>
      <c r="AL192">
        <v>18958000000</v>
      </c>
      <c r="AM192">
        <v>8729000000</v>
      </c>
      <c r="AN192">
        <v>2299000000</v>
      </c>
      <c r="AO192" s="9">
        <v>93722000000</v>
      </c>
      <c r="AP192">
        <v>0</v>
      </c>
      <c r="AQ192">
        <v>470800000</v>
      </c>
      <c r="AR192">
        <v>133000000</v>
      </c>
      <c r="AS192">
        <v>482737500</v>
      </c>
      <c r="AT192">
        <v>5355137500</v>
      </c>
      <c r="AU192">
        <v>72262500</v>
      </c>
      <c r="AV192" s="3" t="s">
        <v>473</v>
      </c>
      <c r="AW192">
        <v>112900</v>
      </c>
    </row>
    <row r="193" spans="1:49" x14ac:dyDescent="0.2">
      <c r="A193">
        <v>16</v>
      </c>
      <c r="B193" t="s">
        <v>354</v>
      </c>
      <c r="C193" t="s">
        <v>355</v>
      </c>
      <c r="D193" s="8" t="s">
        <v>356</v>
      </c>
      <c r="E193" t="s">
        <v>66</v>
      </c>
      <c r="F193" t="s">
        <v>384</v>
      </c>
      <c r="G193" s="2" t="d">
        <v>2026-02-13</v>
      </c>
      <c r="H193" s="2" t="d">
        <v>2026-02-13</v>
      </c>
      <c r="I193" s="7">
        <v>2025</v>
      </c>
      <c r="J193" t="s">
        <v>65</v>
      </c>
      <c r="K193">
        <v>12</v>
      </c>
      <c r="L193" s="2" t="d">
        <v>2025-10-01</v>
      </c>
      <c r="M193" s="2" t="d">
        <v>2025-12-31</v>
      </c>
      <c r="N193" t="s">
        <v>467</v>
      </c>
      <c r="O193" t="s">
        <v>467</v>
      </c>
      <c r="P193" s="7">
        <v>2025</v>
      </c>
      <c r="Q193" t="s">
        <v>65</v>
      </c>
      <c r="R193" t="s">
        <v>59</v>
      </c>
      <c r="S193" t="s">
        <v>374</v>
      </c>
      <c r="T193" t="s">
        <v>61</v>
      </c>
      <c r="U193">
        <v>19133000000</v>
      </c>
      <c r="V193">
        <v>13307000000</v>
      </c>
      <c r="W193">
        <v>2660000000</v>
      </c>
      <c r="X193">
        <v>562000000</v>
      </c>
      <c r="Y193">
        <v>712000000</v>
      </c>
      <c r="Z193">
        <v>3026000000</v>
      </c>
      <c r="AA193">
        <v>21318000000</v>
      </c>
      <c r="AB193">
        <v>12634000000</v>
      </c>
      <c r="AC193">
        <v>30696000000</v>
      </c>
      <c r="AD193">
        <v>0</v>
      </c>
      <c r="AE193">
        <v>9980000000</v>
      </c>
      <c r="AF193">
        <v>0</v>
      </c>
      <c r="AG193">
        <v>3591000000</v>
      </c>
      <c r="AH193">
        <v>-1342000000</v>
      </c>
      <c r="AI193">
        <v>598000000</v>
      </c>
      <c r="AJ193">
        <v>-21000000</v>
      </c>
      <c r="AK193">
        <v>21569000000</v>
      </c>
      <c r="AL193">
        <v>18135000000</v>
      </c>
      <c r="AM193">
        <v>8968000000</v>
      </c>
      <c r="AN193">
        <v>2401000000</v>
      </c>
      <c r="AO193" s="9">
        <v>98585000000</v>
      </c>
      <c r="AP193">
        <v>0</v>
      </c>
      <c r="AQ193">
        <v>472300000</v>
      </c>
      <c r="AR193">
        <v>127000000</v>
      </c>
      <c r="AS193">
        <v>493150000</v>
      </c>
      <c r="AT193">
        <v>5434400000</v>
      </c>
      <c r="AU193">
        <v>68850000</v>
      </c>
      <c r="AV193" s="3" t="s">
        <v>473</v>
      </c>
      <c r="AW193">
        <v>118000</v>
      </c>
    </row>
    <row r="194" spans="1:49" x14ac:dyDescent="0.2">
      <c r="A194">
        <v>17</v>
      </c>
      <c r="B194" t="s">
        <v>358</v>
      </c>
      <c r="C194" t="s">
        <v>359</v>
      </c>
      <c r="D194" s="8" t="s">
        <v>360</v>
      </c>
      <c r="E194" t="s">
        <v>55</v>
      </c>
      <c r="F194" t="s">
        <v>361</v>
      </c>
      <c r="G194" s="2" t="d">
        <v>2023-04-25</v>
      </c>
      <c r="H194" s="2" t="d">
        <v>2023-04-25</v>
      </c>
      <c r="I194">
        <v>2023</v>
      </c>
      <c r="J194" t="s">
        <v>57</v>
      </c>
      <c r="K194">
        <v>1</v>
      </c>
      <c r="L194" s="2" t="d">
        <v>2023-01-01</v>
      </c>
      <c r="M194" s="2" t="d">
        <v>2023-03-31</v>
      </c>
      <c r="N194" t="s">
        <v>468</v>
      </c>
      <c r="O194" t="s">
        <v>468</v>
      </c>
      <c r="P194">
        <v>2023</v>
      </c>
      <c r="Q194" t="s">
        <v>57</v>
      </c>
      <c r="R194" t="s">
        <v>59</v>
      </c>
      <c r="S194" t="s">
        <v>469</v>
      </c>
      <c r="T194" t="s">
        <v>61</v>
      </c>
      <c r="U194">
        <v>24072000000</v>
      </c>
      <c r="V194">
        <v>21992000000</v>
      </c>
      <c r="W194">
        <v>1192000000</v>
      </c>
      <c r="X194">
        <v>0</v>
      </c>
      <c r="Y194">
        <v>225000000</v>
      </c>
      <c r="Z194">
        <v>1397000000</v>
      </c>
      <c r="AA194">
        <v>24896000000</v>
      </c>
      <c r="AB194">
        <v>2761000000</v>
      </c>
      <c r="AC194">
        <v>7745000000</v>
      </c>
      <c r="AD194">
        <v>1044000000</v>
      </c>
      <c r="AE194">
        <v>899000000</v>
      </c>
      <c r="AF194">
        <v>0</v>
      </c>
      <c r="AG194">
        <v>-1610000000</v>
      </c>
      <c r="AH194">
        <v>-327000000</v>
      </c>
      <c r="AI194">
        <v>259000000</v>
      </c>
      <c r="AJ194">
        <v>0</v>
      </c>
      <c r="AK194">
        <v>4471000000</v>
      </c>
      <c r="AL194">
        <v>14771000000</v>
      </c>
      <c r="AM194">
        <v>6271000000</v>
      </c>
      <c r="AN194">
        <v>1172000000</v>
      </c>
      <c r="AO194">
        <v>58802000000</v>
      </c>
      <c r="AP194">
        <v>65000000</v>
      </c>
      <c r="AQ194">
        <v>551000000</v>
      </c>
      <c r="AR194">
        <v>147000000</v>
      </c>
      <c r="AV194" s="10" t="s">
        <v>474</v>
      </c>
      <c r="AW194">
        <v>42001</v>
      </c>
    </row>
    <row r="195" spans="1:49" x14ac:dyDescent="0.2">
      <c r="A195">
        <v>17</v>
      </c>
      <c r="B195" t="s">
        <v>358</v>
      </c>
      <c r="C195" t="s">
        <v>359</v>
      </c>
      <c r="D195" s="8" t="s">
        <v>360</v>
      </c>
      <c r="E195" t="s">
        <v>55</v>
      </c>
      <c r="F195" t="s">
        <v>362</v>
      </c>
      <c r="G195" s="2" t="d">
        <v>2023-07-25</v>
      </c>
      <c r="H195" s="2" t="d">
        <v>2023-07-25</v>
      </c>
      <c r="I195">
        <v>2023</v>
      </c>
      <c r="J195" t="s">
        <v>58</v>
      </c>
      <c r="K195">
        <v>2</v>
      </c>
      <c r="L195" s="2" t="d">
        <v>2023-04-01</v>
      </c>
      <c r="M195" s="2" t="d">
        <v>2023-06-30</v>
      </c>
      <c r="N195" t="s">
        <v>467</v>
      </c>
      <c r="O195" t="s">
        <v>467</v>
      </c>
      <c r="P195">
        <v>2023</v>
      </c>
      <c r="Q195" t="s">
        <v>58</v>
      </c>
      <c r="R195" t="s">
        <v>59</v>
      </c>
      <c r="S195" t="s">
        <v>469</v>
      </c>
      <c r="T195" t="s">
        <v>61</v>
      </c>
      <c r="U195">
        <v>25190000000</v>
      </c>
      <c r="V195">
        <v>23307000000</v>
      </c>
      <c r="W195">
        <v>982000000</v>
      </c>
      <c r="X195">
        <v>0</v>
      </c>
      <c r="Y195">
        <v>204000000</v>
      </c>
      <c r="Z195">
        <v>1132000000</v>
      </c>
      <c r="AA195">
        <v>24975000000</v>
      </c>
      <c r="AB195">
        <v>426000000</v>
      </c>
      <c r="AC195">
        <v>8244000000</v>
      </c>
      <c r="AD195">
        <v>1155000000</v>
      </c>
      <c r="AE195">
        <v>1426000000</v>
      </c>
      <c r="AF195">
        <v>0</v>
      </c>
      <c r="AG195">
        <v>2509000000</v>
      </c>
      <c r="AH195">
        <v>-287000000</v>
      </c>
      <c r="AI195">
        <v>262000000</v>
      </c>
      <c r="AJ195">
        <v>0</v>
      </c>
      <c r="AK195">
        <v>4110000000</v>
      </c>
      <c r="AL195">
        <v>11902000000</v>
      </c>
      <c r="AM195">
        <v>5079000000</v>
      </c>
      <c r="AN195">
        <v>928000000</v>
      </c>
      <c r="AO195">
        <v>55499000000</v>
      </c>
      <c r="AP195">
        <v>21000000</v>
      </c>
      <c r="AQ195">
        <v>546000000</v>
      </c>
      <c r="AR195">
        <v>180000000</v>
      </c>
      <c r="AV195" s="10" t="s">
        <v>474</v>
      </c>
      <c r="AW195">
        <v>42001</v>
      </c>
    </row>
    <row r="196" spans="1:49" x14ac:dyDescent="0.2">
      <c r="A196">
        <v>17</v>
      </c>
      <c r="B196" t="s">
        <v>358</v>
      </c>
      <c r="C196" t="s">
        <v>359</v>
      </c>
      <c r="D196" s="8" t="s">
        <v>360</v>
      </c>
      <c r="E196" t="s">
        <v>55</v>
      </c>
      <c r="F196" t="s">
        <v>363</v>
      </c>
      <c r="G196" s="2" t="d">
        <v>2023-10-24</v>
      </c>
      <c r="H196" s="2" t="d">
        <v>2023-10-24</v>
      </c>
      <c r="I196">
        <v>2023</v>
      </c>
      <c r="J196" t="s">
        <v>63</v>
      </c>
      <c r="K196">
        <v>3</v>
      </c>
      <c r="L196" s="2" t="d">
        <v>2023-07-01</v>
      </c>
      <c r="M196" s="2" t="d">
        <v>2023-09-30</v>
      </c>
      <c r="N196" t="s">
        <v>467</v>
      </c>
      <c r="O196" t="s">
        <v>467</v>
      </c>
      <c r="P196">
        <v>2023</v>
      </c>
      <c r="Q196" t="s">
        <v>63</v>
      </c>
      <c r="R196" t="s">
        <v>59</v>
      </c>
      <c r="S196" t="s">
        <v>469</v>
      </c>
      <c r="T196" t="s">
        <v>61</v>
      </c>
      <c r="U196">
        <v>21695000000</v>
      </c>
      <c r="V196">
        <v>19885000000</v>
      </c>
      <c r="W196">
        <v>916000000</v>
      </c>
      <c r="X196">
        <v>0</v>
      </c>
      <c r="Y196">
        <v>207000000</v>
      </c>
      <c r="Z196">
        <v>1031000000</v>
      </c>
      <c r="AA196">
        <v>25265000000</v>
      </c>
      <c r="AB196">
        <v>117000000</v>
      </c>
      <c r="AC196">
        <v>8224000000</v>
      </c>
      <c r="AD196">
        <v>1159000000</v>
      </c>
      <c r="AE196">
        <v>1498000000</v>
      </c>
      <c r="AF196">
        <v>0</v>
      </c>
      <c r="AG196">
        <v>992000000</v>
      </c>
      <c r="AH196">
        <v>-441000000</v>
      </c>
      <c r="AI196">
        <v>261000000</v>
      </c>
      <c r="AJ196">
        <v>-11000000</v>
      </c>
      <c r="AK196">
        <v>4443000000</v>
      </c>
      <c r="AL196">
        <v>11224000000</v>
      </c>
      <c r="AM196">
        <v>5252000000</v>
      </c>
      <c r="AN196">
        <v>824000000</v>
      </c>
      <c r="AO196">
        <v>55093000000</v>
      </c>
      <c r="AP196">
        <v>12000000</v>
      </c>
      <c r="AQ196">
        <v>540000000</v>
      </c>
      <c r="AR196">
        <v>155000000</v>
      </c>
      <c r="AV196" s="10" t="s">
        <v>474</v>
      </c>
      <c r="AW196">
        <v>42001</v>
      </c>
    </row>
    <row r="197" spans="1:49" x14ac:dyDescent="0.2">
      <c r="A197">
        <v>17</v>
      </c>
      <c r="B197" t="s">
        <v>358</v>
      </c>
      <c r="C197" t="s">
        <v>359</v>
      </c>
      <c r="D197" s="8" t="s">
        <v>360</v>
      </c>
      <c r="E197" t="s">
        <v>66</v>
      </c>
      <c r="F197" t="s">
        <v>364</v>
      </c>
      <c r="G197" s="2" t="d">
        <v>2024-03-12</v>
      </c>
      <c r="H197" s="2" t="d">
        <v>2024-03-12</v>
      </c>
      <c r="I197">
        <v>2023</v>
      </c>
      <c r="J197" t="s">
        <v>65</v>
      </c>
      <c r="K197">
        <v>4</v>
      </c>
      <c r="L197" s="2" t="d">
        <v>2023-10-01</v>
      </c>
      <c r="M197" s="2" t="d">
        <v>2023-12-31</v>
      </c>
      <c r="N197" t="s">
        <v>467</v>
      </c>
      <c r="O197" t="s">
        <v>467</v>
      </c>
      <c r="P197">
        <v>2023</v>
      </c>
      <c r="Q197" t="s">
        <v>65</v>
      </c>
      <c r="R197" t="s">
        <v>59</v>
      </c>
      <c r="S197" t="s">
        <v>469</v>
      </c>
      <c r="T197" t="s">
        <v>61</v>
      </c>
      <c r="U197">
        <v>22978000000</v>
      </c>
      <c r="V197">
        <v>21238000000</v>
      </c>
      <c r="W197">
        <v>625000000</v>
      </c>
      <c r="X197">
        <v>0</v>
      </c>
      <c r="Y197">
        <v>192000000</v>
      </c>
      <c r="Z197">
        <v>734000000</v>
      </c>
      <c r="AA197">
        <v>24145000000</v>
      </c>
      <c r="AB197">
        <v>106000000</v>
      </c>
      <c r="AC197">
        <v>8259000000</v>
      </c>
      <c r="AD197">
        <v>1231000000</v>
      </c>
      <c r="AE197">
        <v>1368000000</v>
      </c>
      <c r="AF197">
        <v>0</v>
      </c>
      <c r="AG197">
        <v>2569000000</v>
      </c>
      <c r="AH197">
        <v>-439000000</v>
      </c>
      <c r="AI197">
        <v>277000000</v>
      </c>
      <c r="AJ197">
        <v>-12000000</v>
      </c>
      <c r="AK197">
        <v>4232000000</v>
      </c>
      <c r="AL197">
        <v>11957000000</v>
      </c>
      <c r="AM197">
        <v>6313000000</v>
      </c>
      <c r="AN197">
        <v>542000000</v>
      </c>
      <c r="AO197">
        <v>54631000000</v>
      </c>
      <c r="AP197">
        <v>14000000</v>
      </c>
      <c r="AQ197">
        <v>542000000</v>
      </c>
      <c r="AR197">
        <v>165000000</v>
      </c>
      <c r="AV197" s="10" t="s">
        <v>474</v>
      </c>
      <c r="AW197">
        <v>41802</v>
      </c>
    </row>
    <row r="198" spans="1:49" x14ac:dyDescent="0.2">
      <c r="A198">
        <v>17</v>
      </c>
      <c r="B198" t="s">
        <v>358</v>
      </c>
      <c r="C198" t="s">
        <v>359</v>
      </c>
      <c r="D198" s="8" t="s">
        <v>360</v>
      </c>
      <c r="E198" t="s">
        <v>55</v>
      </c>
      <c r="F198" t="s">
        <v>365</v>
      </c>
      <c r="G198" s="2" t="d">
        <v>2024-04-30</v>
      </c>
      <c r="H198" s="2" t="d">
        <v>2024-04-30</v>
      </c>
      <c r="I198">
        <v>2024</v>
      </c>
      <c r="J198" t="s">
        <v>57</v>
      </c>
      <c r="K198">
        <v>5</v>
      </c>
      <c r="L198" s="2" t="d">
        <v>2024-01-01</v>
      </c>
      <c r="M198" s="2" t="d">
        <v>2024-03-31</v>
      </c>
      <c r="N198" t="s">
        <v>468</v>
      </c>
      <c r="O198" t="s">
        <v>468</v>
      </c>
      <c r="P198">
        <v>2024</v>
      </c>
      <c r="Q198" t="s">
        <v>57</v>
      </c>
      <c r="R198" t="s">
        <v>59</v>
      </c>
      <c r="S198" t="s">
        <v>469</v>
      </c>
      <c r="T198" t="s">
        <v>61</v>
      </c>
      <c r="U198">
        <v>21847000000</v>
      </c>
      <c r="V198">
        <v>20188000000</v>
      </c>
      <c r="W198">
        <v>690000000</v>
      </c>
      <c r="X198">
        <v>0</v>
      </c>
      <c r="Y198">
        <v>166000000</v>
      </c>
      <c r="Z198">
        <v>885000000</v>
      </c>
      <c r="AA198">
        <v>22232000000</v>
      </c>
      <c r="AB198">
        <v>1735000000</v>
      </c>
      <c r="AC198">
        <v>8245000000</v>
      </c>
      <c r="AD198">
        <v>1308000000</v>
      </c>
      <c r="AE198">
        <v>830000000</v>
      </c>
      <c r="AF198">
        <v>0</v>
      </c>
      <c r="AG198">
        <v>700000000</v>
      </c>
      <c r="AH198">
        <v>-328000000</v>
      </c>
      <c r="AI198">
        <v>280000000</v>
      </c>
      <c r="AJ198">
        <v>-915000000</v>
      </c>
      <c r="AK198">
        <v>4178000000</v>
      </c>
      <c r="AL198">
        <v>11634000000</v>
      </c>
      <c r="AM198">
        <v>5599000000</v>
      </c>
      <c r="AN198">
        <v>719000000</v>
      </c>
      <c r="AO198">
        <v>54831000000</v>
      </c>
      <c r="AP198">
        <v>66000000</v>
      </c>
      <c r="AQ198">
        <v>514000000</v>
      </c>
      <c r="AR198">
        <v>166000000</v>
      </c>
      <c r="AV198" s="10" t="s">
        <v>474</v>
      </c>
      <c r="AW198">
        <v>41802</v>
      </c>
    </row>
    <row r="199" spans="1:49" x14ac:dyDescent="0.2">
      <c r="A199">
        <v>17</v>
      </c>
      <c r="B199" t="s">
        <v>358</v>
      </c>
      <c r="C199" t="s">
        <v>359</v>
      </c>
      <c r="D199" s="8" t="s">
        <v>360</v>
      </c>
      <c r="E199" t="s">
        <v>55</v>
      </c>
      <c r="F199" t="s">
        <v>366</v>
      </c>
      <c r="G199" s="2" t="d">
        <v>2024-07-30</v>
      </c>
      <c r="H199" s="2" t="d">
        <v>2024-07-30</v>
      </c>
      <c r="I199">
        <v>2024</v>
      </c>
      <c r="J199" t="s">
        <v>58</v>
      </c>
      <c r="K199">
        <v>6</v>
      </c>
      <c r="L199" s="2" t="d">
        <v>2024-04-01</v>
      </c>
      <c r="M199" s="2" t="d">
        <v>2024-06-30</v>
      </c>
      <c r="N199" t="s">
        <v>467</v>
      </c>
      <c r="O199" t="s">
        <v>467</v>
      </c>
      <c r="P199">
        <v>2024</v>
      </c>
      <c r="Q199" t="s">
        <v>58</v>
      </c>
      <c r="R199" t="s">
        <v>59</v>
      </c>
      <c r="S199" t="s">
        <v>469</v>
      </c>
      <c r="T199" t="s">
        <v>61</v>
      </c>
      <c r="U199">
        <v>22248000000</v>
      </c>
      <c r="V199">
        <v>20852000000</v>
      </c>
      <c r="W199">
        <v>482000000</v>
      </c>
      <c r="X199">
        <v>0</v>
      </c>
      <c r="Y199">
        <v>115000000</v>
      </c>
      <c r="Z199">
        <v>596000000</v>
      </c>
      <c r="AA199">
        <v>22159000000</v>
      </c>
      <c r="AB199">
        <v>2313000000</v>
      </c>
      <c r="AC199">
        <v>8247000000</v>
      </c>
      <c r="AD199">
        <v>1316000000</v>
      </c>
      <c r="AE199">
        <v>764000000</v>
      </c>
      <c r="AF199">
        <v>0</v>
      </c>
      <c r="AG199">
        <v>468000000</v>
      </c>
      <c r="AH199">
        <v>-362000000</v>
      </c>
      <c r="AI199">
        <v>286000000</v>
      </c>
      <c r="AJ199">
        <v>-21000000</v>
      </c>
      <c r="AK199">
        <v>4382000000</v>
      </c>
      <c r="AL199">
        <v>10443000000</v>
      </c>
      <c r="AM199">
        <v>5035000000</v>
      </c>
      <c r="AN199">
        <v>481000000</v>
      </c>
      <c r="AO199">
        <v>52698000000</v>
      </c>
      <c r="AP199">
        <v>18000000</v>
      </c>
      <c r="AQ199">
        <v>493000000</v>
      </c>
      <c r="AR199">
        <v>187000000</v>
      </c>
      <c r="AV199" s="10" t="s">
        <v>474</v>
      </c>
      <c r="AW199">
        <v>41802</v>
      </c>
    </row>
    <row r="200" spans="1:49" x14ac:dyDescent="0.2">
      <c r="A200">
        <v>17</v>
      </c>
      <c r="B200" t="s">
        <v>358</v>
      </c>
      <c r="C200" t="s">
        <v>359</v>
      </c>
      <c r="D200" s="8" t="s">
        <v>360</v>
      </c>
      <c r="E200" t="s">
        <v>55</v>
      </c>
      <c r="F200" t="s">
        <v>367</v>
      </c>
      <c r="G200" s="2" t="d">
        <v>2024-11-18</v>
      </c>
      <c r="H200" s="2" t="d">
        <v>2024-11-18</v>
      </c>
      <c r="I200" s="7">
        <v>2024</v>
      </c>
      <c r="J200" t="s">
        <v>63</v>
      </c>
      <c r="K200">
        <v>7</v>
      </c>
      <c r="L200" s="2" t="d">
        <v>2024-07-01</v>
      </c>
      <c r="M200" s="2" t="d">
        <v>2024-09-30</v>
      </c>
      <c r="N200" t="s">
        <v>467</v>
      </c>
      <c r="O200" t="s">
        <v>467</v>
      </c>
      <c r="P200" s="7">
        <v>2024</v>
      </c>
      <c r="Q200" t="s">
        <v>63</v>
      </c>
      <c r="R200" t="s">
        <v>59</v>
      </c>
      <c r="S200" t="s">
        <v>469</v>
      </c>
      <c r="T200" t="s">
        <v>61</v>
      </c>
      <c r="U200">
        <v>19937000000</v>
      </c>
      <c r="V200">
        <v>18572000000</v>
      </c>
      <c r="W200">
        <v>-47000000</v>
      </c>
      <c r="X200">
        <v>0</v>
      </c>
      <c r="Y200">
        <v>90000000</v>
      </c>
      <c r="Z200">
        <v>108000000</v>
      </c>
      <c r="AA200">
        <v>21984000000</v>
      </c>
      <c r="AB200">
        <v>2458000000</v>
      </c>
      <c r="AC200">
        <v>7578000000</v>
      </c>
      <c r="AD200">
        <v>7872000000</v>
      </c>
      <c r="AE200">
        <v>784000000</v>
      </c>
      <c r="AF200">
        <v>0</v>
      </c>
      <c r="AG200">
        <v>1300000000</v>
      </c>
      <c r="AH200">
        <v>-381000000</v>
      </c>
      <c r="AI200">
        <v>288000000</v>
      </c>
      <c r="AJ200">
        <v>0</v>
      </c>
      <c r="AK200">
        <v>3770000000</v>
      </c>
      <c r="AL200">
        <v>10746000000</v>
      </c>
      <c r="AM200">
        <v>4911000000</v>
      </c>
      <c r="AN200">
        <v>18000000</v>
      </c>
      <c r="AO200">
        <v>52199000000</v>
      </c>
      <c r="AP200">
        <v>-10000000</v>
      </c>
      <c r="AQ200">
        <v>483000000</v>
      </c>
      <c r="AR200">
        <v>174000000</v>
      </c>
      <c r="AV200" s="10" t="s">
        <v>474</v>
      </c>
      <c r="AW200">
        <v>41802</v>
      </c>
    </row>
    <row r="201" spans="1:49" x14ac:dyDescent="0.2">
      <c r="A201">
        <v>17</v>
      </c>
      <c r="B201" t="s">
        <v>358</v>
      </c>
      <c r="C201" t="s">
        <v>359</v>
      </c>
      <c r="D201" s="8" t="s">
        <v>360</v>
      </c>
      <c r="E201" t="s">
        <v>66</v>
      </c>
      <c r="F201" t="s">
        <v>368</v>
      </c>
      <c r="G201" s="2" t="d">
        <v>2025-02-20</v>
      </c>
      <c r="H201" s="2" t="d">
        <v>2025-02-20</v>
      </c>
      <c r="I201" s="7">
        <v>2024</v>
      </c>
      <c r="J201" t="s">
        <v>65</v>
      </c>
      <c r="K201">
        <v>8</v>
      </c>
      <c r="L201" s="2" t="d">
        <v>2024-10-01</v>
      </c>
      <c r="M201" s="2" t="d">
        <v>2024-12-31</v>
      </c>
      <c r="N201" t="s">
        <v>467</v>
      </c>
      <c r="O201" t="s">
        <v>467</v>
      </c>
      <c r="P201" s="7">
        <v>2024</v>
      </c>
      <c r="Q201" t="s">
        <v>65</v>
      </c>
      <c r="R201" t="s">
        <v>59</v>
      </c>
      <c r="S201" t="s">
        <v>469</v>
      </c>
      <c r="T201" t="s">
        <v>61</v>
      </c>
      <c r="U201">
        <v>21498000000</v>
      </c>
      <c r="V201">
        <v>20140000000</v>
      </c>
      <c r="W201">
        <v>402000000</v>
      </c>
      <c r="X201">
        <v>0</v>
      </c>
      <c r="Y201">
        <v>105000000</v>
      </c>
      <c r="Z201">
        <v>666000000</v>
      </c>
      <c r="AA201">
        <v>22178000000</v>
      </c>
      <c r="AB201">
        <v>2577000000</v>
      </c>
      <c r="AC201">
        <v>7580000000</v>
      </c>
      <c r="AD201">
        <v>1381000000</v>
      </c>
      <c r="AE201">
        <v>611000000</v>
      </c>
      <c r="AF201">
        <v>0</v>
      </c>
      <c r="AG201">
        <v>322000000</v>
      </c>
      <c r="AH201">
        <v>-492000000</v>
      </c>
      <c r="AI201">
        <v>287000000</v>
      </c>
      <c r="AJ201">
        <v>9000000</v>
      </c>
      <c r="AK201">
        <v>3708000000</v>
      </c>
      <c r="AL201">
        <v>11572000000</v>
      </c>
      <c r="AM201">
        <v>5535000000</v>
      </c>
      <c r="AN201">
        <v>561000000</v>
      </c>
      <c r="AO201">
        <v>53271000000</v>
      </c>
      <c r="AP201">
        <v>0</v>
      </c>
      <c r="AQ201">
        <v>493000000</v>
      </c>
      <c r="AR201">
        <v>179000000</v>
      </c>
      <c r="AV201" s="10" t="s">
        <v>474</v>
      </c>
      <c r="AW201">
        <v>44043</v>
      </c>
    </row>
    <row r="202" spans="1:49" x14ac:dyDescent="0.2">
      <c r="A202">
        <v>17</v>
      </c>
      <c r="B202" t="s">
        <v>358</v>
      </c>
      <c r="C202" t="s">
        <v>359</v>
      </c>
      <c r="D202" s="8" t="s">
        <v>360</v>
      </c>
      <c r="E202" t="s">
        <v>55</v>
      </c>
      <c r="F202" t="s">
        <v>369</v>
      </c>
      <c r="G202" s="2" t="d">
        <v>2025-05-06</v>
      </c>
      <c r="H202" s="2" t="d">
        <v>2025-05-06</v>
      </c>
      <c r="I202" s="7">
        <v>2025</v>
      </c>
      <c r="J202" t="s">
        <v>57</v>
      </c>
      <c r="K202">
        <v>9</v>
      </c>
      <c r="L202" s="2" t="d">
        <v>2025-01-01</v>
      </c>
      <c r="M202" s="2" t="d">
        <v>2025-03-31</v>
      </c>
      <c r="N202" t="s">
        <v>468</v>
      </c>
      <c r="O202" t="s">
        <v>468</v>
      </c>
      <c r="P202" s="7">
        <v>2025</v>
      </c>
      <c r="Q202" t="s">
        <v>57</v>
      </c>
      <c r="R202" t="s">
        <v>59</v>
      </c>
      <c r="S202" t="s">
        <v>469</v>
      </c>
      <c r="T202" t="s">
        <v>61</v>
      </c>
      <c r="U202">
        <v>20175000000</v>
      </c>
      <c r="V202">
        <v>18995000000</v>
      </c>
      <c r="W202">
        <v>210000000</v>
      </c>
      <c r="X202">
        <v>0</v>
      </c>
      <c r="Y202">
        <v>61000000</v>
      </c>
      <c r="Z202">
        <v>353000000</v>
      </c>
      <c r="AA202">
        <v>22127000000</v>
      </c>
      <c r="AB202">
        <v>3469000000</v>
      </c>
      <c r="AC202">
        <v>7596000000</v>
      </c>
      <c r="AD202">
        <v>1358000000</v>
      </c>
      <c r="AE202">
        <v>864000000</v>
      </c>
      <c r="AF202">
        <v>33000000</v>
      </c>
      <c r="AG202">
        <v>-342000000</v>
      </c>
      <c r="AH202">
        <v>-291000000</v>
      </c>
      <c r="AI202">
        <v>287000000</v>
      </c>
      <c r="AJ202">
        <v>-90000000</v>
      </c>
      <c r="AK202">
        <v>4419000000</v>
      </c>
      <c r="AL202">
        <v>11550000000</v>
      </c>
      <c r="AM202">
        <v>5151000000</v>
      </c>
      <c r="AN202">
        <v>292000000</v>
      </c>
      <c r="AO202">
        <v>53402000000</v>
      </c>
      <c r="AP202">
        <v>50000000</v>
      </c>
      <c r="AQ202">
        <v>483000000</v>
      </c>
      <c r="AR202">
        <v>158000000</v>
      </c>
      <c r="AV202" s="10" t="s">
        <v>474</v>
      </c>
      <c r="AW202">
        <v>44043</v>
      </c>
    </row>
    <row r="203" spans="1:49" x14ac:dyDescent="0.2">
      <c r="A203">
        <v>17</v>
      </c>
      <c r="B203" t="s">
        <v>358</v>
      </c>
      <c r="C203" t="s">
        <v>359</v>
      </c>
      <c r="D203" s="8" t="s">
        <v>360</v>
      </c>
      <c r="E203" t="s">
        <v>55</v>
      </c>
      <c r="F203" t="s">
        <v>370</v>
      </c>
      <c r="G203" s="2" t="d">
        <v>2025-08-05</v>
      </c>
      <c r="H203" s="2" t="d">
        <v>2025-08-05</v>
      </c>
      <c r="I203" s="7">
        <v>2025</v>
      </c>
      <c r="J203" t="s">
        <v>58</v>
      </c>
      <c r="K203">
        <v>10</v>
      </c>
      <c r="L203" s="2" t="d">
        <v>2025-04-01</v>
      </c>
      <c r="M203" s="2" t="d">
        <v>2025-06-30</v>
      </c>
      <c r="N203" t="s">
        <v>467</v>
      </c>
      <c r="O203" t="s">
        <v>467</v>
      </c>
      <c r="P203" s="7">
        <v>2025</v>
      </c>
      <c r="Q203" t="s">
        <v>58</v>
      </c>
      <c r="R203" t="s">
        <v>59</v>
      </c>
      <c r="S203" t="s">
        <v>469</v>
      </c>
      <c r="T203" t="s">
        <v>61</v>
      </c>
      <c r="U203">
        <v>21166000000</v>
      </c>
      <c r="V203">
        <v>19796000000</v>
      </c>
      <c r="W203">
        <v>322000000</v>
      </c>
      <c r="X203">
        <v>0</v>
      </c>
      <c r="Y203">
        <v>62000000</v>
      </c>
      <c r="Z203">
        <v>279000000</v>
      </c>
      <c r="AA203">
        <v>22438000000</v>
      </c>
      <c r="AB203">
        <v>1622000000</v>
      </c>
      <c r="AC203">
        <v>7606000000</v>
      </c>
      <c r="AD203">
        <v>1389000000</v>
      </c>
      <c r="AE203">
        <v>1057000000</v>
      </c>
      <c r="AF203">
        <v>9000000</v>
      </c>
      <c r="AG203">
        <v>4298000000</v>
      </c>
      <c r="AH203">
        <v>-305000000</v>
      </c>
      <c r="AI203">
        <v>291000000</v>
      </c>
      <c r="AJ203">
        <v>-5000000</v>
      </c>
      <c r="AK203">
        <v>3668000000</v>
      </c>
      <c r="AL203">
        <v>9723000000</v>
      </c>
      <c r="AM203">
        <v>4475000000</v>
      </c>
      <c r="AN203">
        <v>217000000</v>
      </c>
      <c r="AO203">
        <v>51996000000</v>
      </c>
      <c r="AP203">
        <v>22000000</v>
      </c>
      <c r="AQ203">
        <v>484000000</v>
      </c>
      <c r="AR203">
        <v>159000000</v>
      </c>
      <c r="AV203" s="10" t="s">
        <v>474</v>
      </c>
      <c r="AW203">
        <v>44043</v>
      </c>
    </row>
    <row r="204" spans="1:49" x14ac:dyDescent="0.2">
      <c r="A204">
        <v>17</v>
      </c>
      <c r="B204" t="s">
        <v>358</v>
      </c>
      <c r="C204" t="s">
        <v>359</v>
      </c>
      <c r="D204" s="8" t="s">
        <v>360</v>
      </c>
      <c r="E204" t="s">
        <v>55</v>
      </c>
      <c r="F204" t="s">
        <v>371</v>
      </c>
      <c r="G204" s="2" t="d">
        <v>2025-11-04</v>
      </c>
      <c r="H204" s="2" t="d">
        <v>2025-11-04</v>
      </c>
      <c r="I204" s="7">
        <v>2025</v>
      </c>
      <c r="J204" t="s">
        <v>63</v>
      </c>
      <c r="K204">
        <v>11</v>
      </c>
      <c r="L204" s="2" t="d">
        <v>2025-07-01</v>
      </c>
      <c r="M204" s="2" t="d">
        <v>2025-09-30</v>
      </c>
      <c r="N204" t="s">
        <v>467</v>
      </c>
      <c r="O204" t="s">
        <v>467</v>
      </c>
      <c r="P204" s="7">
        <v>2025</v>
      </c>
      <c r="Q204" t="s">
        <v>63</v>
      </c>
      <c r="R204" t="s">
        <v>59</v>
      </c>
      <c r="S204" t="s">
        <v>469</v>
      </c>
      <c r="T204" t="s">
        <v>61</v>
      </c>
      <c r="U204">
        <v>20372000000</v>
      </c>
      <c r="V204">
        <v>19102000000</v>
      </c>
      <c r="W204">
        <v>151000000</v>
      </c>
      <c r="X204">
        <v>0</v>
      </c>
      <c r="Y204">
        <v>37000000</v>
      </c>
      <c r="Z204">
        <v>147000000</v>
      </c>
      <c r="AA204">
        <v>22502000000</v>
      </c>
      <c r="AB204">
        <v>1247000000</v>
      </c>
      <c r="AC204">
        <v>6609000000</v>
      </c>
      <c r="AD204">
        <v>1351000000</v>
      </c>
      <c r="AE204">
        <v>1235000000</v>
      </c>
      <c r="AF204">
        <v>0</v>
      </c>
      <c r="AG204">
        <v>1809000000</v>
      </c>
      <c r="AH204">
        <v>-296000000</v>
      </c>
      <c r="AI204">
        <v>296000000</v>
      </c>
      <c r="AJ204">
        <v>-13000000</v>
      </c>
      <c r="AK204">
        <v>3634000000</v>
      </c>
      <c r="AL204">
        <v>8700000000</v>
      </c>
      <c r="AM204">
        <v>4988000000</v>
      </c>
      <c r="AN204">
        <v>110000000</v>
      </c>
      <c r="AO204">
        <v>51918000000</v>
      </c>
      <c r="AP204">
        <v>21000000</v>
      </c>
      <c r="AQ204">
        <v>484000000</v>
      </c>
      <c r="AR204">
        <v>153000000</v>
      </c>
      <c r="AV204" s="10" t="s">
        <v>474</v>
      </c>
      <c r="AW204">
        <v>44043</v>
      </c>
    </row>
    <row r="205" spans="1:49" x14ac:dyDescent="0.2">
      <c r="A205">
        <v>17</v>
      </c>
      <c r="B205" t="s">
        <v>358</v>
      </c>
      <c r="C205" t="s">
        <v>359</v>
      </c>
      <c r="D205" s="8" t="s">
        <v>360</v>
      </c>
      <c r="E205" t="s">
        <v>66</v>
      </c>
      <c r="F205" t="s">
        <v>372</v>
      </c>
      <c r="G205" s="2" t="d">
        <v>2026-02-17</v>
      </c>
      <c r="H205" s="2" t="d">
        <v>2026-02-17</v>
      </c>
      <c r="I205" s="7">
        <v>2025</v>
      </c>
      <c r="J205" t="s">
        <v>65</v>
      </c>
      <c r="K205">
        <v>12</v>
      </c>
      <c r="L205" s="2" t="d">
        <v>2025-10-01</v>
      </c>
      <c r="M205" s="2" t="d">
        <v>2025-12-31</v>
      </c>
      <c r="N205" t="s">
        <v>467</v>
      </c>
      <c r="O205" t="s">
        <v>467</v>
      </c>
      <c r="P205" s="7">
        <v>2025</v>
      </c>
      <c r="Q205" t="s">
        <v>65</v>
      </c>
      <c r="R205" t="s">
        <v>59</v>
      </c>
      <c r="S205" t="s">
        <v>469</v>
      </c>
      <c r="T205" t="s">
        <v>61</v>
      </c>
      <c r="U205">
        <v>18556000000</v>
      </c>
      <c r="V205">
        <v>17343000000</v>
      </c>
      <c r="W205">
        <v>268000000</v>
      </c>
      <c r="X205">
        <v>0</v>
      </c>
      <c r="Y205">
        <v>22000000</v>
      </c>
      <c r="Z205">
        <v>476000000</v>
      </c>
      <c r="AA205">
        <v>22740000000</v>
      </c>
      <c r="AB205">
        <v>1804000000</v>
      </c>
      <c r="AC205">
        <v>6606000000</v>
      </c>
      <c r="AD205">
        <v>1348000000</v>
      </c>
      <c r="AE205">
        <v>1015000000</v>
      </c>
      <c r="AF205">
        <v>32000000</v>
      </c>
      <c r="AG205">
        <v>-523000000</v>
      </c>
      <c r="AH205">
        <v>-356000000</v>
      </c>
      <c r="AI205">
        <v>307000000</v>
      </c>
      <c r="AJ205">
        <v>0</v>
      </c>
      <c r="AK205">
        <v>3021000000</v>
      </c>
      <c r="AL205">
        <v>10369000000</v>
      </c>
      <c r="AM205">
        <v>5195000000</v>
      </c>
      <c r="AN205">
        <v>454000000</v>
      </c>
      <c r="AO205">
        <v>52389000000</v>
      </c>
      <c r="AP205">
        <v>-10000000</v>
      </c>
      <c r="AQ205">
        <v>484000000</v>
      </c>
      <c r="AR205">
        <v>142000000</v>
      </c>
      <c r="AV205" s="10" t="s">
        <v>474</v>
      </c>
      <c r="AW205">
        <v>41496</v>
      </c>
    </row>
    <row r="206" spans="1:49" x14ac:dyDescent="0.2">
      <c r="A206">
        <v>18</v>
      </c>
      <c r="B206" t="s">
        <v>386</v>
      </c>
      <c r="C206" t="s">
        <v>385</v>
      </c>
      <c r="D206" s="8" t="s">
        <v>387</v>
      </c>
      <c r="E206" t="s">
        <v>55</v>
      </c>
      <c r="F206" t="s">
        <v>388</v>
      </c>
      <c r="G206" s="2" t="d">
        <v>2023-04-26</v>
      </c>
      <c r="H206" s="2" t="d">
        <v>2023-04-26</v>
      </c>
      <c r="I206">
        <v>2023</v>
      </c>
      <c r="J206" t="s">
        <v>57</v>
      </c>
      <c r="K206">
        <v>1</v>
      </c>
      <c r="L206" s="2" t="d">
        <v>2023-01-01</v>
      </c>
      <c r="M206" s="2" t="d">
        <v>2023-03-31</v>
      </c>
      <c r="N206" t="s">
        <v>468</v>
      </c>
      <c r="O206" t="s">
        <v>468</v>
      </c>
      <c r="P206">
        <v>2023</v>
      </c>
      <c r="Q206" t="s">
        <v>57</v>
      </c>
      <c r="R206" t="s">
        <v>59</v>
      </c>
      <c r="S206" t="s">
        <v>396</v>
      </c>
      <c r="T206" t="s">
        <v>61</v>
      </c>
      <c r="U206">
        <v>69787000000</v>
      </c>
      <c r="V206">
        <v>30612000000</v>
      </c>
      <c r="W206">
        <v>17415000000</v>
      </c>
      <c r="X206">
        <v>11468000000</v>
      </c>
      <c r="Y206">
        <v>3154000000</v>
      </c>
      <c r="Z206">
        <v>18205000000</v>
      </c>
      <c r="AA206" s="12">
        <v>260894000000</v>
      </c>
      <c r="AB206">
        <v>0</v>
      </c>
      <c r="AC206">
        <v>13697000000</v>
      </c>
      <c r="AD206">
        <v>12799000000</v>
      </c>
      <c r="AE206">
        <v>25924000000</v>
      </c>
      <c r="AF206">
        <v>89178000000</v>
      </c>
      <c r="AG206">
        <v>23509000000</v>
      </c>
      <c r="AH206">
        <v>-6289000000</v>
      </c>
      <c r="AI206">
        <v>3100000000</v>
      </c>
      <c r="AJ206">
        <v>-42000000</v>
      </c>
      <c r="AK206">
        <v>36036000000</v>
      </c>
      <c r="AL206">
        <v>8532000000</v>
      </c>
      <c r="AM206">
        <v>4184000000</v>
      </c>
      <c r="AN206">
        <v>15051000000</v>
      </c>
      <c r="AO206" s="12">
        <v>369491000000</v>
      </c>
      <c r="AP206">
        <v>5284000000</v>
      </c>
      <c r="AQ206">
        <v>13706000000</v>
      </c>
      <c r="AR206">
        <v>-80000000</v>
      </c>
      <c r="AS206">
        <v>5505150000</v>
      </c>
      <c r="AT206" s="12">
        <v>80432025000</v>
      </c>
      <c r="AU206" s="12">
        <v>5962850000</v>
      </c>
      <c r="AV206" s="3" t="s">
        <v>473</v>
      </c>
      <c r="AW206">
        <v>190234</v>
      </c>
    </row>
    <row r="207" spans="1:49" x14ac:dyDescent="0.2">
      <c r="A207">
        <v>18</v>
      </c>
      <c r="B207" t="s">
        <v>386</v>
      </c>
      <c r="C207" t="s">
        <v>385</v>
      </c>
      <c r="D207" s="8" t="s">
        <v>387</v>
      </c>
      <c r="E207" t="s">
        <v>55</v>
      </c>
      <c r="F207" t="s">
        <v>389</v>
      </c>
      <c r="G207" s="2" t="d">
        <v>2023-07-26</v>
      </c>
      <c r="H207" s="2" t="d">
        <v>2023-07-26</v>
      </c>
      <c r="I207">
        <v>2023</v>
      </c>
      <c r="J207" t="s">
        <v>58</v>
      </c>
      <c r="K207">
        <v>2</v>
      </c>
      <c r="L207" s="2" t="d">
        <v>2023-04-01</v>
      </c>
      <c r="M207" s="2" t="d">
        <v>2023-06-30</v>
      </c>
      <c r="N207" t="s">
        <v>467</v>
      </c>
      <c r="O207" t="s">
        <v>467</v>
      </c>
      <c r="P207">
        <v>2023</v>
      </c>
      <c r="Q207" t="s">
        <v>58</v>
      </c>
      <c r="R207" t="s">
        <v>59</v>
      </c>
      <c r="S207" t="s">
        <v>397</v>
      </c>
      <c r="T207" t="s">
        <v>61</v>
      </c>
      <c r="U207" s="12">
        <v>74604000000</v>
      </c>
      <c r="V207">
        <v>31916000000</v>
      </c>
      <c r="W207">
        <v>21838000000</v>
      </c>
      <c r="X207">
        <v>10588000000</v>
      </c>
      <c r="Y207">
        <v>3535000000</v>
      </c>
      <c r="Z207">
        <v>21903000000</v>
      </c>
      <c r="AA207" s="12">
        <v>267141000000</v>
      </c>
      <c r="AB207">
        <v>0</v>
      </c>
      <c r="AC207">
        <v>13705000000</v>
      </c>
      <c r="AD207">
        <v>12746000000</v>
      </c>
      <c r="AE207">
        <v>25929000000</v>
      </c>
      <c r="AF207">
        <v>92403000000</v>
      </c>
      <c r="AG207">
        <v>28666000000</v>
      </c>
      <c r="AH207">
        <v>-6888000000</v>
      </c>
      <c r="AI207">
        <v>3200000000</v>
      </c>
      <c r="AJ207">
        <v>-298000000</v>
      </c>
      <c r="AK207">
        <v>38804000000</v>
      </c>
      <c r="AL207">
        <v>2231000000</v>
      </c>
      <c r="AM207">
        <v>5313000000</v>
      </c>
      <c r="AN207">
        <v>18368000000</v>
      </c>
      <c r="AO207" s="12">
        <v>383044000000</v>
      </c>
      <c r="AP207">
        <v>5774000000</v>
      </c>
      <c r="AQ207">
        <v>13643000000</v>
      </c>
      <c r="AR207">
        <v>-43000000</v>
      </c>
      <c r="AS207">
        <v>6034550000</v>
      </c>
      <c r="AT207" s="12">
        <v>85514875000</v>
      </c>
      <c r="AU207" s="12">
        <v>4553450000</v>
      </c>
      <c r="AV207" s="3" t="s">
        <v>473</v>
      </c>
      <c r="AW207">
        <v>190234</v>
      </c>
    </row>
    <row r="208" spans="1:49" x14ac:dyDescent="0.2">
      <c r="A208">
        <v>18</v>
      </c>
      <c r="B208" t="s">
        <v>386</v>
      </c>
      <c r="C208" t="s">
        <v>385</v>
      </c>
      <c r="D208" s="8" t="s">
        <v>387</v>
      </c>
      <c r="E208" t="s">
        <v>55</v>
      </c>
      <c r="F208" t="s">
        <v>390</v>
      </c>
      <c r="G208" s="2" t="d">
        <v>2023-10-25</v>
      </c>
      <c r="H208" s="2" t="d">
        <v>2023-10-25</v>
      </c>
      <c r="I208">
        <v>2023</v>
      </c>
      <c r="J208" t="s">
        <v>63</v>
      </c>
      <c r="K208">
        <v>3</v>
      </c>
      <c r="L208" s="2" t="d">
        <v>2023-07-01</v>
      </c>
      <c r="M208" s="2" t="d">
        <v>2023-09-30</v>
      </c>
      <c r="N208" t="s">
        <v>467</v>
      </c>
      <c r="O208" t="s">
        <v>467</v>
      </c>
      <c r="P208">
        <v>2023</v>
      </c>
      <c r="Q208" t="s">
        <v>63</v>
      </c>
      <c r="R208" t="s">
        <v>59</v>
      </c>
      <c r="S208" t="s">
        <v>397</v>
      </c>
      <c r="T208" t="s">
        <v>61</v>
      </c>
      <c r="U208" s="12">
        <v>76693000000</v>
      </c>
      <c r="V208">
        <v>33229000000</v>
      </c>
      <c r="W208">
        <v>21343000000</v>
      </c>
      <c r="X208">
        <v>11258000000</v>
      </c>
      <c r="Y208">
        <v>1508000000</v>
      </c>
      <c r="Z208">
        <v>21197000000</v>
      </c>
      <c r="AA208" s="12">
        <v>273202000000</v>
      </c>
      <c r="AB208">
        <v>0</v>
      </c>
      <c r="AC208">
        <v>13781000000</v>
      </c>
      <c r="AD208">
        <v>12550000000</v>
      </c>
      <c r="AE208">
        <v>30702000000</v>
      </c>
      <c r="AF208">
        <v>89233000000</v>
      </c>
      <c r="AG208">
        <v>30656000000</v>
      </c>
      <c r="AH208">
        <v>-8055000000</v>
      </c>
      <c r="AI208">
        <v>3700000000</v>
      </c>
      <c r="AJ208">
        <v>-126000000</v>
      </c>
      <c r="AK208">
        <v>41020000000</v>
      </c>
      <c r="AL208">
        <v>2957000000</v>
      </c>
      <c r="AM208">
        <v>5803000000</v>
      </c>
      <c r="AN208">
        <v>19689000000</v>
      </c>
      <c r="AO208" s="12">
        <v>396711000000</v>
      </c>
      <c r="AP208">
        <v>5743000000</v>
      </c>
      <c r="AQ208">
        <v>13571000000</v>
      </c>
      <c r="AR208">
        <v>-116000000</v>
      </c>
      <c r="AS208">
        <v>6597450000</v>
      </c>
      <c r="AT208" s="12">
        <v>90738325000</v>
      </c>
      <c r="AU208" s="12">
        <v>4660550000</v>
      </c>
      <c r="AV208" s="3" t="s">
        <v>473</v>
      </c>
      <c r="AW208">
        <v>190234</v>
      </c>
    </row>
    <row r="209" spans="1:49" x14ac:dyDescent="0.2">
      <c r="A209">
        <v>18</v>
      </c>
      <c r="B209" t="s">
        <v>386</v>
      </c>
      <c r="C209" t="s">
        <v>385</v>
      </c>
      <c r="D209" s="8" t="s">
        <v>387</v>
      </c>
      <c r="E209" t="s">
        <v>66</v>
      </c>
      <c r="F209" t="s">
        <v>391</v>
      </c>
      <c r="G209" s="2" t="d">
        <v>2024-01-31</v>
      </c>
      <c r="H209" s="2" t="d">
        <v>2024-01-31</v>
      </c>
      <c r="I209">
        <v>2023</v>
      </c>
      <c r="J209" t="s">
        <v>65</v>
      </c>
      <c r="K209">
        <v>4</v>
      </c>
      <c r="L209" s="2" t="d">
        <v>2023-10-01</v>
      </c>
      <c r="M209" s="2" t="d">
        <v>2023-12-31</v>
      </c>
      <c r="N209" t="s">
        <v>467</v>
      </c>
      <c r="O209" t="s">
        <v>467</v>
      </c>
      <c r="P209">
        <v>2023</v>
      </c>
      <c r="Q209" t="s">
        <v>65</v>
      </c>
      <c r="R209" t="s">
        <v>59</v>
      </c>
      <c r="S209" t="s">
        <v>398</v>
      </c>
      <c r="T209" t="s">
        <v>61</v>
      </c>
      <c r="U209" s="12">
        <v>86310000000</v>
      </c>
      <c r="V209">
        <v>37575000000</v>
      </c>
      <c r="W209">
        <v>23697000000</v>
      </c>
      <c r="X209">
        <v>12113000000</v>
      </c>
      <c r="Y209">
        <v>3725000000</v>
      </c>
      <c r="Z209">
        <v>24412000000</v>
      </c>
      <c r="AA209" s="12">
        <v>283379000000</v>
      </c>
      <c r="AB209">
        <v>0</v>
      </c>
      <c r="AC209">
        <v>13253000000</v>
      </c>
      <c r="AD209">
        <v>12460000000</v>
      </c>
      <c r="AE209">
        <v>24048000000</v>
      </c>
      <c r="AF209">
        <v>86868000000</v>
      </c>
      <c r="AG209">
        <v>18915000000</v>
      </c>
      <c r="AH209">
        <v>-11019000000</v>
      </c>
      <c r="AI209">
        <v>1900000000</v>
      </c>
      <c r="AJ209">
        <v>-29000000</v>
      </c>
      <c r="AK209">
        <v>47964000000</v>
      </c>
      <c r="AL209">
        <v>0</v>
      </c>
      <c r="AM209">
        <v>7493000000</v>
      </c>
      <c r="AN209">
        <v>20687000000</v>
      </c>
      <c r="AO209" s="12">
        <v>402392000000</v>
      </c>
      <c r="AP209">
        <v>5659000000</v>
      </c>
      <c r="AQ209">
        <v>14462000000</v>
      </c>
      <c r="AR209">
        <v>-118000000</v>
      </c>
      <c r="AS209">
        <v>7203100000</v>
      </c>
      <c r="AT209" s="12">
        <v>96253875000</v>
      </c>
      <c r="AU209" s="12">
        <v>4909900000</v>
      </c>
      <c r="AV209" s="3" t="s">
        <v>473</v>
      </c>
      <c r="AW209">
        <v>182502</v>
      </c>
    </row>
    <row r="210" spans="1:49" x14ac:dyDescent="0.2">
      <c r="A210">
        <v>18</v>
      </c>
      <c r="B210" t="s">
        <v>386</v>
      </c>
      <c r="C210" t="s">
        <v>385</v>
      </c>
      <c r="D210" s="8" t="s">
        <v>387</v>
      </c>
      <c r="E210" t="s">
        <v>55</v>
      </c>
      <c r="F210" t="s">
        <v>392</v>
      </c>
      <c r="G210" s="2" t="d">
        <v>2024-04-26</v>
      </c>
      <c r="H210" s="2" t="d">
        <v>2024-04-26</v>
      </c>
      <c r="I210">
        <v>2024</v>
      </c>
      <c r="J210" t="s">
        <v>57</v>
      </c>
      <c r="K210">
        <v>5</v>
      </c>
      <c r="L210" s="2" t="d">
        <v>2024-01-01</v>
      </c>
      <c r="M210" s="2" t="d">
        <v>2024-03-31</v>
      </c>
      <c r="N210" t="s">
        <v>468</v>
      </c>
      <c r="O210" t="s">
        <v>468</v>
      </c>
      <c r="P210">
        <v>2024</v>
      </c>
      <c r="Q210" t="s">
        <v>57</v>
      </c>
      <c r="R210" t="s">
        <v>59</v>
      </c>
      <c r="S210" t="s">
        <v>395</v>
      </c>
      <c r="T210" t="s">
        <v>61</v>
      </c>
      <c r="U210" s="12">
        <v>80539000000</v>
      </c>
      <c r="V210">
        <v>33712000000</v>
      </c>
      <c r="W210">
        <v>25472000000</v>
      </c>
      <c r="X210">
        <v>11903000000</v>
      </c>
      <c r="Y210">
        <v>4653000000</v>
      </c>
      <c r="Z210">
        <v>28315000000</v>
      </c>
      <c r="AA210" s="12">
        <v>292844000000</v>
      </c>
      <c r="AB210">
        <v>0</v>
      </c>
      <c r="AC210">
        <v>13228000000</v>
      </c>
      <c r="AD210">
        <v>11957000000</v>
      </c>
      <c r="AE210">
        <v>24493000000</v>
      </c>
      <c r="AF210">
        <v>83597000000</v>
      </c>
      <c r="AG210">
        <v>28848000000</v>
      </c>
      <c r="AH210">
        <v>-12012000000</v>
      </c>
      <c r="AI210">
        <v>3413000000</v>
      </c>
      <c r="AJ210">
        <v>-61000000</v>
      </c>
      <c r="AK210">
        <v>44552000000</v>
      </c>
      <c r="AL210">
        <v>0</v>
      </c>
      <c r="AM210">
        <v>6198000000</v>
      </c>
      <c r="AN210">
        <v>23662000000</v>
      </c>
      <c r="AO210" s="12">
        <v>407350000000</v>
      </c>
      <c r="AP210">
        <v>5264000000</v>
      </c>
      <c r="AQ210">
        <v>13396000000</v>
      </c>
      <c r="AR210">
        <v>-94000000</v>
      </c>
      <c r="AS210">
        <v>7798250000</v>
      </c>
      <c r="AT210" s="12">
        <v>100953775000</v>
      </c>
      <c r="AU210" s="12">
        <v>4104750000</v>
      </c>
      <c r="AV210" s="3" t="s">
        <v>473</v>
      </c>
      <c r="AW210">
        <v>182502</v>
      </c>
    </row>
    <row r="211" spans="1:49" x14ac:dyDescent="0.2">
      <c r="A211">
        <v>18</v>
      </c>
      <c r="B211" t="s">
        <v>386</v>
      </c>
      <c r="C211" t="s">
        <v>385</v>
      </c>
      <c r="D211" s="8" t="s">
        <v>387</v>
      </c>
      <c r="E211" t="s">
        <v>55</v>
      </c>
      <c r="F211" t="s">
        <v>393</v>
      </c>
      <c r="G211" s="2" t="d">
        <v>2024-07-24</v>
      </c>
      <c r="H211" s="2" t="d">
        <v>2024-07-24</v>
      </c>
      <c r="I211">
        <v>2024</v>
      </c>
      <c r="J211" t="s">
        <v>58</v>
      </c>
      <c r="K211">
        <v>6</v>
      </c>
      <c r="L211" s="2" t="d">
        <v>2024-04-01</v>
      </c>
      <c r="M211" s="2" t="d">
        <v>2024-06-30</v>
      </c>
      <c r="N211" t="s">
        <v>467</v>
      </c>
      <c r="O211" t="s">
        <v>467</v>
      </c>
      <c r="P211">
        <v>2024</v>
      </c>
      <c r="Q211" t="s">
        <v>58</v>
      </c>
      <c r="R211" t="s">
        <v>59</v>
      </c>
      <c r="S211" t="s">
        <v>395</v>
      </c>
      <c r="T211" t="s">
        <v>61</v>
      </c>
      <c r="U211" s="12">
        <v>84742000000</v>
      </c>
      <c r="V211">
        <v>35507000000</v>
      </c>
      <c r="W211">
        <v>27425000000</v>
      </c>
      <c r="X211">
        <v>11860000000</v>
      </c>
      <c r="Y211">
        <v>3932000000</v>
      </c>
      <c r="Z211">
        <v>27551000000</v>
      </c>
      <c r="AA211" s="12">
        <v>300753000000</v>
      </c>
      <c r="AB211">
        <v>0</v>
      </c>
      <c r="AC211">
        <v>13238000000</v>
      </c>
      <c r="AD211">
        <v>11708000000</v>
      </c>
      <c r="AE211">
        <v>27225000000</v>
      </c>
      <c r="AF211">
        <v>73500000000</v>
      </c>
      <c r="AG211">
        <v>26640000000</v>
      </c>
      <c r="AH211">
        <v>-13186000000</v>
      </c>
      <c r="AI211">
        <v>3708000000</v>
      </c>
      <c r="AJ211">
        <v>-26000000</v>
      </c>
      <c r="AK211">
        <v>47087000000</v>
      </c>
      <c r="AL211">
        <v>0</v>
      </c>
      <c r="AM211">
        <v>6092000000</v>
      </c>
      <c r="AN211">
        <v>23619000000</v>
      </c>
      <c r="AO211" s="12">
        <v>414770000000</v>
      </c>
      <c r="AP211">
        <v>5865000000</v>
      </c>
      <c r="AQ211">
        <v>12495000000</v>
      </c>
      <c r="AR211">
        <v>-67000000</v>
      </c>
      <c r="AS211">
        <v>8391250000</v>
      </c>
      <c r="AT211" s="12">
        <v>105015525000</v>
      </c>
      <c r="AU211" s="12">
        <v>3468750000</v>
      </c>
      <c r="AV211" s="3" t="s">
        <v>473</v>
      </c>
      <c r="AW211">
        <v>182502</v>
      </c>
    </row>
    <row r="212" spans="1:49" x14ac:dyDescent="0.2">
      <c r="A212">
        <v>18</v>
      </c>
      <c r="B212" t="s">
        <v>386</v>
      </c>
      <c r="C212" t="s">
        <v>385</v>
      </c>
      <c r="D212" s="8" t="s">
        <v>387</v>
      </c>
      <c r="E212" t="s">
        <v>55</v>
      </c>
      <c r="F212" t="s">
        <v>394</v>
      </c>
      <c r="G212" s="2" t="d">
        <v>2024-10-30</v>
      </c>
      <c r="H212" s="2" t="d">
        <v>2024-10-30</v>
      </c>
      <c r="I212" s="7">
        <v>2024</v>
      </c>
      <c r="J212" t="s">
        <v>63</v>
      </c>
      <c r="K212">
        <v>7</v>
      </c>
      <c r="L212" s="2" t="d">
        <v>2024-07-01</v>
      </c>
      <c r="M212" s="2" t="d">
        <v>2024-09-30</v>
      </c>
      <c r="N212" t="s">
        <v>467</v>
      </c>
      <c r="O212" t="s">
        <v>467</v>
      </c>
      <c r="P212" s="7">
        <v>2024</v>
      </c>
      <c r="Q212" t="s">
        <v>63</v>
      </c>
      <c r="R212" t="s">
        <v>59</v>
      </c>
      <c r="S212" t="s">
        <v>395</v>
      </c>
      <c r="T212" t="s">
        <v>61</v>
      </c>
      <c r="U212" s="12">
        <v>88268000000</v>
      </c>
      <c r="V212">
        <v>36474000000</v>
      </c>
      <c r="W212">
        <v>28521000000</v>
      </c>
      <c r="X212">
        <v>12447000000</v>
      </c>
      <c r="Y212">
        <v>5405000000</v>
      </c>
      <c r="Z212">
        <v>31706000000</v>
      </c>
      <c r="AA212" s="12">
        <v>314119000000</v>
      </c>
      <c r="AB212">
        <v>0</v>
      </c>
      <c r="AC212">
        <v>12297000000</v>
      </c>
      <c r="AD212">
        <v>11654000000</v>
      </c>
      <c r="AE212">
        <v>19959000000</v>
      </c>
      <c r="AF212">
        <v>73271000000</v>
      </c>
      <c r="AG212">
        <v>30698000000</v>
      </c>
      <c r="AH212">
        <v>-13061000000</v>
      </c>
      <c r="AI212">
        <v>3985000000</v>
      </c>
      <c r="AJ212">
        <v>-2753000000</v>
      </c>
      <c r="AK212">
        <v>49104000000</v>
      </c>
      <c r="AL212">
        <v>0</v>
      </c>
      <c r="AM212">
        <v>7049000000</v>
      </c>
      <c r="AN212">
        <v>26301000000</v>
      </c>
      <c r="AO212" s="12">
        <v>430266000000</v>
      </c>
      <c r="AP212">
        <v>5846000000</v>
      </c>
      <c r="AQ212">
        <v>12419000000</v>
      </c>
      <c r="AR212">
        <v>-54000000</v>
      </c>
      <c r="AS212">
        <v>9013600000</v>
      </c>
      <c r="AT212" s="12">
        <v>109071275000</v>
      </c>
      <c r="AU212" s="12">
        <v>3433400000</v>
      </c>
      <c r="AV212" s="3" t="s">
        <v>473</v>
      </c>
      <c r="AW212">
        <v>182502</v>
      </c>
    </row>
    <row r="213" spans="1:49" x14ac:dyDescent="0.2">
      <c r="A213">
        <v>18</v>
      </c>
      <c r="B213" t="s">
        <v>386</v>
      </c>
      <c r="C213" t="s">
        <v>385</v>
      </c>
      <c r="D213" s="8" t="s">
        <v>387</v>
      </c>
      <c r="E213" t="s">
        <v>66</v>
      </c>
      <c r="F213" t="s">
        <v>399</v>
      </c>
      <c r="G213" s="2" t="d">
        <v>2025-02-05</v>
      </c>
      <c r="H213" s="2" t="d">
        <v>2025-02-05</v>
      </c>
      <c r="I213" s="7">
        <v>2024</v>
      </c>
      <c r="J213" t="s">
        <v>65</v>
      </c>
      <c r="K213">
        <v>8</v>
      </c>
      <c r="L213" s="2" t="d">
        <v>2024-10-01</v>
      </c>
      <c r="M213" s="2" t="d">
        <v>2024-12-31</v>
      </c>
      <c r="N213" t="s">
        <v>467</v>
      </c>
      <c r="O213" t="s">
        <v>467</v>
      </c>
      <c r="P213" s="7">
        <v>2024</v>
      </c>
      <c r="Q213" t="s">
        <v>65</v>
      </c>
      <c r="R213" t="s">
        <v>59</v>
      </c>
      <c r="S213" t="s">
        <v>395</v>
      </c>
      <c r="T213" t="s">
        <v>61</v>
      </c>
      <c r="U213" s="12">
        <v>96469000000</v>
      </c>
      <c r="V213">
        <v>40613000000</v>
      </c>
      <c r="W213">
        <v>30972000000</v>
      </c>
      <c r="X213">
        <v>13116000000</v>
      </c>
      <c r="Y213">
        <v>5707000000</v>
      </c>
      <c r="Z213">
        <v>32243000000</v>
      </c>
      <c r="AA213" s="12">
        <v>325084000000</v>
      </c>
      <c r="AB213">
        <v>0</v>
      </c>
      <c r="AC213">
        <v>10883000000</v>
      </c>
      <c r="AD213">
        <v>11691000000</v>
      </c>
      <c r="AE213">
        <v>23466000000</v>
      </c>
      <c r="AF213">
        <v>72191000000</v>
      </c>
      <c r="AG213">
        <v>39113000000</v>
      </c>
      <c r="AH213">
        <v>-14276000000</v>
      </c>
      <c r="AI213">
        <v>4205000000</v>
      </c>
      <c r="AJ213">
        <v>-91000000</v>
      </c>
      <c r="AK213">
        <v>52340000000</v>
      </c>
      <c r="AL213">
        <v>0</v>
      </c>
      <c r="AM213">
        <v>7987000000</v>
      </c>
      <c r="AN213">
        <v>26536000000</v>
      </c>
      <c r="AO213" s="12">
        <v>450256000000</v>
      </c>
      <c r="AP213">
        <v>5810000000</v>
      </c>
      <c r="AQ213">
        <v>13159000000</v>
      </c>
      <c r="AR213">
        <v>-53000000</v>
      </c>
      <c r="AS213">
        <v>9669400000</v>
      </c>
      <c r="AT213" s="12">
        <v>113173675000</v>
      </c>
      <c r="AU213" s="12">
        <v>3446600000</v>
      </c>
      <c r="AV213" s="3" t="s">
        <v>473</v>
      </c>
      <c r="AW213">
        <v>183323</v>
      </c>
    </row>
    <row r="214" spans="1:49" x14ac:dyDescent="0.2">
      <c r="A214">
        <v>18</v>
      </c>
      <c r="B214" t="s">
        <v>386</v>
      </c>
      <c r="C214" t="s">
        <v>385</v>
      </c>
      <c r="D214" s="8" t="s">
        <v>387</v>
      </c>
      <c r="E214" t="s">
        <v>55</v>
      </c>
      <c r="F214" t="s">
        <v>400</v>
      </c>
      <c r="G214" s="2" t="d">
        <v>2025-04-25</v>
      </c>
      <c r="H214" s="2" t="d">
        <v>2025-04-25</v>
      </c>
      <c r="I214" s="7">
        <v>2025</v>
      </c>
      <c r="J214" t="s">
        <v>57</v>
      </c>
      <c r="K214">
        <v>9</v>
      </c>
      <c r="L214" s="2" t="d">
        <v>2025-01-01</v>
      </c>
      <c r="M214" s="2" t="d">
        <v>2025-03-31</v>
      </c>
      <c r="N214" t="s">
        <v>468</v>
      </c>
      <c r="O214" t="s">
        <v>468</v>
      </c>
      <c r="P214" s="7">
        <v>2025</v>
      </c>
      <c r="Q214" t="s">
        <v>57</v>
      </c>
      <c r="R214" t="s">
        <v>59</v>
      </c>
      <c r="S214" t="s">
        <v>395</v>
      </c>
      <c r="T214" t="s">
        <v>61</v>
      </c>
      <c r="U214" s="12">
        <v>90234000000</v>
      </c>
      <c r="V214">
        <v>36361000000</v>
      </c>
      <c r="W214">
        <v>30606000000</v>
      </c>
      <c r="X214">
        <v>13556000000</v>
      </c>
      <c r="Y214">
        <v>7249000000</v>
      </c>
      <c r="Z214">
        <v>41789000000</v>
      </c>
      <c r="AA214" s="12">
        <v>345267000000</v>
      </c>
      <c r="AB214">
        <v>0</v>
      </c>
      <c r="AC214">
        <v>10886000000</v>
      </c>
      <c r="AD214">
        <v>11678000000</v>
      </c>
      <c r="AE214">
        <v>23264000000</v>
      </c>
      <c r="AF214">
        <v>72064000000</v>
      </c>
      <c r="AG214">
        <v>36150000000</v>
      </c>
      <c r="AH214">
        <v>-17197000000</v>
      </c>
      <c r="AI214">
        <v>4487000000</v>
      </c>
      <c r="AJ214">
        <v>-340000000</v>
      </c>
      <c r="AK214">
        <v>51000000000</v>
      </c>
      <c r="AL214">
        <v>0</v>
      </c>
      <c r="AM214">
        <v>8497000000</v>
      </c>
      <c r="AN214">
        <v>34540000000</v>
      </c>
      <c r="AO214" s="12">
        <v>475374000000</v>
      </c>
      <c r="AP214">
        <v>5516000000</v>
      </c>
      <c r="AQ214">
        <v>12291000000</v>
      </c>
      <c r="AR214">
        <v>-34000000</v>
      </c>
      <c r="AS214">
        <v>10002537500</v>
      </c>
      <c r="AT214" s="12">
        <v>117060275000</v>
      </c>
      <c r="AU214" s="12">
        <v>3553462500</v>
      </c>
      <c r="AV214" s="3" t="s">
        <v>473</v>
      </c>
      <c r="AW214">
        <v>183323</v>
      </c>
    </row>
    <row r="215" spans="1:49" x14ac:dyDescent="0.2">
      <c r="A215">
        <v>18</v>
      </c>
      <c r="B215" t="s">
        <v>386</v>
      </c>
      <c r="C215" t="s">
        <v>385</v>
      </c>
      <c r="D215" s="8" t="s">
        <v>387</v>
      </c>
      <c r="E215" t="s">
        <v>55</v>
      </c>
      <c r="F215" t="s">
        <v>401</v>
      </c>
      <c r="G215" s="2" t="d">
        <v>2025-07-24</v>
      </c>
      <c r="H215" s="2" t="d">
        <v>2025-07-24</v>
      </c>
      <c r="I215" s="7">
        <v>2025</v>
      </c>
      <c r="J215" t="s">
        <v>58</v>
      </c>
      <c r="K215">
        <v>10</v>
      </c>
      <c r="L215" s="2" t="d">
        <v>2025-04-01</v>
      </c>
      <c r="M215" s="2" t="d">
        <v>2025-06-30</v>
      </c>
      <c r="N215" t="s">
        <v>467</v>
      </c>
      <c r="O215" t="s">
        <v>467</v>
      </c>
      <c r="P215" s="7">
        <v>2025</v>
      </c>
      <c r="Q215" t="s">
        <v>58</v>
      </c>
      <c r="R215" t="s">
        <v>59</v>
      </c>
      <c r="S215" t="s">
        <v>395</v>
      </c>
      <c r="T215" t="s">
        <v>61</v>
      </c>
      <c r="U215" s="12">
        <v>96428000000</v>
      </c>
      <c r="V215">
        <v>39039000000</v>
      </c>
      <c r="W215">
        <v>31271000000</v>
      </c>
      <c r="X215">
        <v>13808000000</v>
      </c>
      <c r="Y215">
        <v>5737000000</v>
      </c>
      <c r="Z215">
        <v>33933000000</v>
      </c>
      <c r="AA215" s="12">
        <v>362916000000</v>
      </c>
      <c r="AB215">
        <v>0</v>
      </c>
      <c r="AC215">
        <v>23607000000</v>
      </c>
      <c r="AD215">
        <v>11952000000</v>
      </c>
      <c r="AE215">
        <v>21036000000</v>
      </c>
      <c r="AF215">
        <v>74112000000</v>
      </c>
      <c r="AG215">
        <v>27747000000</v>
      </c>
      <c r="AH215">
        <v>-22446000000</v>
      </c>
      <c r="AI215">
        <v>4998000000</v>
      </c>
      <c r="AJ215">
        <v>-13000000</v>
      </c>
      <c r="AK215">
        <v>55048000000</v>
      </c>
      <c r="AL215">
        <v>0</v>
      </c>
      <c r="AM215">
        <v>8347000000</v>
      </c>
      <c r="AN215">
        <v>28196000000</v>
      </c>
      <c r="AO215" s="12">
        <v>502053000000</v>
      </c>
      <c r="AP215">
        <v>5998000000</v>
      </c>
      <c r="AQ215">
        <v>12198000000</v>
      </c>
      <c r="AR215">
        <v>-261000000</v>
      </c>
      <c r="AS215">
        <v>10348275000</v>
      </c>
      <c r="AT215" s="12">
        <v>120865737500</v>
      </c>
      <c r="AU215" s="12">
        <v>3459725000</v>
      </c>
      <c r="AV215" s="3" t="s">
        <v>473</v>
      </c>
      <c r="AW215">
        <v>183323</v>
      </c>
    </row>
    <row r="216" spans="1:49" x14ac:dyDescent="0.2">
      <c r="A216">
        <v>18</v>
      </c>
      <c r="B216" t="s">
        <v>386</v>
      </c>
      <c r="C216" t="s">
        <v>385</v>
      </c>
      <c r="D216" s="8" t="s">
        <v>387</v>
      </c>
      <c r="E216" t="s">
        <v>55</v>
      </c>
      <c r="F216" t="s">
        <v>402</v>
      </c>
      <c r="G216" s="2" t="d">
        <v>2025-10-30</v>
      </c>
      <c r="H216" s="2" t="d">
        <v>2025-10-30</v>
      </c>
      <c r="I216" s="7">
        <v>2025</v>
      </c>
      <c r="J216" t="s">
        <v>63</v>
      </c>
      <c r="K216">
        <v>11</v>
      </c>
      <c r="L216" s="2" t="d">
        <v>2025-07-01</v>
      </c>
      <c r="M216" s="2" t="d">
        <v>2025-09-30</v>
      </c>
      <c r="N216" t="s">
        <v>467</v>
      </c>
      <c r="O216" t="s">
        <v>467</v>
      </c>
      <c r="P216" s="7">
        <v>2025</v>
      </c>
      <c r="Q216" t="s">
        <v>63</v>
      </c>
      <c r="R216" t="s">
        <v>59</v>
      </c>
      <c r="S216" t="s">
        <v>395</v>
      </c>
      <c r="T216" t="s">
        <v>61</v>
      </c>
      <c r="U216" s="12">
        <v>102346000000</v>
      </c>
      <c r="V216">
        <v>41369000000</v>
      </c>
      <c r="W216">
        <v>31228000000</v>
      </c>
      <c r="X216">
        <v>15151000000</v>
      </c>
      <c r="Y216">
        <v>9008000000</v>
      </c>
      <c r="Z216">
        <v>43987000000</v>
      </c>
      <c r="AA216" s="12">
        <v>386867000000</v>
      </c>
      <c r="AB216">
        <v>0</v>
      </c>
      <c r="AC216">
        <v>21607000000</v>
      </c>
      <c r="AD216">
        <v>12106000000</v>
      </c>
      <c r="AE216">
        <v>23090000000</v>
      </c>
      <c r="AF216">
        <v>75406000000</v>
      </c>
      <c r="AG216">
        <v>48414000000</v>
      </c>
      <c r="AH216">
        <v>-23953000000</v>
      </c>
      <c r="AI216">
        <v>5611000000</v>
      </c>
      <c r="AJ216">
        <v>-1072000000</v>
      </c>
      <c r="AK216">
        <v>57148000000</v>
      </c>
      <c r="AL216">
        <v>0</v>
      </c>
      <c r="AM216">
        <v>10546000000</v>
      </c>
      <c r="AN216">
        <v>34979000000</v>
      </c>
      <c r="AO216" s="12">
        <v>536469000000</v>
      </c>
      <c r="AP216">
        <v>6368000000</v>
      </c>
      <c r="AQ216">
        <v>12203000000</v>
      </c>
      <c r="AR216">
        <v>-143000000</v>
      </c>
      <c r="AS216">
        <v>10761162500</v>
      </c>
      <c r="AT216" s="12">
        <v>125668462500</v>
      </c>
      <c r="AU216" s="12">
        <v>4389837500</v>
      </c>
      <c r="AV216" s="3" t="s">
        <v>473</v>
      </c>
      <c r="AW216">
        <v>183323</v>
      </c>
    </row>
    <row r="217" spans="1:49" x14ac:dyDescent="0.2">
      <c r="A217">
        <v>18</v>
      </c>
      <c r="B217" t="s">
        <v>386</v>
      </c>
      <c r="C217" t="s">
        <v>385</v>
      </c>
      <c r="D217" s="8" t="s">
        <v>387</v>
      </c>
      <c r="E217" t="s">
        <v>66</v>
      </c>
      <c r="F217" t="s">
        <v>403</v>
      </c>
      <c r="G217" s="2" t="d">
        <v>2026-02-05</v>
      </c>
      <c r="H217" s="2" t="d">
        <v>2026-02-05</v>
      </c>
      <c r="I217" s="7">
        <v>2025</v>
      </c>
      <c r="J217" t="s">
        <v>65</v>
      </c>
      <c r="K217">
        <v>12</v>
      </c>
      <c r="L217" s="2" t="d">
        <v>2025-10-01</v>
      </c>
      <c r="M217" s="2" t="d">
        <v>2025-12-31</v>
      </c>
      <c r="N217" t="s">
        <v>467</v>
      </c>
      <c r="O217" t="s">
        <v>467</v>
      </c>
      <c r="P217" s="7">
        <v>2025</v>
      </c>
      <c r="Q217" t="s">
        <v>65</v>
      </c>
      <c r="R217" t="s">
        <v>59</v>
      </c>
      <c r="S217" t="s">
        <v>395</v>
      </c>
      <c r="T217" t="s">
        <v>61</v>
      </c>
      <c r="U217" s="12">
        <v>113828000000</v>
      </c>
      <c r="V217">
        <v>45766000000</v>
      </c>
      <c r="W217">
        <v>35934000000</v>
      </c>
      <c r="X217">
        <v>18572000000</v>
      </c>
      <c r="Y217">
        <v>4662000000</v>
      </c>
      <c r="Z217">
        <v>39117000000</v>
      </c>
      <c r="AA217" s="12">
        <v>415265000000</v>
      </c>
      <c r="AB217">
        <v>0</v>
      </c>
      <c r="AC217">
        <v>46547000000</v>
      </c>
      <c r="AD217">
        <v>12744000000</v>
      </c>
      <c r="AE217">
        <v>30708000000</v>
      </c>
      <c r="AF217">
        <v>96135000000</v>
      </c>
      <c r="AG217">
        <v>52402000000</v>
      </c>
      <c r="AH217">
        <v>-27851000000</v>
      </c>
      <c r="AI217">
        <v>6040000000</v>
      </c>
      <c r="AJ217">
        <v>-167000000</v>
      </c>
      <c r="AK217">
        <v>62886000000</v>
      </c>
      <c r="AL217">
        <v>0</v>
      </c>
      <c r="AM217">
        <v>12200000000</v>
      </c>
      <c r="AN217">
        <v>34455000000</v>
      </c>
      <c r="AO217" s="12">
        <v>595281000000</v>
      </c>
      <c r="AP217">
        <v>7071000000</v>
      </c>
      <c r="AQ217">
        <v>12722000000</v>
      </c>
      <c r="AR217">
        <v>-298000000</v>
      </c>
      <c r="AS217">
        <v>11345100000</v>
      </c>
      <c r="AT217" s="12">
        <v>133479300000</v>
      </c>
      <c r="AU217" s="12">
        <v>7226900000</v>
      </c>
      <c r="AV217" s="3" t="s">
        <v>473</v>
      </c>
      <c r="AW217">
        <v>190820</v>
      </c>
    </row>
    <row r="218" spans="1:49" x14ac:dyDescent="0.2">
      <c r="A218">
        <v>19</v>
      </c>
      <c r="B218" t="s">
        <v>404</v>
      </c>
      <c r="C218" t="s">
        <v>405</v>
      </c>
      <c r="D218" s="8" t="s">
        <v>406</v>
      </c>
      <c r="E218" t="s">
        <v>55</v>
      </c>
      <c r="F218" t="s">
        <v>407</v>
      </c>
      <c r="G218" s="2" t="d">
        <v>2023-05-05</v>
      </c>
      <c r="H218" s="2" t="d">
        <v>2023-05-05</v>
      </c>
      <c r="I218">
        <v>2023</v>
      </c>
      <c r="J218" t="s">
        <v>57</v>
      </c>
      <c r="K218">
        <v>1</v>
      </c>
      <c r="L218" s="2" t="d">
        <v>2023-01-01</v>
      </c>
      <c r="M218" s="2" t="d">
        <v>2023-03-31</v>
      </c>
      <c r="N218" t="s">
        <v>468</v>
      </c>
      <c r="O218" t="s">
        <v>468</v>
      </c>
      <c r="P218">
        <v>2023</v>
      </c>
      <c r="Q218" t="s">
        <v>57</v>
      </c>
      <c r="R218" t="s">
        <v>59</v>
      </c>
      <c r="S218" t="s">
        <v>408</v>
      </c>
      <c r="T218" t="s">
        <v>61</v>
      </c>
      <c r="U218" s="11">
        <v>513400000</v>
      </c>
      <c r="V218">
        <v>409300000</v>
      </c>
      <c r="W218">
        <v>50300000</v>
      </c>
      <c r="X218">
        <v>0</v>
      </c>
      <c r="Y218">
        <v>9900000</v>
      </c>
      <c r="Z218">
        <v>36100000</v>
      </c>
      <c r="AA218">
        <v>434900000</v>
      </c>
      <c r="AB218">
        <v>0</v>
      </c>
      <c r="AC218">
        <v>881000000</v>
      </c>
      <c r="AD218">
        <v>86300000.000000015</v>
      </c>
      <c r="AE218">
        <v>46400000</v>
      </c>
      <c r="AF218">
        <v>0</v>
      </c>
      <c r="AG218">
        <v>-15300000</v>
      </c>
      <c r="AH218">
        <v>-30400000</v>
      </c>
      <c r="AI218">
        <v>14000000</v>
      </c>
      <c r="AJ218">
        <v>0</v>
      </c>
      <c r="AK218">
        <v>241600000</v>
      </c>
      <c r="AL218">
        <v>379200000</v>
      </c>
      <c r="AM218">
        <v>219200000</v>
      </c>
      <c r="AN218">
        <v>26200000</v>
      </c>
      <c r="AO218" s="12">
        <v>1800600000</v>
      </c>
      <c r="AP218">
        <v>4000000</v>
      </c>
      <c r="AQ218">
        <v>21385000</v>
      </c>
      <c r="AR218">
        <v>14000000</v>
      </c>
      <c r="AV218" s="10" t="s">
        <v>474</v>
      </c>
      <c r="AW218">
        <v>2119</v>
      </c>
    </row>
    <row r="219" spans="1:49" x14ac:dyDescent="0.2">
      <c r="A219">
        <v>19</v>
      </c>
      <c r="B219" t="s">
        <v>404</v>
      </c>
      <c r="C219" t="s">
        <v>405</v>
      </c>
      <c r="D219" s="8" t="s">
        <v>406</v>
      </c>
      <c r="E219" t="s">
        <v>55</v>
      </c>
      <c r="F219" t="s">
        <v>409</v>
      </c>
      <c r="G219" s="2" t="d">
        <v>2023-08-03</v>
      </c>
      <c r="H219" s="2" t="d">
        <v>2023-08-03</v>
      </c>
      <c r="I219">
        <v>2023</v>
      </c>
      <c r="J219" t="s">
        <v>58</v>
      </c>
      <c r="K219">
        <v>2</v>
      </c>
      <c r="L219" s="2" t="d">
        <v>2023-04-01</v>
      </c>
      <c r="M219" s="2" t="d">
        <v>2023-06-30</v>
      </c>
      <c r="N219" t="s">
        <v>467</v>
      </c>
      <c r="O219" t="s">
        <v>467</v>
      </c>
      <c r="P219">
        <v>2023</v>
      </c>
      <c r="Q219" t="s">
        <v>58</v>
      </c>
      <c r="R219" t="s">
        <v>59</v>
      </c>
      <c r="S219" t="s">
        <v>408</v>
      </c>
      <c r="T219" t="s">
        <v>61</v>
      </c>
      <c r="U219" s="11">
        <v>577200000</v>
      </c>
      <c r="V219">
        <v>464700000</v>
      </c>
      <c r="W219">
        <v>54400000</v>
      </c>
      <c r="X219">
        <v>0</v>
      </c>
      <c r="Y219">
        <v>9900000</v>
      </c>
      <c r="Z219">
        <v>34300000</v>
      </c>
      <c r="AA219" s="12">
        <v>456600000</v>
      </c>
      <c r="AB219">
        <v>4000000</v>
      </c>
      <c r="AC219">
        <v>902200000</v>
      </c>
      <c r="AD219">
        <v>84200000</v>
      </c>
      <c r="AE219">
        <v>48200000</v>
      </c>
      <c r="AF219">
        <v>0</v>
      </c>
      <c r="AG219">
        <v>13200000.000000002</v>
      </c>
      <c r="AH219">
        <v>-32200000.000000004</v>
      </c>
      <c r="AI219">
        <v>14399999.999999998</v>
      </c>
      <c r="AJ219">
        <v>0</v>
      </c>
      <c r="AK219">
        <v>258300000</v>
      </c>
      <c r="AL219">
        <v>373100000</v>
      </c>
      <c r="AM219">
        <v>195000000</v>
      </c>
      <c r="AN219">
        <v>24400000</v>
      </c>
      <c r="AO219" s="12">
        <v>1815700000</v>
      </c>
      <c r="AP219">
        <v>3800000</v>
      </c>
      <c r="AQ219">
        <v>21351000</v>
      </c>
      <c r="AR219">
        <v>20300000</v>
      </c>
      <c r="AV219" s="10" t="s">
        <v>474</v>
      </c>
      <c r="AW219">
        <v>2119</v>
      </c>
    </row>
    <row r="220" spans="1:49" x14ac:dyDescent="0.2">
      <c r="A220">
        <v>19</v>
      </c>
      <c r="B220" t="s">
        <v>404</v>
      </c>
      <c r="C220" t="s">
        <v>405</v>
      </c>
      <c r="D220" s="8" t="s">
        <v>406</v>
      </c>
      <c r="E220" t="s">
        <v>55</v>
      </c>
      <c r="F220" t="s">
        <v>410</v>
      </c>
      <c r="G220" s="2" t="d">
        <v>2023-11-03</v>
      </c>
      <c r="H220" s="2" t="d">
        <v>2023-11-03</v>
      </c>
      <c r="I220">
        <v>2023</v>
      </c>
      <c r="J220" t="s">
        <v>63</v>
      </c>
      <c r="K220">
        <v>3</v>
      </c>
      <c r="L220" s="2" t="d">
        <v>2023-07-01</v>
      </c>
      <c r="M220" s="2" t="d">
        <v>2023-09-30</v>
      </c>
      <c r="N220" t="s">
        <v>467</v>
      </c>
      <c r="O220" t="s">
        <v>467</v>
      </c>
      <c r="P220">
        <v>2023</v>
      </c>
      <c r="Q220" t="s">
        <v>63</v>
      </c>
      <c r="R220" t="s">
        <v>59</v>
      </c>
      <c r="S220" t="s">
        <v>408</v>
      </c>
      <c r="T220" t="s">
        <v>61</v>
      </c>
      <c r="U220" s="12">
        <v>550400000</v>
      </c>
      <c r="V220">
        <v>439000000</v>
      </c>
      <c r="W220">
        <v>53300000</v>
      </c>
      <c r="X220">
        <v>0</v>
      </c>
      <c r="Y220">
        <v>8300000.0000000009</v>
      </c>
      <c r="Z220">
        <v>34500000</v>
      </c>
      <c r="AA220" s="12">
        <v>476000000</v>
      </c>
      <c r="AB220">
        <v>4000000</v>
      </c>
      <c r="AC220">
        <v>859800000</v>
      </c>
      <c r="AD220">
        <v>84199999.999999985</v>
      </c>
      <c r="AE220">
        <v>53500000</v>
      </c>
      <c r="AF220">
        <v>0</v>
      </c>
      <c r="AG220">
        <v>81600000</v>
      </c>
      <c r="AH220">
        <v>-28699999.999999996</v>
      </c>
      <c r="AI220">
        <v>14300000.000000004</v>
      </c>
      <c r="AJ220">
        <v>0</v>
      </c>
      <c r="AK220">
        <v>241700000</v>
      </c>
      <c r="AL220">
        <v>369600000</v>
      </c>
      <c r="AM220">
        <v>205600000</v>
      </c>
      <c r="AN220">
        <v>26200000</v>
      </c>
      <c r="AO220" s="12">
        <v>1810200000</v>
      </c>
      <c r="AP220">
        <v>5199999.9999999991</v>
      </c>
      <c r="AQ220">
        <v>21659000</v>
      </c>
      <c r="AR220">
        <v>19000000</v>
      </c>
      <c r="AV220" s="10" t="s">
        <v>474</v>
      </c>
      <c r="AW220">
        <v>2119</v>
      </c>
    </row>
    <row r="221" spans="1:49" x14ac:dyDescent="0.2">
      <c r="A221">
        <v>19</v>
      </c>
      <c r="B221" t="s">
        <v>404</v>
      </c>
      <c r="C221" t="s">
        <v>405</v>
      </c>
      <c r="D221" s="8" t="s">
        <v>406</v>
      </c>
      <c r="E221" t="s">
        <v>66</v>
      </c>
      <c r="F221" t="s">
        <v>411</v>
      </c>
      <c r="G221" s="2" t="d">
        <v>2024-02-28</v>
      </c>
      <c r="H221" s="2" t="d">
        <v>2024-02-28</v>
      </c>
      <c r="I221">
        <v>2023</v>
      </c>
      <c r="J221" t="s">
        <v>65</v>
      </c>
      <c r="K221">
        <v>4</v>
      </c>
      <c r="L221" s="2" t="d">
        <v>2023-10-01</v>
      </c>
      <c r="M221" s="2" t="d">
        <v>2023-12-31</v>
      </c>
      <c r="N221" t="s">
        <v>467</v>
      </c>
      <c r="O221" t="s">
        <v>467</v>
      </c>
      <c r="P221">
        <v>2023</v>
      </c>
      <c r="Q221" t="s">
        <v>65</v>
      </c>
      <c r="R221" t="s">
        <v>59</v>
      </c>
      <c r="S221" t="s">
        <v>408</v>
      </c>
      <c r="T221" t="s">
        <v>61</v>
      </c>
      <c r="U221" s="14">
        <v>513199999.9999997</v>
      </c>
      <c r="V221">
        <v>416700000</v>
      </c>
      <c r="W221">
        <v>37199999.999999978</v>
      </c>
      <c r="X221">
        <v>0</v>
      </c>
      <c r="Y221">
        <v>6699999.9999999944</v>
      </c>
      <c r="Z221">
        <v>19699999.999999996</v>
      </c>
      <c r="AA221" s="12">
        <v>503000000</v>
      </c>
      <c r="AB221">
        <v>5000000</v>
      </c>
      <c r="AC221">
        <v>835400000</v>
      </c>
      <c r="AD221">
        <v>90300000.000000015</v>
      </c>
      <c r="AE221">
        <v>66500000</v>
      </c>
      <c r="AF221">
        <v>0</v>
      </c>
      <c r="AG221">
        <v>66599999.999999993</v>
      </c>
      <c r="AH221">
        <v>-29200000.000000011</v>
      </c>
      <c r="AI221">
        <v>14299999.999999996</v>
      </c>
      <c r="AJ221">
        <v>0</v>
      </c>
      <c r="AK221">
        <v>202400000</v>
      </c>
      <c r="AL221">
        <v>395700000</v>
      </c>
      <c r="AM221">
        <v>202900000</v>
      </c>
      <c r="AN221">
        <v>12999999.999999996</v>
      </c>
      <c r="AO221" s="12">
        <v>1835500000</v>
      </c>
      <c r="AP221">
        <v>4300000.0000000009</v>
      </c>
      <c r="AQ221">
        <v>21539000</v>
      </c>
      <c r="AR221">
        <v>17700000</v>
      </c>
      <c r="AV221" s="10" t="s">
        <v>474</v>
      </c>
      <c r="AW221">
        <v>2108</v>
      </c>
    </row>
    <row r="222" spans="1:49" x14ac:dyDescent="0.2">
      <c r="A222">
        <v>19</v>
      </c>
      <c r="B222" t="s">
        <v>404</v>
      </c>
      <c r="C222" t="s">
        <v>405</v>
      </c>
      <c r="D222" s="8" t="s">
        <v>406</v>
      </c>
      <c r="E222" t="s">
        <v>55</v>
      </c>
      <c r="F222" t="s">
        <v>412</v>
      </c>
      <c r="G222" s="2" t="d">
        <v>2024-05-03</v>
      </c>
      <c r="H222" s="2" t="d">
        <v>2024-05-03</v>
      </c>
      <c r="I222">
        <v>2024</v>
      </c>
      <c r="J222" t="s">
        <v>57</v>
      </c>
      <c r="K222">
        <v>5</v>
      </c>
      <c r="L222" s="2" t="d">
        <v>2024-01-01</v>
      </c>
      <c r="M222" s="2" t="d">
        <v>2024-03-31</v>
      </c>
      <c r="N222" t="s">
        <v>468</v>
      </c>
      <c r="O222" t="s">
        <v>468</v>
      </c>
      <c r="P222">
        <v>2024</v>
      </c>
      <c r="Q222" t="s">
        <v>57</v>
      </c>
      <c r="R222" t="s">
        <v>59</v>
      </c>
      <c r="S222" t="s">
        <v>408</v>
      </c>
      <c r="T222" t="s">
        <v>61</v>
      </c>
      <c r="U222">
        <v>497600000</v>
      </c>
      <c r="V222">
        <v>401400000</v>
      </c>
      <c r="W222">
        <v>34600000</v>
      </c>
      <c r="X222">
        <v>0</v>
      </c>
      <c r="Y222">
        <v>4400000</v>
      </c>
      <c r="Z222">
        <v>17400000</v>
      </c>
      <c r="AA222" s="12">
        <v>509900000</v>
      </c>
      <c r="AB222">
        <v>4000000</v>
      </c>
      <c r="AC222">
        <v>865100000</v>
      </c>
      <c r="AD222">
        <v>85600000</v>
      </c>
      <c r="AE222">
        <v>49000000</v>
      </c>
      <c r="AF222">
        <v>0</v>
      </c>
      <c r="AG222">
        <v>-12300000</v>
      </c>
      <c r="AH222">
        <v>-26300000</v>
      </c>
      <c r="AI222">
        <v>16100000.000000002</v>
      </c>
      <c r="AJ222">
        <v>0</v>
      </c>
      <c r="AK222">
        <v>218300000</v>
      </c>
      <c r="AL222">
        <v>399000000</v>
      </c>
      <c r="AM222">
        <v>195200000</v>
      </c>
      <c r="AN222">
        <v>13000000</v>
      </c>
      <c r="AO222" s="12">
        <v>1845300000</v>
      </c>
      <c r="AP222">
        <v>5400000</v>
      </c>
      <c r="AQ222">
        <v>21909000</v>
      </c>
      <c r="AR222">
        <v>17100000</v>
      </c>
      <c r="AV222" s="10" t="s">
        <v>474</v>
      </c>
      <c r="AW222">
        <v>2108</v>
      </c>
    </row>
    <row r="223" spans="1:49" x14ac:dyDescent="0.2">
      <c r="A223">
        <v>19</v>
      </c>
      <c r="B223" t="s">
        <v>404</v>
      </c>
      <c r="C223" t="s">
        <v>405</v>
      </c>
      <c r="D223" s="8" t="s">
        <v>406</v>
      </c>
      <c r="E223" t="s">
        <v>55</v>
      </c>
      <c r="F223" t="s">
        <v>413</v>
      </c>
      <c r="G223" s="2" t="d">
        <v>2024-08-08</v>
      </c>
      <c r="H223" s="2" t="d">
        <v>2024-08-08</v>
      </c>
      <c r="I223">
        <v>2024</v>
      </c>
      <c r="J223" t="s">
        <v>58</v>
      </c>
      <c r="K223">
        <v>6</v>
      </c>
      <c r="L223" s="2" t="d">
        <v>2024-04-01</v>
      </c>
      <c r="M223" s="2" t="d">
        <v>2024-06-30</v>
      </c>
      <c r="N223" t="s">
        <v>467</v>
      </c>
      <c r="O223" t="s">
        <v>467</v>
      </c>
      <c r="P223">
        <v>2024</v>
      </c>
      <c r="Q223" t="s">
        <v>58</v>
      </c>
      <c r="R223" t="s">
        <v>59</v>
      </c>
      <c r="S223" t="s">
        <v>408</v>
      </c>
      <c r="T223" t="s">
        <v>61</v>
      </c>
      <c r="U223">
        <v>563200000</v>
      </c>
      <c r="V223">
        <v>441600000</v>
      </c>
      <c r="W223">
        <v>57500000</v>
      </c>
      <c r="X223">
        <v>0</v>
      </c>
      <c r="Y223">
        <v>10200000</v>
      </c>
      <c r="Z223">
        <v>37000000</v>
      </c>
      <c r="AA223" s="12">
        <v>513299999.99999994</v>
      </c>
      <c r="AB223">
        <v>5000000</v>
      </c>
      <c r="AC223">
        <v>986700000</v>
      </c>
      <c r="AD223">
        <v>89000000</v>
      </c>
      <c r="AE223">
        <v>48900000</v>
      </c>
      <c r="AF223">
        <v>0</v>
      </c>
      <c r="AG223">
        <v>27200000.000000004</v>
      </c>
      <c r="AH223">
        <v>-17099999.999999996</v>
      </c>
      <c r="AI223">
        <v>18199999.999999996</v>
      </c>
      <c r="AJ223">
        <v>-99800000</v>
      </c>
      <c r="AK223">
        <v>224100000</v>
      </c>
      <c r="AL223">
        <v>402300000</v>
      </c>
      <c r="AM223">
        <v>184000000</v>
      </c>
      <c r="AN223">
        <v>26800000</v>
      </c>
      <c r="AO223" s="12">
        <v>1948000000</v>
      </c>
      <c r="AP223">
        <v>5500000</v>
      </c>
      <c r="AQ223">
        <v>21559000</v>
      </c>
      <c r="AR223">
        <v>20600000</v>
      </c>
      <c r="AV223" s="10" t="s">
        <v>474</v>
      </c>
      <c r="AW223">
        <v>2108</v>
      </c>
    </row>
    <row r="224" spans="1:49" x14ac:dyDescent="0.2">
      <c r="A224">
        <v>19</v>
      </c>
      <c r="B224" t="s">
        <v>404</v>
      </c>
      <c r="C224" t="s">
        <v>405</v>
      </c>
      <c r="D224" s="8" t="s">
        <v>406</v>
      </c>
      <c r="E224" t="s">
        <v>55</v>
      </c>
      <c r="F224" t="s">
        <v>414</v>
      </c>
      <c r="G224" s="2" t="d">
        <v>2024-11-08</v>
      </c>
      <c r="H224" s="2" t="d">
        <v>2024-11-08</v>
      </c>
      <c r="I224" s="7">
        <v>2024</v>
      </c>
      <c r="J224" t="s">
        <v>63</v>
      </c>
      <c r="K224">
        <v>7</v>
      </c>
      <c r="L224" s="2" t="d">
        <v>2024-07-01</v>
      </c>
      <c r="M224" s="2" t="d">
        <v>2024-09-30</v>
      </c>
      <c r="N224" t="s">
        <v>467</v>
      </c>
      <c r="O224" t="s">
        <v>467</v>
      </c>
      <c r="P224" s="7">
        <v>2024</v>
      </c>
      <c r="Q224" t="s">
        <v>63</v>
      </c>
      <c r="R224" t="s">
        <v>59</v>
      </c>
      <c r="S224" t="s">
        <v>408</v>
      </c>
      <c r="T224" t="s">
        <v>61</v>
      </c>
      <c r="U224">
        <v>554300000</v>
      </c>
      <c r="V224">
        <v>433100000</v>
      </c>
      <c r="W224">
        <v>49700000</v>
      </c>
      <c r="X224">
        <v>0</v>
      </c>
      <c r="Y224">
        <v>10600000</v>
      </c>
      <c r="Z224">
        <v>29600000</v>
      </c>
      <c r="AA224" s="12">
        <v>532600000</v>
      </c>
      <c r="AB224">
        <v>5000000</v>
      </c>
      <c r="AC224">
        <v>975900000</v>
      </c>
      <c r="AD224">
        <v>91700000</v>
      </c>
      <c r="AE224">
        <v>44500000</v>
      </c>
      <c r="AF224">
        <v>0</v>
      </c>
      <c r="AG224">
        <v>29800000</v>
      </c>
      <c r="AH224">
        <v>-15400000.000000002</v>
      </c>
      <c r="AI224">
        <v>17900000.000000007</v>
      </c>
      <c r="AJ224">
        <v>399999.9999999915</v>
      </c>
      <c r="AK224">
        <v>238000000</v>
      </c>
      <c r="AL224">
        <v>405900000</v>
      </c>
      <c r="AM224">
        <v>169500000</v>
      </c>
      <c r="AN224">
        <v>19000000</v>
      </c>
      <c r="AO224" s="12">
        <v>1959600000</v>
      </c>
      <c r="AP224">
        <v>5200000.0000000009</v>
      </c>
      <c r="AQ224">
        <v>20961000</v>
      </c>
      <c r="AR224">
        <v>20200000</v>
      </c>
      <c r="AV224" s="10" t="s">
        <v>474</v>
      </c>
      <c r="AW224">
        <v>2108</v>
      </c>
    </row>
    <row r="225" spans="1:49" x14ac:dyDescent="0.2">
      <c r="A225">
        <v>19</v>
      </c>
      <c r="B225" t="s">
        <v>404</v>
      </c>
      <c r="C225" t="s">
        <v>405</v>
      </c>
      <c r="D225" s="8" t="s">
        <v>406</v>
      </c>
      <c r="E225" t="s">
        <v>66</v>
      </c>
      <c r="F225" t="s">
        <v>415</v>
      </c>
      <c r="G225" s="2" t="d">
        <v>2025-02-27</v>
      </c>
      <c r="H225" s="2" t="d">
        <v>2025-02-27</v>
      </c>
      <c r="I225" s="7">
        <v>2024</v>
      </c>
      <c r="J225" t="s">
        <v>65</v>
      </c>
      <c r="K225">
        <v>8</v>
      </c>
      <c r="L225" s="2" t="d">
        <v>2024-10-01</v>
      </c>
      <c r="M225" s="2" t="d">
        <v>2024-12-31</v>
      </c>
      <c r="N225" t="s">
        <v>467</v>
      </c>
      <c r="O225" t="s">
        <v>467</v>
      </c>
      <c r="P225" s="7">
        <v>2024</v>
      </c>
      <c r="Q225" t="s">
        <v>65</v>
      </c>
      <c r="R225" t="s">
        <v>59</v>
      </c>
      <c r="S225" t="s">
        <v>408</v>
      </c>
      <c r="T225" t="s">
        <v>61</v>
      </c>
      <c r="U225">
        <v>476999999.99999988</v>
      </c>
      <c r="V225">
        <v>393400000.00000012</v>
      </c>
      <c r="W225">
        <v>6399999.9999999842</v>
      </c>
      <c r="X225">
        <v>0</v>
      </c>
      <c r="Y225">
        <v>-4500000</v>
      </c>
      <c r="Z225">
        <v>-14700000.000000004</v>
      </c>
      <c r="AA225" s="12">
        <v>489000000</v>
      </c>
      <c r="AB225">
        <v>4900000</v>
      </c>
      <c r="AC225">
        <v>925900000</v>
      </c>
      <c r="AD225">
        <v>91100000.000000015</v>
      </c>
      <c r="AE225">
        <v>43900000</v>
      </c>
      <c r="AF225">
        <v>0</v>
      </c>
      <c r="AG225">
        <v>74700000</v>
      </c>
      <c r="AH225">
        <v>-18600000.000000004</v>
      </c>
      <c r="AI225">
        <v>15299999.999999996</v>
      </c>
      <c r="AJ225">
        <v>100000.00000000853</v>
      </c>
      <c r="AK225">
        <v>191800000</v>
      </c>
      <c r="AL225">
        <v>404600000</v>
      </c>
      <c r="AM225">
        <v>179100000</v>
      </c>
      <c r="AN225">
        <v>-10200000</v>
      </c>
      <c r="AO225" s="12">
        <v>1890200000</v>
      </c>
      <c r="AP225">
        <v>4699999.9999999991</v>
      </c>
      <c r="AQ225">
        <v>21291000</v>
      </c>
      <c r="AR225">
        <v>18299999.999999996</v>
      </c>
      <c r="AV225" s="10" t="s">
        <v>474</v>
      </c>
      <c r="AW225">
        <v>2082</v>
      </c>
    </row>
    <row r="226" spans="1:49" x14ac:dyDescent="0.2">
      <c r="A226">
        <v>19</v>
      </c>
      <c r="B226" t="s">
        <v>404</v>
      </c>
      <c r="C226" t="s">
        <v>405</v>
      </c>
      <c r="D226" s="8" t="s">
        <v>406</v>
      </c>
      <c r="E226" t="s">
        <v>55</v>
      </c>
      <c r="F226" t="s">
        <v>416</v>
      </c>
      <c r="G226" s="2" t="d">
        <v>2025-05-09</v>
      </c>
      <c r="H226" s="2" t="d">
        <v>2025-05-09</v>
      </c>
      <c r="I226" s="7">
        <v>2025</v>
      </c>
      <c r="J226" t="s">
        <v>57</v>
      </c>
      <c r="K226">
        <v>9</v>
      </c>
      <c r="L226" s="2" t="d">
        <v>2025-01-01</v>
      </c>
      <c r="M226" s="2" t="d">
        <v>2025-03-31</v>
      </c>
      <c r="N226" t="s">
        <v>468</v>
      </c>
      <c r="O226" t="s">
        <v>468</v>
      </c>
      <c r="P226" s="7">
        <v>2025</v>
      </c>
      <c r="Q226" t="s">
        <v>57</v>
      </c>
      <c r="R226" t="s">
        <v>59</v>
      </c>
      <c r="S226" t="s">
        <v>417</v>
      </c>
      <c r="T226" t="s">
        <v>61</v>
      </c>
      <c r="U226">
        <v>456500000</v>
      </c>
      <c r="V226">
        <v>350700000</v>
      </c>
      <c r="W226">
        <v>27000000</v>
      </c>
      <c r="X226">
        <v>0</v>
      </c>
      <c r="Y226">
        <v>-3300000</v>
      </c>
      <c r="Z226">
        <v>-17200000</v>
      </c>
      <c r="AA226" s="12">
        <v>498300000</v>
      </c>
      <c r="AB226">
        <v>4900000</v>
      </c>
      <c r="AC226">
        <v>975900000</v>
      </c>
      <c r="AD226">
        <v>88400000</v>
      </c>
      <c r="AE226">
        <v>33299999.999999996</v>
      </c>
      <c r="AF226">
        <v>0</v>
      </c>
      <c r="AG226">
        <v>-22700000</v>
      </c>
      <c r="AH226">
        <v>-14300000</v>
      </c>
      <c r="AI226">
        <v>30200000</v>
      </c>
      <c r="AJ226">
        <v>0</v>
      </c>
      <c r="AK226">
        <v>204800000</v>
      </c>
      <c r="AL226">
        <v>403400000</v>
      </c>
      <c r="AM226">
        <v>148200000</v>
      </c>
      <c r="AN226">
        <v>-13900000</v>
      </c>
      <c r="AO226" s="12">
        <v>1890800000</v>
      </c>
      <c r="AP226">
        <v>6600000</v>
      </c>
      <c r="AQ226">
        <v>20369000</v>
      </c>
      <c r="AR226">
        <v>16600000.000000002</v>
      </c>
      <c r="AV226" s="10" t="s">
        <v>474</v>
      </c>
      <c r="AW226">
        <v>2082</v>
      </c>
    </row>
    <row r="227" spans="1:49" x14ac:dyDescent="0.2">
      <c r="A227">
        <v>19</v>
      </c>
      <c r="B227" t="s">
        <v>404</v>
      </c>
      <c r="C227" t="s">
        <v>405</v>
      </c>
      <c r="D227" s="8" t="s">
        <v>406</v>
      </c>
      <c r="E227" t="s">
        <v>55</v>
      </c>
      <c r="F227" t="s">
        <v>418</v>
      </c>
      <c r="G227" s="2" t="d">
        <v>2025-08-08</v>
      </c>
      <c r="H227" s="2" t="d">
        <v>2025-08-08</v>
      </c>
      <c r="I227" s="7">
        <v>2025</v>
      </c>
      <c r="J227" t="s">
        <v>58</v>
      </c>
      <c r="K227">
        <v>10</v>
      </c>
      <c r="L227" s="2" t="d">
        <v>2025-04-01</v>
      </c>
      <c r="M227" s="2" t="d">
        <v>2025-06-30</v>
      </c>
      <c r="N227" t="s">
        <v>467</v>
      </c>
      <c r="O227" t="s">
        <v>467</v>
      </c>
      <c r="P227" s="7">
        <v>2025</v>
      </c>
      <c r="Q227" t="s">
        <v>58</v>
      </c>
      <c r="R227" t="s">
        <v>59</v>
      </c>
      <c r="S227" t="s">
        <v>417</v>
      </c>
      <c r="T227" t="s">
        <v>61</v>
      </c>
      <c r="U227">
        <v>504800000</v>
      </c>
      <c r="V227">
        <v>390600000</v>
      </c>
      <c r="W227">
        <v>39100000</v>
      </c>
      <c r="X227">
        <v>0</v>
      </c>
      <c r="Y227">
        <v>7500000</v>
      </c>
      <c r="Z227">
        <v>23900000</v>
      </c>
      <c r="AA227" s="12">
        <v>527100000</v>
      </c>
      <c r="AB227">
        <v>4900000</v>
      </c>
      <c r="AC227">
        <v>962900000</v>
      </c>
      <c r="AD227">
        <v>101700000</v>
      </c>
      <c r="AE227">
        <v>38400000</v>
      </c>
      <c r="AF227">
        <v>0</v>
      </c>
      <c r="AG227">
        <v>50500000</v>
      </c>
      <c r="AH227">
        <v>-12099999.999999998</v>
      </c>
      <c r="AI227">
        <v>23800000</v>
      </c>
      <c r="AJ227">
        <v>0</v>
      </c>
      <c r="AK227">
        <v>211700000</v>
      </c>
      <c r="AL227">
        <v>405400000</v>
      </c>
      <c r="AM227">
        <v>168700000</v>
      </c>
      <c r="AN227">
        <v>16399999.999999998</v>
      </c>
      <c r="AO227" s="12">
        <v>1930800000</v>
      </c>
      <c r="AP227">
        <v>1700000.0000000012</v>
      </c>
      <c r="AQ227">
        <v>20235000</v>
      </c>
      <c r="AR227">
        <v>17300000</v>
      </c>
      <c r="AV227" s="10" t="s">
        <v>474</v>
      </c>
      <c r="AW227">
        <v>2082</v>
      </c>
    </row>
    <row r="228" spans="1:49" x14ac:dyDescent="0.2">
      <c r="A228">
        <v>19</v>
      </c>
      <c r="B228" t="s">
        <v>404</v>
      </c>
      <c r="C228" t="s">
        <v>405</v>
      </c>
      <c r="D228" s="8" t="s">
        <v>406</v>
      </c>
      <c r="E228" t="s">
        <v>55</v>
      </c>
      <c r="F228" t="s">
        <v>419</v>
      </c>
      <c r="G228" s="2" t="d">
        <v>2025-11-07</v>
      </c>
      <c r="H228" s="2" t="d">
        <v>2025-11-07</v>
      </c>
      <c r="I228" s="7">
        <v>2025</v>
      </c>
      <c r="J228" t="s">
        <v>63</v>
      </c>
      <c r="K228">
        <v>11</v>
      </c>
      <c r="L228" s="2" t="d">
        <v>2025-07-01</v>
      </c>
      <c r="M228" s="2" t="d">
        <v>2025-09-30</v>
      </c>
      <c r="N228" t="s">
        <v>467</v>
      </c>
      <c r="O228" t="s">
        <v>467</v>
      </c>
      <c r="P228" s="7">
        <v>2025</v>
      </c>
      <c r="Q228" t="s">
        <v>63</v>
      </c>
      <c r="R228" t="s">
        <v>59</v>
      </c>
      <c r="S228" t="s">
        <v>417</v>
      </c>
      <c r="T228" t="s">
        <v>61</v>
      </c>
      <c r="U228">
        <v>485300000</v>
      </c>
      <c r="V228">
        <v>368300000</v>
      </c>
      <c r="W228">
        <v>51800000</v>
      </c>
      <c r="X228">
        <v>0</v>
      </c>
      <c r="Y228">
        <v>12000000</v>
      </c>
      <c r="Z228">
        <v>35800000</v>
      </c>
      <c r="AA228" s="12">
        <v>545900000</v>
      </c>
      <c r="AB228">
        <v>4900000</v>
      </c>
      <c r="AC228">
        <v>918300000</v>
      </c>
      <c r="AD228">
        <v>105000000</v>
      </c>
      <c r="AE228">
        <v>37900000</v>
      </c>
      <c r="AF228">
        <v>0</v>
      </c>
      <c r="AG228">
        <v>49600000.000000007</v>
      </c>
      <c r="AH228">
        <v>-12000000</v>
      </c>
      <c r="AI228">
        <v>17599999.999999996</v>
      </c>
      <c r="AJ228">
        <v>0</v>
      </c>
      <c r="AK228">
        <v>192100000</v>
      </c>
      <c r="AL228">
        <v>400300000</v>
      </c>
      <c r="AM228">
        <v>156300000</v>
      </c>
      <c r="AN228">
        <v>23800000</v>
      </c>
      <c r="AO228" s="12">
        <v>1894800000</v>
      </c>
      <c r="AP228">
        <v>2399999.9999999986</v>
      </c>
      <c r="AQ228">
        <v>20212000</v>
      </c>
      <c r="AR228">
        <v>16700000</v>
      </c>
      <c r="AV228" s="10" t="s">
        <v>474</v>
      </c>
      <c r="AW228">
        <v>2082</v>
      </c>
    </row>
    <row r="229" spans="1:49" x14ac:dyDescent="0.2">
      <c r="A229">
        <v>19</v>
      </c>
      <c r="B229" t="s">
        <v>404</v>
      </c>
      <c r="C229" t="s">
        <v>405</v>
      </c>
      <c r="D229" s="8" t="s">
        <v>406</v>
      </c>
      <c r="E229" t="s">
        <v>66</v>
      </c>
      <c r="F229" t="s">
        <v>420</v>
      </c>
      <c r="G229" s="2" t="d">
        <v>2026-02-26</v>
      </c>
      <c r="H229" s="2" t="d">
        <v>2026-02-26</v>
      </c>
      <c r="I229" s="7">
        <v>2025</v>
      </c>
      <c r="J229" t="s">
        <v>65</v>
      </c>
      <c r="K229">
        <v>12</v>
      </c>
      <c r="L229" s="2" t="d">
        <v>2025-10-01</v>
      </c>
      <c r="M229" s="2" t="d">
        <v>2025-12-31</v>
      </c>
      <c r="N229" t="s">
        <v>467</v>
      </c>
      <c r="O229" t="s">
        <v>467</v>
      </c>
      <c r="P229" s="7">
        <v>2025</v>
      </c>
      <c r="Q229" t="s">
        <v>65</v>
      </c>
      <c r="R229" t="s">
        <v>59</v>
      </c>
      <c r="S229" t="s">
        <v>417</v>
      </c>
      <c r="T229" t="s">
        <v>61</v>
      </c>
      <c r="U229">
        <v>432700000.00000006</v>
      </c>
      <c r="V229">
        <v>321900000.00000006</v>
      </c>
      <c r="W229">
        <v>49900000.000000007</v>
      </c>
      <c r="X229">
        <v>0</v>
      </c>
      <c r="Y229">
        <v>9000000</v>
      </c>
      <c r="Z229">
        <v>38700000</v>
      </c>
      <c r="AA229" s="12">
        <v>574300000</v>
      </c>
      <c r="AB229">
        <v>4900000</v>
      </c>
      <c r="AC229">
        <v>914300000</v>
      </c>
      <c r="AD229">
        <v>103300000</v>
      </c>
      <c r="AE229">
        <v>38000000</v>
      </c>
      <c r="AF229">
        <v>0</v>
      </c>
      <c r="AG229">
        <v>45099999.999999993</v>
      </c>
      <c r="AH229">
        <v>-16600000.000000002</v>
      </c>
      <c r="AI229">
        <v>21700000.000000007</v>
      </c>
      <c r="AJ229">
        <v>-20700000</v>
      </c>
      <c r="AK229">
        <v>158700000</v>
      </c>
      <c r="AL229">
        <v>411200000</v>
      </c>
      <c r="AM229">
        <v>122400000</v>
      </c>
      <c r="AN229">
        <v>29700000.000000004</v>
      </c>
      <c r="AO229" s="12">
        <v>1886800000</v>
      </c>
      <c r="AP229">
        <v>3100000.0000000014</v>
      </c>
      <c r="AQ229">
        <v>20405000</v>
      </c>
      <c r="AR229">
        <v>15499999.999999993</v>
      </c>
      <c r="AV229" s="10" t="s">
        <v>474</v>
      </c>
      <c r="AW229">
        <v>1859</v>
      </c>
    </row>
    <row r="230" spans="1:49" x14ac:dyDescent="0.2">
      <c r="A230">
        <v>20</v>
      </c>
      <c r="B230" t="s">
        <v>421</v>
      </c>
      <c r="C230" t="s">
        <v>434</v>
      </c>
      <c r="D230" s="8" t="s">
        <v>435</v>
      </c>
      <c r="E230" t="s">
        <v>66</v>
      </c>
      <c r="F230" t="s">
        <v>422</v>
      </c>
      <c r="G230" s="2" t="d">
        <v>2023-05-17</v>
      </c>
      <c r="H230" s="2" t="d">
        <v>2023-05-17</v>
      </c>
      <c r="I230" s="7">
        <v>2023</v>
      </c>
      <c r="J230" t="s">
        <v>65</v>
      </c>
      <c r="K230">
        <v>1</v>
      </c>
      <c r="L230" s="2" t="d">
        <v>2023-01-02</v>
      </c>
      <c r="M230" s="2" t="d">
        <v>2023-04-02</v>
      </c>
      <c r="N230" t="s">
        <v>467</v>
      </c>
      <c r="O230" t="s">
        <v>467</v>
      </c>
      <c r="P230">
        <v>2023</v>
      </c>
      <c r="Q230" t="s">
        <v>58</v>
      </c>
      <c r="R230" t="s">
        <v>59</v>
      </c>
      <c r="T230" t="s">
        <v>109</v>
      </c>
      <c r="U230">
        <v>228145000</v>
      </c>
      <c r="V230">
        <v>-192420000</v>
      </c>
      <c r="W230">
        <v>18483000</v>
      </c>
      <c r="X230">
        <v>0</v>
      </c>
      <c r="Y230">
        <v>-5904000</v>
      </c>
      <c r="Z230">
        <v>17517000</v>
      </c>
      <c r="AA230" s="12">
        <v>350016000</v>
      </c>
      <c r="AB230">
        <v>9913000</v>
      </c>
      <c r="AC230">
        <v>101731000</v>
      </c>
      <c r="AD230">
        <v>8687000</v>
      </c>
      <c r="AE230">
        <v>7566000</v>
      </c>
      <c r="AF230">
        <v>0</v>
      </c>
      <c r="AG230">
        <v>32859000</v>
      </c>
      <c r="AH230">
        <v>-16014000</v>
      </c>
      <c r="AI230">
        <v>7067000</v>
      </c>
      <c r="AJ230">
        <v>0</v>
      </c>
      <c r="AK230">
        <v>129252000</v>
      </c>
      <c r="AL230">
        <v>88777000</v>
      </c>
      <c r="AM230">
        <v>53705000</v>
      </c>
      <c r="AN230">
        <v>11613000</v>
      </c>
      <c r="AO230" s="12">
        <v>590535000</v>
      </c>
      <c r="AP230">
        <v>1061000</v>
      </c>
      <c r="AQ230">
        <v>21014905</v>
      </c>
      <c r="AR230">
        <v>-1376000</v>
      </c>
      <c r="AV230" s="10" t="s">
        <v>474</v>
      </c>
      <c r="AW230">
        <v>846</v>
      </c>
    </row>
    <row r="231" spans="1:49" x14ac:dyDescent="0.2">
      <c r="A231">
        <v>20</v>
      </c>
      <c r="B231" t="s">
        <v>421</v>
      </c>
      <c r="C231" t="s">
        <v>434</v>
      </c>
      <c r="D231" s="8" t="s">
        <v>435</v>
      </c>
      <c r="E231" t="s">
        <v>55</v>
      </c>
      <c r="F231" t="s">
        <v>423</v>
      </c>
      <c r="G231" s="2" t="d">
        <v>2023-08-02</v>
      </c>
      <c r="H231" s="2" t="d">
        <v>2023-08-02</v>
      </c>
      <c r="I231" s="7">
        <v>2024</v>
      </c>
      <c r="J231" t="s">
        <v>57</v>
      </c>
      <c r="K231">
        <v>2</v>
      </c>
      <c r="L231" s="2" t="d">
        <v>2023-04-03</v>
      </c>
      <c r="M231" s="2" t="d">
        <v>2023-07-02</v>
      </c>
      <c r="N231" t="s">
        <v>468</v>
      </c>
      <c r="O231" t="s">
        <v>468</v>
      </c>
      <c r="P231">
        <v>2023</v>
      </c>
      <c r="Q231" t="s">
        <v>63</v>
      </c>
      <c r="R231" t="s">
        <v>59</v>
      </c>
      <c r="T231" t="s">
        <v>109</v>
      </c>
      <c r="U231">
        <v>251120000</v>
      </c>
      <c r="V231">
        <v>-199129000</v>
      </c>
      <c r="W231">
        <v>32487000</v>
      </c>
      <c r="X231">
        <v>0</v>
      </c>
      <c r="Y231">
        <v>-8246000</v>
      </c>
      <c r="Z231">
        <v>31676000</v>
      </c>
      <c r="AA231" s="12">
        <v>371001000</v>
      </c>
      <c r="AB231">
        <v>9913000</v>
      </c>
      <c r="AC231">
        <v>78353000</v>
      </c>
      <c r="AD231">
        <v>9597000</v>
      </c>
      <c r="AE231">
        <v>7050000</v>
      </c>
      <c r="AF231">
        <v>0</v>
      </c>
      <c r="AG231">
        <v>34866000</v>
      </c>
      <c r="AH231">
        <v>-7873000</v>
      </c>
      <c r="AI231">
        <v>7107000</v>
      </c>
      <c r="AJ231">
        <v>0</v>
      </c>
      <c r="AK231">
        <v>138340000</v>
      </c>
      <c r="AL231">
        <v>76938000</v>
      </c>
      <c r="AM231">
        <v>55598000</v>
      </c>
      <c r="AN231">
        <v>23430000</v>
      </c>
      <c r="AO231" s="12">
        <v>591963000</v>
      </c>
      <c r="AP231">
        <v>959000</v>
      </c>
      <c r="AQ231">
        <v>21012788</v>
      </c>
      <c r="AR231">
        <v>-1148000</v>
      </c>
      <c r="AV231" s="10" t="s">
        <v>474</v>
      </c>
      <c r="AW231">
        <v>846</v>
      </c>
    </row>
    <row r="232" spans="1:49" x14ac:dyDescent="0.2">
      <c r="A232">
        <v>20</v>
      </c>
      <c r="B232" t="s">
        <v>421</v>
      </c>
      <c r="C232" t="s">
        <v>434</v>
      </c>
      <c r="D232" s="8" t="s">
        <v>435</v>
      </c>
      <c r="E232" t="s">
        <v>55</v>
      </c>
      <c r="F232" t="s">
        <v>424</v>
      </c>
      <c r="G232" s="2" t="d">
        <v>2023-11-01</v>
      </c>
      <c r="H232" s="2" t="d">
        <v>2023-11-01</v>
      </c>
      <c r="I232" s="7">
        <v>2024</v>
      </c>
      <c r="J232" t="s">
        <v>58</v>
      </c>
      <c r="K232">
        <v>3</v>
      </c>
      <c r="L232" s="2" t="d">
        <v>2023-07-03</v>
      </c>
      <c r="M232" s="2" t="d">
        <v>2023-10-01</v>
      </c>
      <c r="N232" t="s">
        <v>467</v>
      </c>
      <c r="O232" t="s">
        <v>467</v>
      </c>
      <c r="P232">
        <v>2023</v>
      </c>
      <c r="Q232" t="s">
        <v>65</v>
      </c>
      <c r="R232" t="s">
        <v>59</v>
      </c>
      <c r="T232" t="s">
        <v>109</v>
      </c>
      <c r="U232">
        <v>236526000</v>
      </c>
      <c r="V232">
        <v>-182640000</v>
      </c>
      <c r="W232">
        <v>32991000</v>
      </c>
      <c r="X232">
        <v>0</v>
      </c>
      <c r="Y232">
        <v>-8769000</v>
      </c>
      <c r="Z232">
        <v>31985000</v>
      </c>
      <c r="AA232" s="12">
        <v>382656000</v>
      </c>
      <c r="AB232">
        <v>9913000</v>
      </c>
      <c r="AC232">
        <v>49775000</v>
      </c>
      <c r="AD232">
        <v>9522000</v>
      </c>
      <c r="AE232">
        <v>10974000</v>
      </c>
      <c r="AF232">
        <v>0</v>
      </c>
      <c r="AG232">
        <v>57764000</v>
      </c>
      <c r="AH232">
        <v>-9049000</v>
      </c>
      <c r="AI232">
        <v>7399000</v>
      </c>
      <c r="AJ232">
        <v>-3355000</v>
      </c>
      <c r="AK232">
        <v>124813000</v>
      </c>
      <c r="AL232">
        <v>68500000</v>
      </c>
      <c r="AM232">
        <v>61192000</v>
      </c>
      <c r="AN232">
        <v>23216000</v>
      </c>
      <c r="AO232" s="12">
        <v>575297000</v>
      </c>
      <c r="AP232">
        <v>1260000</v>
      </c>
      <c r="AQ232">
        <v>21026428</v>
      </c>
      <c r="AR232">
        <v>-717000</v>
      </c>
      <c r="AV232" s="10" t="s">
        <v>474</v>
      </c>
      <c r="AW232">
        <v>846</v>
      </c>
    </row>
    <row r="233" spans="1:49" x14ac:dyDescent="0.2">
      <c r="A233">
        <v>20</v>
      </c>
      <c r="B233" t="s">
        <v>421</v>
      </c>
      <c r="C233" t="s">
        <v>434</v>
      </c>
      <c r="D233" s="8" t="s">
        <v>435</v>
      </c>
      <c r="E233" t="s">
        <v>55</v>
      </c>
      <c r="F233" t="s">
        <v>425</v>
      </c>
      <c r="G233" s="2" t="d">
        <v>2024-01-31</v>
      </c>
      <c r="H233" s="2" t="d">
        <v>2024-01-31</v>
      </c>
      <c r="I233" s="7">
        <v>2024</v>
      </c>
      <c r="J233" t="s">
        <v>63</v>
      </c>
      <c r="K233">
        <v>4</v>
      </c>
      <c r="L233" s="2" t="d">
        <v>2023-10-02</v>
      </c>
      <c r="M233" s="2" t="d">
        <v>2023-12-31</v>
      </c>
      <c r="N233" t="s">
        <v>467</v>
      </c>
      <c r="O233" t="s">
        <v>467</v>
      </c>
      <c r="P233">
        <v>2024</v>
      </c>
      <c r="Q233" t="s">
        <v>57</v>
      </c>
      <c r="R233" t="s">
        <v>59</v>
      </c>
      <c r="T233" t="s">
        <v>109</v>
      </c>
      <c r="U233">
        <v>208496000</v>
      </c>
      <c r="V233">
        <v>-166248000</v>
      </c>
      <c r="W233">
        <v>18474000</v>
      </c>
      <c r="X233">
        <v>0</v>
      </c>
      <c r="Y233">
        <v>-3274000</v>
      </c>
      <c r="Z233">
        <v>18159000</v>
      </c>
      <c r="AA233" s="12">
        <v>393754000</v>
      </c>
      <c r="AB233">
        <v>9913000</v>
      </c>
      <c r="AC233">
        <v>109797000</v>
      </c>
      <c r="AD233">
        <v>11107000</v>
      </c>
      <c r="AE233">
        <v>5741000</v>
      </c>
      <c r="AF233">
        <v>0</v>
      </c>
      <c r="AG233">
        <v>24980000</v>
      </c>
      <c r="AH233">
        <v>-11326000</v>
      </c>
      <c r="AI233">
        <v>8343000</v>
      </c>
      <c r="AJ233">
        <v>-74500000</v>
      </c>
      <c r="AK233">
        <v>113016000</v>
      </c>
      <c r="AL233">
        <v>68805000</v>
      </c>
      <c r="AM233">
        <v>42857000</v>
      </c>
      <c r="AN233">
        <v>14885000</v>
      </c>
      <c r="AO233" s="12">
        <v>644047000</v>
      </c>
      <c r="AP233">
        <v>1287000</v>
      </c>
      <c r="AQ233">
        <v>20907321</v>
      </c>
      <c r="AR233">
        <v>-1168000</v>
      </c>
      <c r="AV233" s="10" t="s">
        <v>474</v>
      </c>
      <c r="AW233">
        <v>846</v>
      </c>
    </row>
    <row r="234" spans="1:49" x14ac:dyDescent="0.2">
      <c r="A234">
        <v>20</v>
      </c>
      <c r="B234" t="s">
        <v>421</v>
      </c>
      <c r="C234" t="s">
        <v>434</v>
      </c>
      <c r="D234" s="8" t="s">
        <v>435</v>
      </c>
      <c r="E234" t="s">
        <v>66</v>
      </c>
      <c r="F234" t="s">
        <v>426</v>
      </c>
      <c r="G234" s="2" t="d">
        <v>2024-05-15</v>
      </c>
      <c r="H234" s="2" t="d">
        <v>2024-05-15</v>
      </c>
      <c r="I234" s="7">
        <v>2024</v>
      </c>
      <c r="J234" t="s">
        <v>65</v>
      </c>
      <c r="K234">
        <v>5</v>
      </c>
      <c r="L234" s="2" t="d">
        <v>2024-01-01</v>
      </c>
      <c r="M234" s="2" t="d">
        <v>2024-03-31</v>
      </c>
      <c r="N234" t="s">
        <v>467</v>
      </c>
      <c r="O234" t="s">
        <v>467</v>
      </c>
      <c r="P234">
        <v>2024</v>
      </c>
      <c r="Q234" t="s">
        <v>58</v>
      </c>
      <c r="R234" t="s">
        <v>59</v>
      </c>
      <c r="T234" t="s">
        <v>109</v>
      </c>
      <c r="U234">
        <v>223020000</v>
      </c>
      <c r="V234">
        <v>-177509000</v>
      </c>
      <c r="W234">
        <v>20084000</v>
      </c>
      <c r="X234">
        <v>0</v>
      </c>
      <c r="Y234">
        <v>-5493000</v>
      </c>
      <c r="Z234">
        <v>19325000</v>
      </c>
      <c r="AA234" s="12">
        <v>406026000</v>
      </c>
      <c r="AB234">
        <v>9913000</v>
      </c>
      <c r="AC234">
        <v>88818000</v>
      </c>
      <c r="AD234">
        <v>9530000</v>
      </c>
      <c r="AE234">
        <v>7153000</v>
      </c>
      <c r="AF234">
        <v>0</v>
      </c>
      <c r="AG234">
        <v>41889000</v>
      </c>
      <c r="AH234">
        <v>-11903000</v>
      </c>
      <c r="AI234">
        <v>8954000</v>
      </c>
      <c r="AJ234">
        <v>-5600000</v>
      </c>
      <c r="AK234">
        <v>114477000</v>
      </c>
      <c r="AL234">
        <v>74600000</v>
      </c>
      <c r="AM234">
        <v>56387000</v>
      </c>
      <c r="AN234">
        <v>13832000</v>
      </c>
      <c r="AO234" s="12">
        <v>657934000</v>
      </c>
      <c r="AP234">
        <v>1374000</v>
      </c>
      <c r="AQ234">
        <v>20014326</v>
      </c>
      <c r="AR234">
        <v>-1249000</v>
      </c>
      <c r="AV234" s="10" t="s">
        <v>474</v>
      </c>
      <c r="AW234">
        <v>934</v>
      </c>
    </row>
    <row r="235" spans="1:49" x14ac:dyDescent="0.2">
      <c r="A235">
        <v>20</v>
      </c>
      <c r="B235" t="s">
        <v>421</v>
      </c>
      <c r="C235" t="s">
        <v>434</v>
      </c>
      <c r="D235" s="8" t="s">
        <v>435</v>
      </c>
      <c r="E235" t="s">
        <v>55</v>
      </c>
      <c r="F235" t="s">
        <v>427</v>
      </c>
      <c r="G235" s="2" t="d">
        <v>2024-07-31</v>
      </c>
      <c r="H235" s="2" t="d">
        <v>2024-07-31</v>
      </c>
      <c r="I235" s="7">
        <v>2025</v>
      </c>
      <c r="J235" t="s">
        <v>57</v>
      </c>
      <c r="K235">
        <v>6</v>
      </c>
      <c r="L235" s="2" t="d">
        <v>2024-04-01</v>
      </c>
      <c r="M235" s="2" t="d">
        <v>2024-06-30</v>
      </c>
      <c r="N235" t="s">
        <v>468</v>
      </c>
      <c r="O235" t="s">
        <v>468</v>
      </c>
      <c r="P235">
        <v>2024</v>
      </c>
      <c r="Q235" t="s">
        <v>63</v>
      </c>
      <c r="R235" t="s">
        <v>59</v>
      </c>
      <c r="T235" t="s">
        <v>109</v>
      </c>
      <c r="U235">
        <v>255879000</v>
      </c>
      <c r="V235">
        <v>-191224000</v>
      </c>
      <c r="W235">
        <v>39791000</v>
      </c>
      <c r="X235">
        <v>0</v>
      </c>
      <c r="Y235">
        <v>-9808000</v>
      </c>
      <c r="Z235">
        <v>38687000</v>
      </c>
      <c r="AA235" s="12">
        <v>421218000</v>
      </c>
      <c r="AB235">
        <v>9913000</v>
      </c>
      <c r="AC235">
        <v>123840000</v>
      </c>
      <c r="AD235">
        <v>9816000</v>
      </c>
      <c r="AE235">
        <v>8887000</v>
      </c>
      <c r="AF235">
        <v>0</v>
      </c>
      <c r="AG235">
        <v>17586000</v>
      </c>
      <c r="AH235">
        <v>-10649000</v>
      </c>
      <c r="AI235">
        <v>9329000</v>
      </c>
      <c r="AJ235">
        <v>-25400000</v>
      </c>
      <c r="AK235">
        <v>126398000</v>
      </c>
      <c r="AL235">
        <v>81199000</v>
      </c>
      <c r="AM235">
        <v>47795000</v>
      </c>
      <c r="AN235">
        <v>28879000</v>
      </c>
      <c r="AO235" s="12">
        <v>702738000</v>
      </c>
      <c r="AP235">
        <v>1467000</v>
      </c>
      <c r="AQ235">
        <v>20914085</v>
      </c>
      <c r="AR235">
        <v>-1263000</v>
      </c>
      <c r="AV235" s="10" t="s">
        <v>474</v>
      </c>
      <c r="AW235">
        <v>934</v>
      </c>
    </row>
    <row r="236" spans="1:49" x14ac:dyDescent="0.2">
      <c r="A236">
        <v>20</v>
      </c>
      <c r="B236" t="s">
        <v>421</v>
      </c>
      <c r="C236" t="s">
        <v>434</v>
      </c>
      <c r="D236" s="8" t="s">
        <v>435</v>
      </c>
      <c r="E236" t="s">
        <v>55</v>
      </c>
      <c r="F236" t="s">
        <v>428</v>
      </c>
      <c r="G236" s="2" t="d">
        <v>2024-10-30</v>
      </c>
      <c r="H236" s="2" t="d">
        <v>2024-10-30</v>
      </c>
      <c r="I236" s="7">
        <v>2025</v>
      </c>
      <c r="J236" t="s">
        <v>58</v>
      </c>
      <c r="K236">
        <v>7</v>
      </c>
      <c r="L236" s="2" t="d">
        <v>2024-07-01</v>
      </c>
      <c r="M236" s="2" t="d">
        <v>2024-09-29</v>
      </c>
      <c r="N236" t="s">
        <v>467</v>
      </c>
      <c r="O236" t="s">
        <v>467</v>
      </c>
      <c r="P236">
        <v>2024</v>
      </c>
      <c r="Q236" t="s">
        <v>65</v>
      </c>
      <c r="R236" t="s">
        <v>59</v>
      </c>
      <c r="T236" t="s">
        <v>109</v>
      </c>
      <c r="U236">
        <v>247029000</v>
      </c>
      <c r="V236">
        <v>-186807000</v>
      </c>
      <c r="W236">
        <v>33745000</v>
      </c>
      <c r="X236">
        <v>0</v>
      </c>
      <c r="Y236">
        <v>-8873000</v>
      </c>
      <c r="Z236">
        <v>32991000</v>
      </c>
      <c r="AA236" s="12">
        <v>443372000</v>
      </c>
      <c r="AB236">
        <v>9913000</v>
      </c>
      <c r="AC236">
        <v>93862000</v>
      </c>
      <c r="AD236">
        <v>9687000</v>
      </c>
      <c r="AE236">
        <v>7526000</v>
      </c>
      <c r="AF236">
        <v>0</v>
      </c>
      <c r="AG236">
        <v>41630000</v>
      </c>
      <c r="AH236">
        <v>-10637000</v>
      </c>
      <c r="AI236">
        <v>9927000</v>
      </c>
      <c r="AJ236">
        <v>0</v>
      </c>
      <c r="AK236">
        <v>115221000</v>
      </c>
      <c r="AL236">
        <v>81565000</v>
      </c>
      <c r="AM236">
        <v>50956000</v>
      </c>
      <c r="AN236">
        <v>24118000</v>
      </c>
      <c r="AO236" s="12">
        <v>689697000</v>
      </c>
      <c r="AP236">
        <v>1832000</v>
      </c>
      <c r="AQ236">
        <v>20860418</v>
      </c>
      <c r="AR236">
        <v>-1427000</v>
      </c>
      <c r="AV236" s="10" t="s">
        <v>474</v>
      </c>
      <c r="AW236">
        <v>934</v>
      </c>
    </row>
    <row r="237" spans="1:49" x14ac:dyDescent="0.2">
      <c r="A237">
        <v>20</v>
      </c>
      <c r="B237" t="s">
        <v>421</v>
      </c>
      <c r="C237" t="s">
        <v>434</v>
      </c>
      <c r="D237" s="8" t="s">
        <v>435</v>
      </c>
      <c r="E237" t="s">
        <v>55</v>
      </c>
      <c r="F237" t="s">
        <v>429</v>
      </c>
      <c r="G237" s="2" t="d">
        <v>2024-01-29</v>
      </c>
      <c r="H237" s="2" t="d">
        <v>2024-01-29</v>
      </c>
      <c r="I237" s="7">
        <v>2025</v>
      </c>
      <c r="J237" t="s">
        <v>63</v>
      </c>
      <c r="K237">
        <v>8</v>
      </c>
      <c r="L237" s="2" t="d">
        <v>2024-09-30</v>
      </c>
      <c r="M237" s="2" t="d">
        <v>2024-12-29</v>
      </c>
      <c r="N237" t="s">
        <v>467</v>
      </c>
      <c r="O237" t="s">
        <v>467</v>
      </c>
      <c r="P237">
        <v>2025</v>
      </c>
      <c r="Q237" t="s">
        <v>57</v>
      </c>
      <c r="R237" t="s">
        <v>59</v>
      </c>
      <c r="T237" t="s">
        <v>109</v>
      </c>
      <c r="U237">
        <v>226205000</v>
      </c>
      <c r="V237">
        <v>-177781000</v>
      </c>
      <c r="W237">
        <v>21063000</v>
      </c>
      <c r="X237">
        <v>0</v>
      </c>
      <c r="Y237">
        <v>-5262000</v>
      </c>
      <c r="Z237">
        <v>20283000</v>
      </c>
      <c r="AA237" s="12">
        <v>456981000</v>
      </c>
      <c r="AB237">
        <v>9913000</v>
      </c>
      <c r="AC237">
        <v>103884000</v>
      </c>
      <c r="AD237">
        <v>10613000</v>
      </c>
      <c r="AE237">
        <v>8305000</v>
      </c>
      <c r="AF237">
        <v>0</v>
      </c>
      <c r="AG237">
        <v>21036000</v>
      </c>
      <c r="AH237">
        <v>-8722000</v>
      </c>
      <c r="AI237">
        <v>10112000</v>
      </c>
      <c r="AJ237">
        <v>-18000000</v>
      </c>
      <c r="AK237">
        <v>111521000</v>
      </c>
      <c r="AL237">
        <v>81634000</v>
      </c>
      <c r="AM237">
        <v>39981000</v>
      </c>
      <c r="AN237">
        <v>15021000</v>
      </c>
      <c r="AO237" s="12">
        <v>707240000</v>
      </c>
      <c r="AP237">
        <v>1723000</v>
      </c>
      <c r="AQ237">
        <v>20875387</v>
      </c>
      <c r="AR237">
        <v>-1216000</v>
      </c>
      <c r="AV237" s="10" t="s">
        <v>474</v>
      </c>
      <c r="AW237">
        <v>934</v>
      </c>
    </row>
    <row r="238" spans="1:49" x14ac:dyDescent="0.2">
      <c r="A238">
        <v>20</v>
      </c>
      <c r="B238" t="s">
        <v>421</v>
      </c>
      <c r="C238" t="s">
        <v>434</v>
      </c>
      <c r="D238" s="8" t="s">
        <v>435</v>
      </c>
      <c r="E238" t="s">
        <v>66</v>
      </c>
      <c r="F238" t="s">
        <v>430</v>
      </c>
      <c r="G238" s="2" t="d">
        <v>2025-05-14</v>
      </c>
      <c r="H238" s="2" t="d">
        <v>2025-05-14</v>
      </c>
      <c r="I238" s="7">
        <v>2025</v>
      </c>
      <c r="J238" t="s">
        <v>65</v>
      </c>
      <c r="K238">
        <v>9</v>
      </c>
      <c r="L238" s="2" t="d">
        <v>2024-12-30</v>
      </c>
      <c r="M238" s="2" t="d">
        <v>2025-03-30</v>
      </c>
      <c r="N238" t="s">
        <v>467</v>
      </c>
      <c r="O238" t="s">
        <v>467</v>
      </c>
      <c r="P238">
        <v>2025</v>
      </c>
      <c r="Q238" t="s">
        <v>58</v>
      </c>
      <c r="R238" t="s">
        <v>59</v>
      </c>
      <c r="T238" t="s">
        <v>109</v>
      </c>
      <c r="U238">
        <v>245318000</v>
      </c>
      <c r="V238">
        <v>-193081000</v>
      </c>
      <c r="W238">
        <v>24575000</v>
      </c>
      <c r="X238">
        <v>0</v>
      </c>
      <c r="Y238">
        <v>-6095000</v>
      </c>
      <c r="Z238">
        <v>22422000</v>
      </c>
      <c r="AA238" s="12">
        <v>460292000</v>
      </c>
      <c r="AB238">
        <v>0</v>
      </c>
      <c r="AC238">
        <v>138906000</v>
      </c>
      <c r="AD238">
        <v>10920000</v>
      </c>
      <c r="AE238">
        <v>5103000</v>
      </c>
      <c r="AF238">
        <v>0</v>
      </c>
      <c r="AG238">
        <v>30844000</v>
      </c>
      <c r="AH238">
        <v>-11088000</v>
      </c>
      <c r="AI238">
        <v>10580000</v>
      </c>
      <c r="AJ238">
        <v>-44000000</v>
      </c>
      <c r="AK238">
        <v>131795000</v>
      </c>
      <c r="AL238">
        <v>83512000</v>
      </c>
      <c r="AM238">
        <v>61195000</v>
      </c>
      <c r="AN238">
        <v>16327000</v>
      </c>
      <c r="AO238" s="12">
        <v>769867000</v>
      </c>
      <c r="AP238">
        <v>1476000</v>
      </c>
      <c r="AQ238">
        <v>20936502</v>
      </c>
      <c r="AR238">
        <v>-1526000</v>
      </c>
      <c r="AV238" s="10" t="s">
        <v>474</v>
      </c>
      <c r="AW238">
        <v>1035</v>
      </c>
    </row>
    <row r="239" spans="1:49" x14ac:dyDescent="0.2">
      <c r="A239">
        <v>20</v>
      </c>
      <c r="B239" t="s">
        <v>421</v>
      </c>
      <c r="C239" t="s">
        <v>434</v>
      </c>
      <c r="D239" s="8" t="s">
        <v>435</v>
      </c>
      <c r="E239" t="s">
        <v>55</v>
      </c>
      <c r="F239" t="s">
        <v>431</v>
      </c>
      <c r="G239" s="2" t="d">
        <v>2025-07-30</v>
      </c>
      <c r="H239" s="2" t="d">
        <v>2025-07-30</v>
      </c>
      <c r="I239" s="7">
        <v>2026</v>
      </c>
      <c r="J239" t="s">
        <v>57</v>
      </c>
      <c r="K239">
        <v>10</v>
      </c>
      <c r="L239" s="2" t="d">
        <v>2025-04-01</v>
      </c>
      <c r="M239" s="2" t="d">
        <v>2025-06-26</v>
      </c>
      <c r="N239" t="s">
        <v>468</v>
      </c>
      <c r="O239" t="s">
        <v>468</v>
      </c>
      <c r="P239">
        <v>2025</v>
      </c>
      <c r="Q239" t="s">
        <v>63</v>
      </c>
      <c r="R239" t="s">
        <v>59</v>
      </c>
      <c r="T239" t="s">
        <v>109</v>
      </c>
      <c r="U239">
        <v>293272000</v>
      </c>
      <c r="V239">
        <v>-220910000</v>
      </c>
      <c r="W239">
        <v>41333000</v>
      </c>
      <c r="X239">
        <v>0</v>
      </c>
      <c r="Y239">
        <v>-9831000</v>
      </c>
      <c r="Z239">
        <v>39006000</v>
      </c>
      <c r="AA239" s="12">
        <v>484572000</v>
      </c>
      <c r="AB239">
        <v>9812000</v>
      </c>
      <c r="AC239">
        <v>288281000</v>
      </c>
      <c r="AD239">
        <v>10572000</v>
      </c>
      <c r="AE239">
        <v>14502000</v>
      </c>
      <c r="AF239">
        <v>0</v>
      </c>
      <c r="AG239">
        <v>31490000</v>
      </c>
      <c r="AH239">
        <v>-13544000</v>
      </c>
      <c r="AI239">
        <v>12291000</v>
      </c>
      <c r="AJ239">
        <v>-151328000</v>
      </c>
      <c r="AK239">
        <v>140107000</v>
      </c>
      <c r="AL239">
        <v>95716000</v>
      </c>
      <c r="AM239">
        <v>62792000</v>
      </c>
      <c r="AN239">
        <v>29175000</v>
      </c>
      <c r="AO239" s="12">
        <v>988274000</v>
      </c>
      <c r="AP239">
        <v>2212000</v>
      </c>
      <c r="AQ239">
        <v>20810562</v>
      </c>
      <c r="AR239">
        <v>-3269000</v>
      </c>
      <c r="AV239" s="10" t="s">
        <v>474</v>
      </c>
      <c r="AW239">
        <v>1035</v>
      </c>
    </row>
    <row r="240" spans="1:49" x14ac:dyDescent="0.2">
      <c r="A240">
        <v>20</v>
      </c>
      <c r="B240" t="s">
        <v>421</v>
      </c>
      <c r="C240" t="s">
        <v>434</v>
      </c>
      <c r="D240" s="8" t="s">
        <v>435</v>
      </c>
      <c r="E240" t="s">
        <v>55</v>
      </c>
      <c r="F240" t="s">
        <v>432</v>
      </c>
      <c r="G240" s="2" t="d">
        <v>2025-10-29</v>
      </c>
      <c r="H240" s="2" t="d">
        <v>2025-10-29</v>
      </c>
      <c r="I240" s="7">
        <v>2026</v>
      </c>
      <c r="J240" t="s">
        <v>58</v>
      </c>
      <c r="K240">
        <v>11</v>
      </c>
      <c r="L240" s="2" t="d">
        <v>2025-06-27</v>
      </c>
      <c r="M240" s="2" t="d">
        <v>2025-09-28</v>
      </c>
      <c r="N240" t="s">
        <v>467</v>
      </c>
      <c r="O240" t="s">
        <v>467</v>
      </c>
      <c r="P240">
        <v>2025</v>
      </c>
      <c r="Q240" t="s">
        <v>65</v>
      </c>
      <c r="R240" t="s">
        <v>59</v>
      </c>
      <c r="T240" t="s">
        <v>109</v>
      </c>
      <c r="U240">
        <v>280434000</v>
      </c>
      <c r="V240">
        <v>-212791000</v>
      </c>
      <c r="W240">
        <v>33940000</v>
      </c>
      <c r="X240">
        <v>0</v>
      </c>
      <c r="Y240">
        <v>-8231000</v>
      </c>
      <c r="Z240">
        <v>30829000</v>
      </c>
      <c r="AA240" s="12">
        <v>506968000</v>
      </c>
      <c r="AB240">
        <v>9812000</v>
      </c>
      <c r="AC240">
        <v>268328000</v>
      </c>
      <c r="AD240">
        <v>15114000</v>
      </c>
      <c r="AE240">
        <v>10415000</v>
      </c>
      <c r="AF240">
        <v>0</v>
      </c>
      <c r="AG240">
        <v>39541000</v>
      </c>
      <c r="AH240">
        <v>-10888000</v>
      </c>
      <c r="AI240">
        <v>13262000</v>
      </c>
      <c r="AJ240">
        <v>-11180000</v>
      </c>
      <c r="AK240">
        <v>131090000</v>
      </c>
      <c r="AL240">
        <v>92905000</v>
      </c>
      <c r="AM240">
        <v>55270000</v>
      </c>
      <c r="AN240">
        <v>22598000</v>
      </c>
      <c r="AO240" s="12">
        <v>984164000</v>
      </c>
      <c r="AP240">
        <v>2375000</v>
      </c>
      <c r="AQ240">
        <v>20845744</v>
      </c>
      <c r="AR240">
        <v>-3832000</v>
      </c>
      <c r="AV240" s="10" t="s">
        <v>474</v>
      </c>
      <c r="AW240">
        <v>1035</v>
      </c>
    </row>
    <row r="241" spans="1:49" x14ac:dyDescent="0.2">
      <c r="A241">
        <v>20</v>
      </c>
      <c r="B241" t="s">
        <v>421</v>
      </c>
      <c r="C241" t="s">
        <v>434</v>
      </c>
      <c r="D241" s="8" t="s">
        <v>435</v>
      </c>
      <c r="E241" t="s">
        <v>55</v>
      </c>
      <c r="F241" t="s">
        <v>433</v>
      </c>
      <c r="G241" s="2" t="d">
        <v>2025-01-28</v>
      </c>
      <c r="H241" s="2" t="d">
        <v>2025-01-28</v>
      </c>
      <c r="I241" s="7">
        <v>2026</v>
      </c>
      <c r="J241" t="s">
        <v>63</v>
      </c>
      <c r="K241">
        <v>12</v>
      </c>
      <c r="L241" s="2" t="d">
        <v>2025-09-29</v>
      </c>
      <c r="M241" s="2" t="d">
        <v>2025-12-28</v>
      </c>
      <c r="N241" t="s">
        <v>467</v>
      </c>
      <c r="O241" t="s">
        <v>467</v>
      </c>
      <c r="P241">
        <v>2026</v>
      </c>
      <c r="Q241" t="s">
        <v>57</v>
      </c>
      <c r="R241" t="s">
        <v>59</v>
      </c>
      <c r="T241" t="s">
        <v>109</v>
      </c>
      <c r="U241">
        <v>244080000</v>
      </c>
      <c r="V241">
        <v>-193267000</v>
      </c>
      <c r="W241">
        <v>22556000</v>
      </c>
      <c r="X241">
        <v>0</v>
      </c>
      <c r="Y241">
        <v>-5269000</v>
      </c>
      <c r="Z241">
        <v>14312000</v>
      </c>
      <c r="AA241" s="12">
        <v>518906000</v>
      </c>
      <c r="AB241">
        <v>9812000</v>
      </c>
      <c r="AC241">
        <v>253375000</v>
      </c>
      <c r="AD241">
        <v>15100000</v>
      </c>
      <c r="AE241">
        <v>8209000</v>
      </c>
      <c r="AF241">
        <v>0</v>
      </c>
      <c r="AG241">
        <v>35561000</v>
      </c>
      <c r="AH241">
        <v>-14231000</v>
      </c>
      <c r="AI241">
        <v>13410000</v>
      </c>
      <c r="AJ241">
        <v>-4600000</v>
      </c>
      <c r="AK241">
        <v>123742000</v>
      </c>
      <c r="AL241">
        <v>85933000</v>
      </c>
      <c r="AM241">
        <v>46384000</v>
      </c>
      <c r="AN241">
        <v>14312000</v>
      </c>
      <c r="AO241" s="12">
        <v>976526000</v>
      </c>
      <c r="AP241">
        <v>1851000</v>
      </c>
      <c r="AQ241">
        <v>20843980</v>
      </c>
      <c r="AR241">
        <v>-3434000</v>
      </c>
      <c r="AV241" s="10" t="s">
        <v>474</v>
      </c>
      <c r="AW241">
        <v>1035</v>
      </c>
    </row>
  </sheetData>
  <phoneticPr fontId="21" type="noConversion"/>
  <pageMargins left="0.75" right="0.75" top="1" bottom="1" header="0.5" footer="0.5"/>
  <pageSetup orientation="portrait" horizontalDpi="0" verticalDpi="0"/>
</worksheet>
</file>

<file path=xl/worksheets/sheet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6248E1-909F-7545-882C-4815DBD98E94}">
  <dimension ref="A2:AG262"/>
  <sheetViews>
    <sheetView topLeftCell="O15" workbookViewId="0">
      <selection activeCell="AE37" sqref="AE37:AG48"/>
    </sheetView>
  </sheetViews>
  <sheetFormatPr baseColWidth="10" defaultRowHeight="16" x14ac:dyDescent="0.2"/>
  <cols>
    <col min="3" max="3" width="8.6640625" bestFit="1" customWidth="1"/>
    <col min="4" max="4" width="28" customWidth="1"/>
    <col min="5" max="5" width="13.1640625" bestFit="1" customWidth="1"/>
    <col min="6" max="6" width="13.6640625" bestFit="1" customWidth="1"/>
    <col min="7" max="7" width="14.6640625" bestFit="1" customWidth="1"/>
    <col min="8" max="8" width="13.1640625" bestFit="1" customWidth="1"/>
    <col min="9" max="9" width="12.6640625" bestFit="1" customWidth="1"/>
    <col min="10" max="21" width="13.6640625" bestFit="1" customWidth="1"/>
    <col min="22" max="29" width="12.6640625" bestFit="1" customWidth="1"/>
    <col min="31" max="31" width="13.6640625" bestFit="1" customWidth="1"/>
    <col min="32" max="32" width="14.6640625" bestFit="1" customWidth="1"/>
    <col min="33" max="33" width="13.5" bestFit="1" customWidth="1"/>
  </cols>
  <sheetData>
    <row r="2" spans="1:33" x14ac:dyDescent="0.2">
      <c r="C2" t="s">
        <v>52</v>
      </c>
    </row>
    <row r="3" spans="1:33" x14ac:dyDescent="0.2">
      <c r="C3" s="6" t="s">
        <v>107</v>
      </c>
      <c r="D3" s="6" t="s">
        <v>439</v>
      </c>
      <c r="E3" s="6" t="s">
        <v>440</v>
      </c>
      <c r="F3" s="6" t="s">
        <v>471</v>
      </c>
      <c r="G3" s="6" t="s">
        <v>441</v>
      </c>
      <c r="H3" s="6" t="s">
        <v>442</v>
      </c>
      <c r="I3" s="15"/>
      <c r="J3" s="6" t="s">
        <v>443</v>
      </c>
      <c r="K3" s="6" t="s">
        <v>444</v>
      </c>
      <c r="L3" s="6" t="s">
        <v>445</v>
      </c>
      <c r="M3" s="6" t="s">
        <v>446</v>
      </c>
      <c r="N3" s="6" t="s">
        <v>447</v>
      </c>
      <c r="O3" s="6" t="s">
        <v>448</v>
      </c>
      <c r="P3" s="6" t="s">
        <v>449</v>
      </c>
      <c r="Q3" s="6" t="s">
        <v>450</v>
      </c>
      <c r="R3" s="6" t="s">
        <v>451</v>
      </c>
      <c r="S3" s="6" t="s">
        <v>452</v>
      </c>
      <c r="T3" s="6" t="s">
        <v>453</v>
      </c>
      <c r="U3" s="6" t="s">
        <v>454</v>
      </c>
      <c r="V3" s="6" t="s">
        <v>455</v>
      </c>
      <c r="W3" s="6" t="s">
        <v>456</v>
      </c>
      <c r="X3" s="6" t="s">
        <v>457</v>
      </c>
      <c r="Y3" s="6" t="s">
        <v>458</v>
      </c>
      <c r="Z3" s="6" t="s">
        <v>459</v>
      </c>
      <c r="AA3" s="6" t="s">
        <v>460</v>
      </c>
      <c r="AB3" s="6" t="s">
        <v>461</v>
      </c>
      <c r="AC3" s="6" t="s">
        <v>462</v>
      </c>
      <c r="AD3" s="15"/>
      <c r="AE3" s="6" t="s">
        <v>106</v>
      </c>
      <c r="AF3" s="6" t="s">
        <v>105</v>
      </c>
      <c r="AG3" s="6" t="s">
        <v>463</v>
      </c>
    </row>
    <row r="4" spans="1:33" x14ac:dyDescent="0.2">
      <c r="C4" s="16" t="s">
        <v>464</v>
      </c>
      <c r="J4" s="17">
        <v>20</v>
      </c>
      <c r="K4" s="17">
        <v>19</v>
      </c>
      <c r="L4" s="17">
        <v>18</v>
      </c>
      <c r="M4" s="17">
        <v>17</v>
      </c>
      <c r="N4" s="17">
        <v>16</v>
      </c>
      <c r="O4" s="17">
        <v>15</v>
      </c>
      <c r="P4" s="17">
        <v>14</v>
      </c>
      <c r="Q4" s="17">
        <v>13</v>
      </c>
      <c r="R4" s="17">
        <v>12</v>
      </c>
      <c r="S4" s="17">
        <v>11</v>
      </c>
      <c r="T4" s="17">
        <v>10</v>
      </c>
      <c r="U4" s="17">
        <v>9</v>
      </c>
      <c r="V4" s="17">
        <v>8</v>
      </c>
      <c r="W4" s="17">
        <v>7</v>
      </c>
      <c r="X4" s="17">
        <v>6</v>
      </c>
      <c r="Y4" s="17">
        <v>5</v>
      </c>
      <c r="Z4" s="17">
        <v>4</v>
      </c>
      <c r="AA4" s="17">
        <v>3</v>
      </c>
      <c r="AB4" s="17">
        <v>2</v>
      </c>
      <c r="AC4" s="17">
        <v>1</v>
      </c>
    </row>
    <row r="5" spans="1:33" x14ac:dyDescent="0.2">
      <c r="A5">
        <v>1</v>
      </c>
      <c r="B5" t="s">
        <v>52</v>
      </c>
      <c r="C5" s="18" t="s">
        <v>484</v>
      </c>
      <c r="G5" s="23">
        <f t="shared" ref="G5:G12" si="0">$G$13</f>
        <v>20</v>
      </c>
      <c r="H5" s="4">
        <v>1153000000</v>
      </c>
      <c r="I5" s="20">
        <f>+H5/20</f>
        <v>57650000</v>
      </c>
      <c r="J5" s="20">
        <f>+H5-$I5</f>
        <v>1095350000</v>
      </c>
      <c r="K5" s="20">
        <f>+J5-$I5</f>
        <v>1037700000</v>
      </c>
      <c r="L5" s="20">
        <f t="shared" ref="L5:AC5" si="1">+K5-$I5</f>
        <v>980050000</v>
      </c>
      <c r="M5" s="20">
        <f t="shared" si="1"/>
        <v>922400000</v>
      </c>
      <c r="N5" s="20">
        <f t="shared" si="1"/>
        <v>864750000</v>
      </c>
      <c r="O5" s="20">
        <f t="shared" si="1"/>
        <v>807100000</v>
      </c>
      <c r="P5" s="20">
        <f t="shared" si="1"/>
        <v>749450000</v>
      </c>
      <c r="Q5" s="20">
        <f t="shared" si="1"/>
        <v>691800000</v>
      </c>
      <c r="R5" s="20">
        <f t="shared" si="1"/>
        <v>634150000</v>
      </c>
      <c r="S5" s="20">
        <f t="shared" si="1"/>
        <v>576500000</v>
      </c>
      <c r="T5" s="20">
        <f t="shared" si="1"/>
        <v>518850000</v>
      </c>
      <c r="U5" s="20">
        <f t="shared" si="1"/>
        <v>461200000</v>
      </c>
      <c r="V5" s="20">
        <f t="shared" si="1"/>
        <v>403550000</v>
      </c>
      <c r="W5" s="20">
        <f t="shared" si="1"/>
        <v>345900000</v>
      </c>
      <c r="X5" s="20">
        <f t="shared" si="1"/>
        <v>288250000</v>
      </c>
      <c r="Y5" s="20">
        <f t="shared" si="1"/>
        <v>230600000</v>
      </c>
      <c r="Z5" s="20">
        <f t="shared" si="1"/>
        <v>172950000</v>
      </c>
      <c r="AA5" s="20">
        <f t="shared" si="1"/>
        <v>115300000</v>
      </c>
      <c r="AB5" s="20">
        <f t="shared" si="1"/>
        <v>57650000</v>
      </c>
      <c r="AC5" s="20">
        <f t="shared" si="1"/>
        <v>0</v>
      </c>
      <c r="AE5" s="21">
        <f>SUM(I5)</f>
        <v>57650000</v>
      </c>
      <c r="AF5" s="21">
        <f>SUM(J5:J5)</f>
        <v>1095350000</v>
      </c>
      <c r="AG5" s="21">
        <f t="shared" ref="AG5:AG12" si="2">H5-AE5</f>
        <v>1095350000</v>
      </c>
    </row>
    <row r="6" spans="1:33" x14ac:dyDescent="0.2">
      <c r="A6">
        <v>2</v>
      </c>
      <c r="B6" t="s">
        <v>52</v>
      </c>
      <c r="C6" s="18" t="s">
        <v>485</v>
      </c>
      <c r="G6" s="23">
        <f t="shared" si="0"/>
        <v>20</v>
      </c>
      <c r="H6" s="4">
        <v>1245000000</v>
      </c>
      <c r="I6" s="20">
        <f t="shared" ref="I6:I24" si="3">+H6/20</f>
        <v>62250000</v>
      </c>
      <c r="J6" s="20"/>
      <c r="K6" s="20">
        <f>+H6-I6</f>
        <v>1182750000</v>
      </c>
      <c r="L6" s="20">
        <f>+K6-$I6</f>
        <v>1120500000</v>
      </c>
      <c r="M6" s="20">
        <f t="shared" ref="M6:AC6" si="4">+L6-$I6</f>
        <v>1058250000</v>
      </c>
      <c r="N6" s="20">
        <f t="shared" si="4"/>
        <v>996000000</v>
      </c>
      <c r="O6" s="20">
        <f t="shared" si="4"/>
        <v>933750000</v>
      </c>
      <c r="P6" s="20">
        <f t="shared" si="4"/>
        <v>871500000</v>
      </c>
      <c r="Q6" s="20">
        <f t="shared" si="4"/>
        <v>809250000</v>
      </c>
      <c r="R6" s="20">
        <f t="shared" si="4"/>
        <v>747000000</v>
      </c>
      <c r="S6" s="20">
        <f t="shared" si="4"/>
        <v>684750000</v>
      </c>
      <c r="T6" s="20">
        <f t="shared" si="4"/>
        <v>622500000</v>
      </c>
      <c r="U6" s="20">
        <f t="shared" si="4"/>
        <v>560250000</v>
      </c>
      <c r="V6" s="20">
        <f t="shared" si="4"/>
        <v>498000000</v>
      </c>
      <c r="W6" s="20">
        <f t="shared" si="4"/>
        <v>435750000</v>
      </c>
      <c r="X6" s="20">
        <f t="shared" si="4"/>
        <v>373500000</v>
      </c>
      <c r="Y6" s="20">
        <f t="shared" si="4"/>
        <v>311250000</v>
      </c>
      <c r="Z6" s="20">
        <f t="shared" si="4"/>
        <v>249000000</v>
      </c>
      <c r="AA6" s="20">
        <f t="shared" si="4"/>
        <v>186750000</v>
      </c>
      <c r="AB6" s="20">
        <f t="shared" si="4"/>
        <v>124500000</v>
      </c>
      <c r="AC6" s="20">
        <f t="shared" si="4"/>
        <v>62250000</v>
      </c>
      <c r="AE6" s="21">
        <f>SUM(I5:I6)</f>
        <v>119900000</v>
      </c>
      <c r="AF6" s="21">
        <f>SUM(K5:K6)</f>
        <v>2220450000</v>
      </c>
      <c r="AG6" s="21">
        <f t="shared" si="2"/>
        <v>1125100000</v>
      </c>
    </row>
    <row r="7" spans="1:33" x14ac:dyDescent="0.2">
      <c r="A7">
        <v>3</v>
      </c>
      <c r="B7" t="s">
        <v>52</v>
      </c>
      <c r="C7" s="18" t="s">
        <v>486</v>
      </c>
      <c r="G7" s="23">
        <f t="shared" si="0"/>
        <v>20</v>
      </c>
      <c r="H7" s="4">
        <v>1403000000</v>
      </c>
      <c r="I7" s="20">
        <f t="shared" si="3"/>
        <v>70150000</v>
      </c>
      <c r="J7" s="20"/>
      <c r="K7" s="20"/>
      <c r="L7" s="20">
        <f>+H7-I7</f>
        <v>1332850000</v>
      </c>
      <c r="M7" s="20">
        <f>+L7-$I7</f>
        <v>1262700000</v>
      </c>
      <c r="N7" s="20">
        <f t="shared" ref="N7:AC7" si="5">+M7-$I7</f>
        <v>1192550000</v>
      </c>
      <c r="O7" s="20">
        <f t="shared" si="5"/>
        <v>1122400000</v>
      </c>
      <c r="P7" s="20">
        <f t="shared" si="5"/>
        <v>1052250000</v>
      </c>
      <c r="Q7" s="20">
        <f t="shared" si="5"/>
        <v>982100000</v>
      </c>
      <c r="R7" s="20">
        <f t="shared" si="5"/>
        <v>911950000</v>
      </c>
      <c r="S7" s="20">
        <f t="shared" si="5"/>
        <v>841800000</v>
      </c>
      <c r="T7" s="20">
        <f t="shared" si="5"/>
        <v>771650000</v>
      </c>
      <c r="U7" s="20">
        <f t="shared" si="5"/>
        <v>701500000</v>
      </c>
      <c r="V7" s="20">
        <f t="shared" si="5"/>
        <v>631350000</v>
      </c>
      <c r="W7" s="20">
        <f t="shared" si="5"/>
        <v>561200000</v>
      </c>
      <c r="X7" s="20">
        <f t="shared" si="5"/>
        <v>491050000</v>
      </c>
      <c r="Y7" s="20">
        <f t="shared" si="5"/>
        <v>420900000</v>
      </c>
      <c r="Z7" s="20">
        <f t="shared" si="5"/>
        <v>350750000</v>
      </c>
      <c r="AA7" s="20">
        <f t="shared" si="5"/>
        <v>280600000</v>
      </c>
      <c r="AB7" s="20">
        <f t="shared" si="5"/>
        <v>210450000</v>
      </c>
      <c r="AC7" s="20">
        <f t="shared" si="5"/>
        <v>140300000</v>
      </c>
      <c r="AE7" s="21">
        <f>SUM(I5:I7)</f>
        <v>190050000</v>
      </c>
      <c r="AF7" s="21">
        <f>SUM(L5:L7)</f>
        <v>3433400000</v>
      </c>
      <c r="AG7" s="21">
        <f t="shared" si="2"/>
        <v>1212950000</v>
      </c>
    </row>
    <row r="8" spans="1:33" x14ac:dyDescent="0.2">
      <c r="A8">
        <v>4</v>
      </c>
      <c r="B8" t="s">
        <v>52</v>
      </c>
      <c r="C8" s="18" t="s">
        <v>487</v>
      </c>
      <c r="G8" s="23">
        <f t="shared" si="0"/>
        <v>20</v>
      </c>
      <c r="H8" s="4">
        <v>1466000000</v>
      </c>
      <c r="I8" s="20">
        <f t="shared" si="3"/>
        <v>73300000</v>
      </c>
      <c r="J8" s="20"/>
      <c r="K8" s="20"/>
      <c r="L8" s="20"/>
      <c r="M8" s="20">
        <f>+H8-I8</f>
        <v>1392700000</v>
      </c>
      <c r="N8" s="20">
        <f>+M8-$I8</f>
        <v>1319400000</v>
      </c>
      <c r="O8" s="20">
        <f t="shared" ref="O8:AC23" si="6">+N8-$I8</f>
        <v>1246100000</v>
      </c>
      <c r="P8" s="20">
        <f t="shared" si="6"/>
        <v>1172800000</v>
      </c>
      <c r="Q8" s="20">
        <f t="shared" si="6"/>
        <v>1099500000</v>
      </c>
      <c r="R8" s="20">
        <f t="shared" si="6"/>
        <v>1026200000</v>
      </c>
      <c r="S8" s="20">
        <f t="shared" si="6"/>
        <v>952900000</v>
      </c>
      <c r="T8" s="20">
        <f t="shared" si="6"/>
        <v>879600000</v>
      </c>
      <c r="U8" s="20">
        <f t="shared" si="6"/>
        <v>806300000</v>
      </c>
      <c r="V8" s="20">
        <f t="shared" si="6"/>
        <v>733000000</v>
      </c>
      <c r="W8" s="20">
        <f t="shared" si="6"/>
        <v>659700000</v>
      </c>
      <c r="X8" s="20">
        <f t="shared" si="6"/>
        <v>586400000</v>
      </c>
      <c r="Y8" s="20">
        <f t="shared" si="6"/>
        <v>513100000</v>
      </c>
      <c r="Z8" s="20">
        <f t="shared" si="6"/>
        <v>439800000</v>
      </c>
      <c r="AA8" s="20">
        <f t="shared" si="6"/>
        <v>366500000</v>
      </c>
      <c r="AB8" s="20">
        <f t="shared" si="6"/>
        <v>293200000</v>
      </c>
      <c r="AC8" s="20">
        <f t="shared" si="6"/>
        <v>219900000</v>
      </c>
      <c r="AE8" s="21">
        <f>SUM(I5:I8)</f>
        <v>263350000</v>
      </c>
      <c r="AF8" s="21">
        <f>SUM(M5:M8)</f>
        <v>4636050000</v>
      </c>
      <c r="AG8" s="21">
        <f t="shared" si="2"/>
        <v>1202650000</v>
      </c>
    </row>
    <row r="9" spans="1:33" x14ac:dyDescent="0.2">
      <c r="A9">
        <v>5</v>
      </c>
      <c r="B9" t="s">
        <v>52</v>
      </c>
      <c r="C9" s="18" t="s">
        <v>104</v>
      </c>
      <c r="G9" s="23">
        <f t="shared" si="0"/>
        <v>20</v>
      </c>
      <c r="H9" s="4">
        <v>1618000000</v>
      </c>
      <c r="I9" s="20">
        <f t="shared" si="3"/>
        <v>80900000</v>
      </c>
      <c r="J9" s="20"/>
      <c r="K9" s="20"/>
      <c r="L9" s="20"/>
      <c r="M9" s="20"/>
      <c r="N9" s="20">
        <f>+H9-I9</f>
        <v>1537100000</v>
      </c>
      <c r="O9" s="20">
        <f t="shared" si="6"/>
        <v>1456200000</v>
      </c>
      <c r="P9" s="20">
        <f t="shared" si="6"/>
        <v>1375300000</v>
      </c>
      <c r="Q9" s="20">
        <f t="shared" si="6"/>
        <v>1294400000</v>
      </c>
      <c r="R9" s="20">
        <f t="shared" si="6"/>
        <v>1213500000</v>
      </c>
      <c r="S9" s="20">
        <f t="shared" si="6"/>
        <v>1132600000</v>
      </c>
      <c r="T9" s="20">
        <f t="shared" si="6"/>
        <v>1051700000</v>
      </c>
      <c r="U9" s="20">
        <f t="shared" si="6"/>
        <v>970800000</v>
      </c>
      <c r="V9" s="20">
        <f t="shared" si="6"/>
        <v>889900000</v>
      </c>
      <c r="W9" s="20">
        <f t="shared" si="6"/>
        <v>809000000</v>
      </c>
      <c r="X9" s="20">
        <f t="shared" si="6"/>
        <v>728100000</v>
      </c>
      <c r="Y9" s="20">
        <f t="shared" si="6"/>
        <v>647200000</v>
      </c>
      <c r="Z9" s="20">
        <f t="shared" si="6"/>
        <v>566300000</v>
      </c>
      <c r="AA9" s="20">
        <f t="shared" si="6"/>
        <v>485400000</v>
      </c>
      <c r="AB9" s="20">
        <f t="shared" si="6"/>
        <v>404500000</v>
      </c>
      <c r="AC9" s="20">
        <f t="shared" si="6"/>
        <v>323600000</v>
      </c>
      <c r="AE9" s="21">
        <f>SUM(I5:I9)</f>
        <v>344250000</v>
      </c>
      <c r="AF9" s="21">
        <f>SUM(N5:N9)</f>
        <v>5909800000</v>
      </c>
      <c r="AG9" s="21">
        <f t="shared" si="2"/>
        <v>1273750000</v>
      </c>
    </row>
    <row r="10" spans="1:33" x14ac:dyDescent="0.2">
      <c r="A10">
        <v>6</v>
      </c>
      <c r="B10" t="s">
        <v>52</v>
      </c>
      <c r="C10" s="18" t="s">
        <v>103</v>
      </c>
      <c r="G10" s="23">
        <f t="shared" si="0"/>
        <v>20</v>
      </c>
      <c r="H10" s="4">
        <v>1824000000</v>
      </c>
      <c r="I10" s="20">
        <f t="shared" si="3"/>
        <v>91200000</v>
      </c>
      <c r="J10" s="20"/>
      <c r="K10" s="20"/>
      <c r="L10" s="20"/>
      <c r="M10" s="20"/>
      <c r="N10" s="20"/>
      <c r="O10" s="20">
        <f>+H10-I10</f>
        <v>1732800000</v>
      </c>
      <c r="P10" s="20">
        <f t="shared" si="6"/>
        <v>1641600000</v>
      </c>
      <c r="Q10" s="20">
        <f t="shared" si="6"/>
        <v>1550400000</v>
      </c>
      <c r="R10" s="20">
        <f t="shared" si="6"/>
        <v>1459200000</v>
      </c>
      <c r="S10" s="20">
        <f t="shared" si="6"/>
        <v>1368000000</v>
      </c>
      <c r="T10" s="20">
        <f t="shared" si="6"/>
        <v>1276800000</v>
      </c>
      <c r="U10" s="20">
        <f t="shared" si="6"/>
        <v>1185600000</v>
      </c>
      <c r="V10" s="20">
        <f t="shared" si="6"/>
        <v>1094400000</v>
      </c>
      <c r="W10" s="20">
        <f t="shared" si="6"/>
        <v>1003200000</v>
      </c>
      <c r="X10" s="20">
        <f t="shared" si="6"/>
        <v>912000000</v>
      </c>
      <c r="Y10" s="20">
        <f t="shared" si="6"/>
        <v>820800000</v>
      </c>
      <c r="Z10" s="20">
        <f t="shared" si="6"/>
        <v>729600000</v>
      </c>
      <c r="AA10" s="20">
        <f t="shared" si="6"/>
        <v>638400000</v>
      </c>
      <c r="AB10" s="20">
        <f t="shared" si="6"/>
        <v>547200000</v>
      </c>
      <c r="AC10" s="20">
        <f t="shared" si="6"/>
        <v>456000000</v>
      </c>
      <c r="AE10" s="21">
        <f>SUM(I5:I10)</f>
        <v>435450000</v>
      </c>
      <c r="AF10" s="21">
        <f>SUM(O5:O10)</f>
        <v>7298350000</v>
      </c>
      <c r="AG10" s="21">
        <f t="shared" si="2"/>
        <v>1388550000</v>
      </c>
    </row>
    <row r="11" spans="1:33" x14ac:dyDescent="0.2">
      <c r="A11">
        <v>7</v>
      </c>
      <c r="B11" t="s">
        <v>52</v>
      </c>
      <c r="C11" s="18" t="s">
        <v>102</v>
      </c>
      <c r="G11" s="23">
        <f t="shared" si="0"/>
        <v>20</v>
      </c>
      <c r="H11" s="4">
        <v>1945000000</v>
      </c>
      <c r="I11" s="20">
        <f t="shared" si="3"/>
        <v>97250000</v>
      </c>
      <c r="J11" s="20"/>
      <c r="K11" s="20"/>
      <c r="L11" s="20"/>
      <c r="M11" s="20"/>
      <c r="N11" s="20"/>
      <c r="O11" s="20"/>
      <c r="P11" s="20">
        <f>+H11-I11</f>
        <v>1847750000</v>
      </c>
      <c r="Q11" s="20">
        <f t="shared" si="6"/>
        <v>1750500000</v>
      </c>
      <c r="R11" s="20">
        <f t="shared" si="6"/>
        <v>1653250000</v>
      </c>
      <c r="S11" s="20">
        <f t="shared" si="6"/>
        <v>1556000000</v>
      </c>
      <c r="T11" s="20">
        <f t="shared" si="6"/>
        <v>1458750000</v>
      </c>
      <c r="U11" s="20">
        <f t="shared" si="6"/>
        <v>1361500000</v>
      </c>
      <c r="V11" s="20">
        <f t="shared" si="6"/>
        <v>1264250000</v>
      </c>
      <c r="W11" s="20">
        <f t="shared" si="6"/>
        <v>1167000000</v>
      </c>
      <c r="X11" s="20">
        <f t="shared" si="6"/>
        <v>1069750000</v>
      </c>
      <c r="Y11" s="20">
        <f t="shared" si="6"/>
        <v>972500000</v>
      </c>
      <c r="Z11" s="20">
        <f t="shared" si="6"/>
        <v>875250000</v>
      </c>
      <c r="AA11" s="20">
        <f t="shared" si="6"/>
        <v>778000000</v>
      </c>
      <c r="AB11" s="20">
        <f t="shared" si="6"/>
        <v>680750000</v>
      </c>
      <c r="AC11" s="20">
        <f t="shared" si="6"/>
        <v>583500000</v>
      </c>
      <c r="AE11" s="21">
        <f>SUM(I5:I11)</f>
        <v>532700000</v>
      </c>
      <c r="AF11" s="21">
        <f>SUM(P5:P11)</f>
        <v>8710650000</v>
      </c>
      <c r="AG11" s="21">
        <f t="shared" si="2"/>
        <v>1412300000</v>
      </c>
    </row>
    <row r="12" spans="1:33" x14ac:dyDescent="0.2">
      <c r="A12">
        <v>8</v>
      </c>
      <c r="B12" t="s">
        <v>52</v>
      </c>
      <c r="C12" s="18" t="s">
        <v>101</v>
      </c>
      <c r="G12" s="23">
        <f t="shared" si="0"/>
        <v>20</v>
      </c>
      <c r="H12" s="4">
        <v>1952000000</v>
      </c>
      <c r="I12" s="20">
        <f t="shared" si="3"/>
        <v>97600000</v>
      </c>
      <c r="J12" s="20"/>
      <c r="K12" s="20"/>
      <c r="L12" s="20"/>
      <c r="M12" s="20"/>
      <c r="N12" s="20"/>
      <c r="O12" s="20"/>
      <c r="P12" s="20"/>
      <c r="Q12" s="20">
        <f>+H12-I12</f>
        <v>1854400000</v>
      </c>
      <c r="R12" s="20">
        <f t="shared" si="6"/>
        <v>1756800000</v>
      </c>
      <c r="S12" s="20">
        <f t="shared" si="6"/>
        <v>1659200000</v>
      </c>
      <c r="T12" s="20">
        <f t="shared" si="6"/>
        <v>1561600000</v>
      </c>
      <c r="U12" s="20">
        <f t="shared" si="6"/>
        <v>1464000000</v>
      </c>
      <c r="V12" s="20">
        <f t="shared" si="6"/>
        <v>1366400000</v>
      </c>
      <c r="W12" s="20">
        <f t="shared" si="6"/>
        <v>1268800000</v>
      </c>
      <c r="X12" s="20">
        <f t="shared" si="6"/>
        <v>1171200000</v>
      </c>
      <c r="Y12" s="20">
        <f t="shared" si="6"/>
        <v>1073600000</v>
      </c>
      <c r="Z12" s="20">
        <f t="shared" si="6"/>
        <v>976000000</v>
      </c>
      <c r="AA12" s="20">
        <f t="shared" si="6"/>
        <v>878400000</v>
      </c>
      <c r="AB12" s="20">
        <f t="shared" si="6"/>
        <v>780800000</v>
      </c>
      <c r="AC12" s="20">
        <f t="shared" si="6"/>
        <v>683200000</v>
      </c>
      <c r="AE12" s="21">
        <f>SUM(I5:I12)</f>
        <v>630300000</v>
      </c>
      <c r="AF12" s="21">
        <f>SUM(Q5:Q12)</f>
        <v>10032350000</v>
      </c>
      <c r="AG12" s="21">
        <f t="shared" si="2"/>
        <v>1321700000</v>
      </c>
    </row>
    <row r="13" spans="1:33" x14ac:dyDescent="0.2">
      <c r="A13">
        <v>9</v>
      </c>
      <c r="B13" t="s">
        <v>52</v>
      </c>
      <c r="C13" s="18" t="s">
        <v>100</v>
      </c>
      <c r="D13" s="4">
        <v>3924000000</v>
      </c>
      <c r="E13" s="4">
        <v>5268000000</v>
      </c>
      <c r="F13" s="4">
        <v>7339000000</v>
      </c>
      <c r="G13" s="19">
        <v>20</v>
      </c>
      <c r="H13" s="4">
        <v>1875000000</v>
      </c>
      <c r="I13" s="20">
        <f t="shared" si="3"/>
        <v>93750000</v>
      </c>
      <c r="J13" s="20"/>
      <c r="K13" s="20"/>
      <c r="L13" s="20"/>
      <c r="M13" s="20"/>
      <c r="N13" s="20"/>
      <c r="O13" s="20"/>
      <c r="P13" s="20"/>
      <c r="Q13" s="20"/>
      <c r="R13" s="20">
        <f>+H13-I13</f>
        <v>1781250000</v>
      </c>
      <c r="S13" s="20">
        <f t="shared" si="6"/>
        <v>1687500000</v>
      </c>
      <c r="T13" s="20">
        <f t="shared" si="6"/>
        <v>1593750000</v>
      </c>
      <c r="U13" s="20">
        <f t="shared" si="6"/>
        <v>1500000000</v>
      </c>
      <c r="V13" s="20">
        <f t="shared" si="6"/>
        <v>1406250000</v>
      </c>
      <c r="W13" s="20">
        <f t="shared" si="6"/>
        <v>1312500000</v>
      </c>
      <c r="X13" s="20">
        <f t="shared" si="6"/>
        <v>1218750000</v>
      </c>
      <c r="Y13" s="20">
        <f t="shared" si="6"/>
        <v>1125000000</v>
      </c>
      <c r="Z13" s="20">
        <f t="shared" si="6"/>
        <v>1031250000</v>
      </c>
      <c r="AA13" s="20">
        <f t="shared" si="6"/>
        <v>937500000</v>
      </c>
      <c r="AB13" s="20">
        <f t="shared" si="6"/>
        <v>843750000</v>
      </c>
      <c r="AC13" s="20">
        <f t="shared" si="6"/>
        <v>750000000</v>
      </c>
      <c r="AE13" s="21">
        <f>SUM(I5:I13)</f>
        <v>724050000</v>
      </c>
      <c r="AF13" s="21">
        <f>SUM(R5:R13)</f>
        <v>11183300000</v>
      </c>
      <c r="AG13" s="21">
        <f t="shared" ref="AG13:AG24" si="7">H13-AE13</f>
        <v>1150950000</v>
      </c>
    </row>
    <row r="14" spans="1:33" x14ac:dyDescent="0.2">
      <c r="A14">
        <v>10</v>
      </c>
      <c r="B14" t="s">
        <v>52</v>
      </c>
      <c r="C14" s="18" t="s">
        <v>99</v>
      </c>
      <c r="D14" s="22">
        <f>$D13</f>
        <v>3924000000</v>
      </c>
      <c r="E14" s="22">
        <f>$E13</f>
        <v>5268000000</v>
      </c>
      <c r="F14" s="22">
        <f>$F13</f>
        <v>7339000000</v>
      </c>
      <c r="G14" s="23">
        <f>$G$13</f>
        <v>20</v>
      </c>
      <c r="H14" s="4">
        <v>2040000000</v>
      </c>
      <c r="I14" s="20">
        <f t="shared" si="3"/>
        <v>102000000</v>
      </c>
      <c r="J14" s="20"/>
      <c r="K14" s="20"/>
      <c r="L14" s="20"/>
      <c r="M14" s="20"/>
      <c r="N14" s="20"/>
      <c r="O14" s="20"/>
      <c r="P14" s="20"/>
      <c r="Q14" s="20"/>
      <c r="R14" s="20"/>
      <c r="S14" s="20">
        <f>+H14-I14</f>
        <v>1938000000</v>
      </c>
      <c r="T14" s="20">
        <f t="shared" si="6"/>
        <v>1836000000</v>
      </c>
      <c r="U14" s="20">
        <f t="shared" si="6"/>
        <v>1734000000</v>
      </c>
      <c r="V14" s="20">
        <f t="shared" si="6"/>
        <v>1632000000</v>
      </c>
      <c r="W14" s="20">
        <f t="shared" si="6"/>
        <v>1530000000</v>
      </c>
      <c r="X14" s="20">
        <f t="shared" si="6"/>
        <v>1428000000</v>
      </c>
      <c r="Y14" s="20">
        <f t="shared" si="6"/>
        <v>1326000000</v>
      </c>
      <c r="Z14" s="20">
        <f t="shared" si="6"/>
        <v>1224000000</v>
      </c>
      <c r="AA14" s="20">
        <f t="shared" si="6"/>
        <v>1122000000</v>
      </c>
      <c r="AB14" s="20">
        <f t="shared" si="6"/>
        <v>1020000000</v>
      </c>
      <c r="AC14" s="20">
        <f t="shared" si="6"/>
        <v>918000000</v>
      </c>
      <c r="AE14" s="21">
        <f>SUM(I5:I14)</f>
        <v>826050000</v>
      </c>
      <c r="AF14" s="21">
        <f>SUM(S5:S14)</f>
        <v>12397250000</v>
      </c>
      <c r="AG14" s="21">
        <f t="shared" si="7"/>
        <v>1213950000</v>
      </c>
    </row>
    <row r="15" spans="1:33" x14ac:dyDescent="0.2">
      <c r="A15">
        <v>11</v>
      </c>
      <c r="B15" t="s">
        <v>52</v>
      </c>
      <c r="C15" s="18" t="s">
        <v>98</v>
      </c>
      <c r="D15" s="22">
        <f>$D13</f>
        <v>3924000000</v>
      </c>
      <c r="E15" s="22">
        <f>$E13</f>
        <v>5268000000</v>
      </c>
      <c r="F15" s="22">
        <f>$F13</f>
        <v>7339000000</v>
      </c>
      <c r="G15" s="23">
        <f t="shared" ref="G15:G24" si="8">$G$13</f>
        <v>20</v>
      </c>
      <c r="H15" s="4">
        <v>2294000000</v>
      </c>
      <c r="I15" s="20">
        <f t="shared" si="3"/>
        <v>114700000</v>
      </c>
      <c r="J15" s="20"/>
      <c r="K15" s="20"/>
      <c r="L15" s="20"/>
      <c r="M15" s="20"/>
      <c r="N15" s="20"/>
      <c r="O15" s="20"/>
      <c r="P15" s="20"/>
      <c r="Q15" s="20"/>
      <c r="R15" s="20"/>
      <c r="S15" s="20"/>
      <c r="T15" s="20">
        <f>+H15-I15</f>
        <v>2179300000</v>
      </c>
      <c r="U15" s="20">
        <f t="shared" si="6"/>
        <v>2064600000</v>
      </c>
      <c r="V15" s="20">
        <f t="shared" si="6"/>
        <v>1949900000</v>
      </c>
      <c r="W15" s="20">
        <f t="shared" si="6"/>
        <v>1835200000</v>
      </c>
      <c r="X15" s="20">
        <f t="shared" si="6"/>
        <v>1720500000</v>
      </c>
      <c r="Y15" s="20">
        <f t="shared" si="6"/>
        <v>1605800000</v>
      </c>
      <c r="Z15" s="20">
        <f t="shared" si="6"/>
        <v>1491100000</v>
      </c>
      <c r="AA15" s="20">
        <f t="shared" si="6"/>
        <v>1376400000</v>
      </c>
      <c r="AB15" s="20">
        <f t="shared" si="6"/>
        <v>1261700000</v>
      </c>
      <c r="AC15" s="20">
        <f t="shared" si="6"/>
        <v>1147000000</v>
      </c>
      <c r="AE15" s="21">
        <f>SUM(I5:I15)</f>
        <v>940750000</v>
      </c>
      <c r="AF15" s="21">
        <f>SUM(T5:T15)</f>
        <v>13750500000</v>
      </c>
      <c r="AG15" s="21">
        <f t="shared" si="7"/>
        <v>1353250000</v>
      </c>
    </row>
    <row r="16" spans="1:33" x14ac:dyDescent="0.2">
      <c r="A16">
        <v>12</v>
      </c>
      <c r="B16" t="s">
        <v>52</v>
      </c>
      <c r="C16" s="18" t="s">
        <v>97</v>
      </c>
      <c r="D16" s="22">
        <f>$D13</f>
        <v>3924000000</v>
      </c>
      <c r="E16" s="22">
        <f>$E13</f>
        <v>5268000000</v>
      </c>
      <c r="F16" s="22">
        <f>$F13</f>
        <v>7339000000</v>
      </c>
      <c r="G16" s="23">
        <f t="shared" si="8"/>
        <v>20</v>
      </c>
      <c r="H16" s="4">
        <v>2466000000</v>
      </c>
      <c r="I16" s="20">
        <f t="shared" si="3"/>
        <v>123300000</v>
      </c>
      <c r="J16" s="20"/>
      <c r="K16" s="20"/>
      <c r="L16" s="20"/>
      <c r="M16" s="20"/>
      <c r="N16" s="20"/>
      <c r="O16" s="20"/>
      <c r="P16" s="20"/>
      <c r="Q16" s="20"/>
      <c r="R16" s="20"/>
      <c r="S16" s="20"/>
      <c r="T16" s="20"/>
      <c r="U16" s="20">
        <f>+H16-I16</f>
        <v>2342700000</v>
      </c>
      <c r="V16" s="20">
        <f t="shared" si="6"/>
        <v>2219400000</v>
      </c>
      <c r="W16" s="20">
        <f t="shared" si="6"/>
        <v>2096100000</v>
      </c>
      <c r="X16" s="20">
        <f t="shared" si="6"/>
        <v>1972800000</v>
      </c>
      <c r="Y16" s="20">
        <f t="shared" si="6"/>
        <v>1849500000</v>
      </c>
      <c r="Z16" s="20">
        <f t="shared" si="6"/>
        <v>1726200000</v>
      </c>
      <c r="AA16" s="20">
        <f t="shared" si="6"/>
        <v>1602900000</v>
      </c>
      <c r="AB16" s="20">
        <f t="shared" si="6"/>
        <v>1479600000</v>
      </c>
      <c r="AC16" s="20">
        <f t="shared" si="6"/>
        <v>1356300000</v>
      </c>
      <c r="AE16" s="21">
        <f>SUM(I5:I16)</f>
        <v>1064050000</v>
      </c>
      <c r="AF16" s="21">
        <f>SUM(U5:U16)</f>
        <v>15152450000</v>
      </c>
      <c r="AG16" s="21">
        <f t="shared" si="7"/>
        <v>1401950000</v>
      </c>
    </row>
    <row r="17" spans="1:33" x14ac:dyDescent="0.2">
      <c r="A17">
        <v>13</v>
      </c>
      <c r="B17" t="s">
        <v>52</v>
      </c>
      <c r="C17" s="18" t="s">
        <v>96</v>
      </c>
      <c r="D17" s="22">
        <f>$D13</f>
        <v>3924000000</v>
      </c>
      <c r="E17" s="22">
        <f>$E13</f>
        <v>5268000000</v>
      </c>
      <c r="F17" s="22">
        <f>$F13</f>
        <v>7339000000</v>
      </c>
      <c r="G17" s="23">
        <f t="shared" si="8"/>
        <v>20</v>
      </c>
      <c r="H17" s="4">
        <v>2720000000</v>
      </c>
      <c r="I17" s="20">
        <f t="shared" si="3"/>
        <v>136000000</v>
      </c>
      <c r="J17" s="20"/>
      <c r="K17" s="20"/>
      <c r="L17" s="20"/>
      <c r="M17" s="20"/>
      <c r="N17" s="20"/>
      <c r="O17" s="20"/>
      <c r="P17" s="20"/>
      <c r="Q17" s="20"/>
      <c r="R17" s="20"/>
      <c r="S17" s="20"/>
      <c r="T17" s="20"/>
      <c r="U17" s="20"/>
      <c r="V17" s="20">
        <f>+H17-I17</f>
        <v>2584000000</v>
      </c>
      <c r="W17" s="20">
        <f t="shared" si="6"/>
        <v>2448000000</v>
      </c>
      <c r="X17" s="20">
        <f t="shared" si="6"/>
        <v>2312000000</v>
      </c>
      <c r="Y17" s="20">
        <f t="shared" si="6"/>
        <v>2176000000</v>
      </c>
      <c r="Z17" s="20">
        <f t="shared" si="6"/>
        <v>2040000000</v>
      </c>
      <c r="AA17" s="20">
        <f t="shared" si="6"/>
        <v>1904000000</v>
      </c>
      <c r="AB17" s="20">
        <f t="shared" si="6"/>
        <v>1768000000</v>
      </c>
      <c r="AC17" s="20">
        <f t="shared" si="6"/>
        <v>1632000000</v>
      </c>
      <c r="AE17" s="21">
        <f>SUM(I5:I17)</f>
        <v>1200050000</v>
      </c>
      <c r="AF17" s="21">
        <f>SUM(V5:V17)</f>
        <v>16672400000</v>
      </c>
      <c r="AG17" s="21">
        <f t="shared" si="7"/>
        <v>1519950000</v>
      </c>
    </row>
    <row r="18" spans="1:33" x14ac:dyDescent="0.2">
      <c r="A18">
        <v>14</v>
      </c>
      <c r="B18" t="s">
        <v>52</v>
      </c>
      <c r="C18" s="18" t="s">
        <v>95</v>
      </c>
      <c r="D18" s="22">
        <f>$D13</f>
        <v>3924000000</v>
      </c>
      <c r="E18" s="22">
        <f>$E13</f>
        <v>5268000000</v>
      </c>
      <c r="F18" s="22">
        <f>$F13</f>
        <v>7339000000</v>
      </c>
      <c r="G18" s="23">
        <f t="shared" si="8"/>
        <v>20</v>
      </c>
      <c r="H18" s="4">
        <v>3090000000</v>
      </c>
      <c r="I18" s="20">
        <f t="shared" si="3"/>
        <v>154500000</v>
      </c>
      <c r="J18" s="20"/>
      <c r="K18" s="20"/>
      <c r="L18" s="20"/>
      <c r="M18" s="20"/>
      <c r="N18" s="20"/>
      <c r="O18" s="20"/>
      <c r="P18" s="20"/>
      <c r="Q18" s="20"/>
      <c r="R18" s="20"/>
      <c r="S18" s="20"/>
      <c r="T18" s="20"/>
      <c r="U18" s="20"/>
      <c r="V18" s="20"/>
      <c r="W18" s="20">
        <f>+H18-I18</f>
        <v>2935500000</v>
      </c>
      <c r="X18" s="20">
        <f t="shared" si="6"/>
        <v>2781000000</v>
      </c>
      <c r="Y18" s="20">
        <f t="shared" si="6"/>
        <v>2626500000</v>
      </c>
      <c r="Z18" s="20">
        <f t="shared" si="6"/>
        <v>2472000000</v>
      </c>
      <c r="AA18" s="20">
        <f t="shared" si="6"/>
        <v>2317500000</v>
      </c>
      <c r="AB18" s="20">
        <f t="shared" si="6"/>
        <v>2163000000</v>
      </c>
      <c r="AC18" s="20">
        <f t="shared" si="6"/>
        <v>2008500000</v>
      </c>
      <c r="AE18" s="21">
        <f>SUM(I5:I18)</f>
        <v>1354550000</v>
      </c>
      <c r="AF18" s="21">
        <f>SUM(W5:W18)</f>
        <v>18407850000</v>
      </c>
      <c r="AG18" s="21">
        <f t="shared" si="7"/>
        <v>1735450000</v>
      </c>
    </row>
    <row r="19" spans="1:33" x14ac:dyDescent="0.2">
      <c r="A19">
        <v>15</v>
      </c>
      <c r="B19" t="s">
        <v>52</v>
      </c>
      <c r="C19" s="18" t="s">
        <v>94</v>
      </c>
      <c r="D19" s="22">
        <f>$D13</f>
        <v>3924000000</v>
      </c>
      <c r="E19" s="22">
        <f>$E13</f>
        <v>5268000000</v>
      </c>
      <c r="F19" s="22">
        <f>$F13</f>
        <v>7339000000</v>
      </c>
      <c r="G19" s="23">
        <f t="shared" si="8"/>
        <v>20</v>
      </c>
      <c r="H19" s="4">
        <v>3390000000</v>
      </c>
      <c r="I19" s="20">
        <f t="shared" si="3"/>
        <v>169500000</v>
      </c>
      <c r="J19" s="20"/>
      <c r="K19" s="20"/>
      <c r="L19" s="20"/>
      <c r="M19" s="20"/>
      <c r="N19" s="20"/>
      <c r="O19" s="20"/>
      <c r="P19" s="20"/>
      <c r="Q19" s="20"/>
      <c r="R19" s="20"/>
      <c r="S19" s="20"/>
      <c r="T19" s="20"/>
      <c r="U19" s="20"/>
      <c r="V19" s="20"/>
      <c r="W19" s="20"/>
      <c r="X19" s="20">
        <f>+H19-I19</f>
        <v>3220500000</v>
      </c>
      <c r="Y19" s="20">
        <f t="shared" si="6"/>
        <v>3051000000</v>
      </c>
      <c r="Z19" s="20">
        <f t="shared" si="6"/>
        <v>2881500000</v>
      </c>
      <c r="AA19" s="20">
        <f t="shared" si="6"/>
        <v>2712000000</v>
      </c>
      <c r="AB19" s="20">
        <f t="shared" si="6"/>
        <v>2542500000</v>
      </c>
      <c r="AC19" s="20">
        <f t="shared" si="6"/>
        <v>2373000000</v>
      </c>
      <c r="AE19" s="21">
        <f>SUM(I5:I19)</f>
        <v>1524050000</v>
      </c>
      <c r="AF19" s="21">
        <f>SUM(X5:X19)</f>
        <v>20273800000</v>
      </c>
      <c r="AG19" s="21">
        <f t="shared" si="7"/>
        <v>1865950000</v>
      </c>
    </row>
    <row r="20" spans="1:33" x14ac:dyDescent="0.2">
      <c r="A20">
        <v>16</v>
      </c>
      <c r="B20" t="s">
        <v>52</v>
      </c>
      <c r="C20" s="18" t="s">
        <v>93</v>
      </c>
      <c r="D20" s="22">
        <f>$D13</f>
        <v>3924000000</v>
      </c>
      <c r="E20" s="22">
        <f>$E13</f>
        <v>5268000000</v>
      </c>
      <c r="F20" s="22">
        <f>$F13</f>
        <v>7339000000</v>
      </c>
      <c r="G20" s="23">
        <f t="shared" si="8"/>
        <v>20</v>
      </c>
      <c r="H20" s="4">
        <v>3714000000</v>
      </c>
      <c r="I20" s="20">
        <f t="shared" si="3"/>
        <v>185700000</v>
      </c>
      <c r="J20" s="20"/>
      <c r="K20" s="20"/>
      <c r="L20" s="20"/>
      <c r="M20" s="20"/>
      <c r="N20" s="20"/>
      <c r="O20" s="20"/>
      <c r="P20" s="20"/>
      <c r="Q20" s="20"/>
      <c r="R20" s="20"/>
      <c r="S20" s="20"/>
      <c r="T20" s="20"/>
      <c r="U20" s="20"/>
      <c r="V20" s="20"/>
      <c r="W20" s="20"/>
      <c r="X20" s="20"/>
      <c r="Y20" s="20">
        <f>+H20-I20</f>
        <v>3528300000</v>
      </c>
      <c r="Z20" s="20">
        <f t="shared" si="6"/>
        <v>3342600000</v>
      </c>
      <c r="AA20" s="20">
        <f t="shared" si="6"/>
        <v>3156900000</v>
      </c>
      <c r="AB20" s="20">
        <f t="shared" si="6"/>
        <v>2971200000</v>
      </c>
      <c r="AC20" s="20">
        <f t="shared" si="6"/>
        <v>2785500000</v>
      </c>
      <c r="AE20" s="21">
        <f>SUM(I5:I20)</f>
        <v>1709750000</v>
      </c>
      <c r="AF20" s="21">
        <f>SUM(Y5:Y20)</f>
        <v>22278050000</v>
      </c>
      <c r="AG20" s="21">
        <f t="shared" si="7"/>
        <v>2004250000</v>
      </c>
    </row>
    <row r="21" spans="1:33" x14ac:dyDescent="0.2">
      <c r="A21">
        <v>17</v>
      </c>
      <c r="B21" t="s">
        <v>52</v>
      </c>
      <c r="C21" s="18" t="s">
        <v>141</v>
      </c>
      <c r="D21" s="22">
        <f>$D13</f>
        <v>3924000000</v>
      </c>
      <c r="E21" s="22">
        <f>$E13</f>
        <v>5268000000</v>
      </c>
      <c r="F21" s="22">
        <f>$F13</f>
        <v>7339000000</v>
      </c>
      <c r="G21" s="23">
        <f t="shared" si="8"/>
        <v>20</v>
      </c>
      <c r="H21" s="4">
        <v>3989000000</v>
      </c>
      <c r="I21" s="20">
        <f t="shared" si="3"/>
        <v>199450000</v>
      </c>
      <c r="J21" s="20"/>
      <c r="K21" s="20"/>
      <c r="L21" s="20"/>
      <c r="M21" s="20"/>
      <c r="N21" s="20"/>
      <c r="O21" s="20"/>
      <c r="P21" s="20"/>
      <c r="Q21" s="20"/>
      <c r="R21" s="20"/>
      <c r="S21" s="20"/>
      <c r="T21" s="20"/>
      <c r="U21" s="20"/>
      <c r="V21" s="20"/>
      <c r="W21" s="20"/>
      <c r="X21" s="20"/>
      <c r="Y21" s="20"/>
      <c r="Z21" s="20">
        <f>+H21-I21</f>
        <v>3789550000</v>
      </c>
      <c r="AA21" s="20">
        <f t="shared" si="6"/>
        <v>3590100000</v>
      </c>
      <c r="AB21" s="20">
        <f t="shared" si="6"/>
        <v>3390650000</v>
      </c>
      <c r="AC21" s="20">
        <f t="shared" si="6"/>
        <v>3191200000</v>
      </c>
      <c r="AE21" s="21">
        <f>SUM(I5:I21)</f>
        <v>1909200000</v>
      </c>
      <c r="AF21" s="21">
        <f>SUM(Z5:Z21)</f>
        <v>24357850000</v>
      </c>
      <c r="AG21" s="21">
        <f t="shared" si="7"/>
        <v>2079800000</v>
      </c>
    </row>
    <row r="22" spans="1:33" x14ac:dyDescent="0.2">
      <c r="A22">
        <v>18</v>
      </c>
      <c r="B22" t="s">
        <v>52</v>
      </c>
      <c r="C22" s="18" t="s">
        <v>160</v>
      </c>
      <c r="D22" s="22">
        <f>$D13</f>
        <v>3924000000</v>
      </c>
      <c r="E22" s="22">
        <f>$E13</f>
        <v>5268000000</v>
      </c>
      <c r="F22" s="22">
        <f>$F13</f>
        <v>7339000000</v>
      </c>
      <c r="G22" s="23">
        <f t="shared" si="8"/>
        <v>20</v>
      </c>
      <c r="H22" s="4">
        <v>4291000000</v>
      </c>
      <c r="I22" s="20">
        <f t="shared" si="3"/>
        <v>214550000</v>
      </c>
      <c r="J22" s="20"/>
      <c r="K22" s="20"/>
      <c r="L22" s="20"/>
      <c r="M22" s="20"/>
      <c r="N22" s="20"/>
      <c r="O22" s="20"/>
      <c r="P22" s="20"/>
      <c r="Q22" s="20"/>
      <c r="R22" s="20"/>
      <c r="S22" s="20"/>
      <c r="T22" s="20"/>
      <c r="U22" s="20"/>
      <c r="V22" s="20"/>
      <c r="W22" s="20"/>
      <c r="X22" s="20"/>
      <c r="Y22" s="20"/>
      <c r="Z22" s="20"/>
      <c r="AA22" s="20">
        <f>+H22-I22</f>
        <v>4076450000</v>
      </c>
      <c r="AB22" s="20">
        <f t="shared" si="6"/>
        <v>3861900000</v>
      </c>
      <c r="AC22" s="20">
        <f t="shared" si="6"/>
        <v>3647350000</v>
      </c>
      <c r="AE22" s="21">
        <f>SUM(I5:I22)</f>
        <v>2123750000</v>
      </c>
      <c r="AF22" s="21">
        <f>SUM(AA5:AA22)</f>
        <v>26525100000</v>
      </c>
      <c r="AG22" s="21">
        <f t="shared" si="7"/>
        <v>2167250000</v>
      </c>
    </row>
    <row r="23" spans="1:33" x14ac:dyDescent="0.2">
      <c r="A23">
        <v>19</v>
      </c>
      <c r="B23" t="s">
        <v>52</v>
      </c>
      <c r="C23" s="18" t="s">
        <v>161</v>
      </c>
      <c r="D23" s="22">
        <f>$D13</f>
        <v>3924000000</v>
      </c>
      <c r="E23" s="22">
        <f>$E13</f>
        <v>5268000000</v>
      </c>
      <c r="F23" s="22">
        <f>$F13</f>
        <v>7339000000</v>
      </c>
      <c r="G23" s="23">
        <f t="shared" si="8"/>
        <v>20</v>
      </c>
      <c r="H23" s="4">
        <v>4705000000</v>
      </c>
      <c r="I23" s="20">
        <f t="shared" si="3"/>
        <v>235250000</v>
      </c>
      <c r="J23" s="20"/>
      <c r="K23" s="20"/>
      <c r="L23" s="20"/>
      <c r="M23" s="20"/>
      <c r="N23" s="20"/>
      <c r="O23" s="20"/>
      <c r="P23" s="20"/>
      <c r="Q23" s="20"/>
      <c r="R23" s="20"/>
      <c r="S23" s="20"/>
      <c r="T23" s="20"/>
      <c r="U23" s="20"/>
      <c r="V23" s="20"/>
      <c r="W23" s="20"/>
      <c r="X23" s="20"/>
      <c r="Y23" s="20"/>
      <c r="Z23" s="20"/>
      <c r="AA23" s="20"/>
      <c r="AB23" s="20">
        <f>+H23-I23</f>
        <v>4469750000</v>
      </c>
      <c r="AC23" s="20">
        <f t="shared" si="6"/>
        <v>4234500000</v>
      </c>
      <c r="AE23" s="21">
        <f>SUM(I5:I23)</f>
        <v>2359000000</v>
      </c>
      <c r="AF23" s="21">
        <f>SUM(AB5:AB23)</f>
        <v>28871100000</v>
      </c>
      <c r="AG23" s="21">
        <f t="shared" si="7"/>
        <v>2346000000</v>
      </c>
    </row>
    <row r="24" spans="1:33" x14ac:dyDescent="0.2">
      <c r="A24">
        <v>20</v>
      </c>
      <c r="B24" t="s">
        <v>52</v>
      </c>
      <c r="C24" s="18" t="s">
        <v>162</v>
      </c>
      <c r="D24" s="22">
        <f>$D13</f>
        <v>3924000000</v>
      </c>
      <c r="E24" s="22">
        <f>$E13</f>
        <v>5268000000</v>
      </c>
      <c r="F24" s="22">
        <f>$F13</f>
        <v>7339000000</v>
      </c>
      <c r="G24" s="23">
        <f t="shared" si="8"/>
        <v>20</v>
      </c>
      <c r="H24" s="4">
        <v>5512000000</v>
      </c>
      <c r="I24" s="20">
        <f t="shared" si="3"/>
        <v>275600000</v>
      </c>
      <c r="J24" s="20"/>
      <c r="K24" s="20"/>
      <c r="L24" s="20"/>
      <c r="M24" s="20"/>
      <c r="N24" s="20"/>
      <c r="O24" s="20"/>
      <c r="P24" s="20"/>
      <c r="Q24" s="20"/>
      <c r="R24" s="20"/>
      <c r="S24" s="20"/>
      <c r="T24" s="20"/>
      <c r="U24" s="20"/>
      <c r="V24" s="20"/>
      <c r="W24" s="20"/>
      <c r="X24" s="20"/>
      <c r="Y24" s="20"/>
      <c r="Z24" s="20"/>
      <c r="AA24" s="20"/>
      <c r="AB24" s="20"/>
      <c r="AC24" s="20">
        <f>+H24-I24</f>
        <v>5236400000</v>
      </c>
      <c r="AE24" s="21">
        <f>SUM(I5:I24)</f>
        <v>2634600000</v>
      </c>
      <c r="AF24" s="21">
        <f>SUM(AC5:AC24)</f>
        <v>31748500000</v>
      </c>
      <c r="AG24" s="21">
        <f t="shared" si="7"/>
        <v>2877400000</v>
      </c>
    </row>
    <row r="25" spans="1:33" ht="18" customHeight="1" x14ac:dyDescent="0.2"/>
    <row r="26" spans="1:33" x14ac:dyDescent="0.2">
      <c r="C26" t="s">
        <v>77</v>
      </c>
    </row>
    <row r="27" spans="1:33" x14ac:dyDescent="0.2">
      <c r="C27" s="6" t="s">
        <v>107</v>
      </c>
      <c r="D27" s="6" t="s">
        <v>439</v>
      </c>
      <c r="E27" s="6" t="s">
        <v>440</v>
      </c>
      <c r="F27" s="6" t="s">
        <v>471</v>
      </c>
      <c r="G27" s="6" t="s">
        <v>441</v>
      </c>
      <c r="H27" s="6" t="s">
        <v>442</v>
      </c>
      <c r="I27" s="15"/>
      <c r="J27" s="6" t="s">
        <v>443</v>
      </c>
      <c r="K27" s="6" t="s">
        <v>444</v>
      </c>
      <c r="L27" s="6" t="s">
        <v>445</v>
      </c>
      <c r="M27" s="6" t="s">
        <v>446</v>
      </c>
      <c r="N27" s="6" t="s">
        <v>447</v>
      </c>
      <c r="O27" s="6" t="s">
        <v>448</v>
      </c>
      <c r="P27" s="6" t="s">
        <v>449</v>
      </c>
      <c r="Q27" s="6" t="s">
        <v>450</v>
      </c>
      <c r="R27" s="6" t="s">
        <v>451</v>
      </c>
      <c r="S27" s="6" t="s">
        <v>452</v>
      </c>
      <c r="T27" s="6" t="s">
        <v>453</v>
      </c>
      <c r="U27" s="6" t="s">
        <v>454</v>
      </c>
      <c r="V27" s="6" t="s">
        <v>455</v>
      </c>
      <c r="W27" s="6" t="s">
        <v>456</v>
      </c>
      <c r="X27" s="6" t="s">
        <v>457</v>
      </c>
      <c r="Y27" s="6" t="s">
        <v>458</v>
      </c>
      <c r="Z27" s="6" t="s">
        <v>459</v>
      </c>
      <c r="AA27" s="6" t="s">
        <v>460</v>
      </c>
      <c r="AB27" s="6" t="s">
        <v>461</v>
      </c>
      <c r="AC27" s="6" t="s">
        <v>462</v>
      </c>
      <c r="AD27" s="15"/>
      <c r="AE27" s="6" t="s">
        <v>106</v>
      </c>
      <c r="AF27" s="6" t="s">
        <v>105</v>
      </c>
      <c r="AG27" s="6" t="s">
        <v>463</v>
      </c>
    </row>
    <row r="28" spans="1:33" x14ac:dyDescent="0.2">
      <c r="C28" s="16" t="s">
        <v>464</v>
      </c>
      <c r="J28" s="17">
        <v>20</v>
      </c>
      <c r="K28" s="17">
        <v>19</v>
      </c>
      <c r="L28" s="17">
        <v>18</v>
      </c>
      <c r="M28" s="17">
        <v>17</v>
      </c>
      <c r="N28" s="17">
        <v>16</v>
      </c>
      <c r="O28" s="17">
        <v>15</v>
      </c>
      <c r="P28" s="17">
        <v>14</v>
      </c>
      <c r="Q28" s="17">
        <v>13</v>
      </c>
      <c r="R28" s="17">
        <v>12</v>
      </c>
      <c r="S28" s="17">
        <v>11</v>
      </c>
      <c r="T28" s="17">
        <v>10</v>
      </c>
      <c r="U28" s="17">
        <v>9</v>
      </c>
      <c r="V28" s="17">
        <v>8</v>
      </c>
      <c r="W28" s="17">
        <v>7</v>
      </c>
      <c r="X28" s="17">
        <v>6</v>
      </c>
      <c r="Y28" s="17">
        <v>5</v>
      </c>
      <c r="Z28" s="17">
        <v>4</v>
      </c>
      <c r="AA28" s="17">
        <v>3</v>
      </c>
      <c r="AB28" s="17">
        <v>2</v>
      </c>
      <c r="AC28" s="17">
        <v>1</v>
      </c>
    </row>
    <row r="29" spans="1:33" x14ac:dyDescent="0.2">
      <c r="A29">
        <v>1</v>
      </c>
      <c r="B29" t="s">
        <v>77</v>
      </c>
      <c r="C29" s="18" t="s">
        <v>488</v>
      </c>
      <c r="G29" s="23">
        <f t="shared" ref="G29:G36" si="9">$G$13</f>
        <v>20</v>
      </c>
      <c r="H29" s="4">
        <v>29000000</v>
      </c>
      <c r="I29" s="20">
        <f>+H29/20</f>
        <v>1450000</v>
      </c>
      <c r="J29" s="20">
        <f>+H29-$I29</f>
        <v>27550000</v>
      </c>
      <c r="K29" s="20">
        <f>+J29-$I29</f>
        <v>26100000</v>
      </c>
      <c r="L29" s="20">
        <f t="shared" ref="L29" si="10">+K29-$I29</f>
        <v>24650000</v>
      </c>
      <c r="M29" s="20">
        <f t="shared" ref="M29:M30" si="11">+L29-$I29</f>
        <v>23200000</v>
      </c>
      <c r="N29" s="20">
        <f t="shared" ref="N29:N31" si="12">+M29-$I29</f>
        <v>21750000</v>
      </c>
      <c r="O29" s="20">
        <f t="shared" ref="O29:O33" si="13">+N29-$I29</f>
        <v>20300000</v>
      </c>
      <c r="P29" s="20">
        <f t="shared" ref="P29:P34" si="14">+O29-$I29</f>
        <v>18850000</v>
      </c>
      <c r="Q29" s="20">
        <f t="shared" ref="Q29:Q35" si="15">+P29-$I29</f>
        <v>17400000</v>
      </c>
      <c r="R29" s="20">
        <f t="shared" ref="R29:R36" si="16">+Q29-$I29</f>
        <v>15950000</v>
      </c>
      <c r="S29" s="20">
        <f t="shared" ref="S29:S37" si="17">+R29-$I29</f>
        <v>14500000</v>
      </c>
      <c r="T29" s="20">
        <f t="shared" ref="T29:T38" si="18">+S29-$I29</f>
        <v>13050000</v>
      </c>
      <c r="U29" s="20">
        <f t="shared" ref="U29:U39" si="19">+T29-$I29</f>
        <v>11600000</v>
      </c>
      <c r="V29" s="20">
        <f t="shared" ref="V29:V40" si="20">+U29-$I29</f>
        <v>10150000</v>
      </c>
      <c r="W29" s="20">
        <f t="shared" ref="W29:W41" si="21">+V29-$I29</f>
        <v>8700000</v>
      </c>
      <c r="X29" s="20">
        <f t="shared" ref="X29:X42" si="22">+W29-$I29</f>
        <v>7250000</v>
      </c>
      <c r="Y29" s="20">
        <f t="shared" ref="Y29:Y43" si="23">+X29-$I29</f>
        <v>5800000</v>
      </c>
      <c r="Z29" s="20">
        <f t="shared" ref="Z29:Z44" si="24">+Y29-$I29</f>
        <v>4350000</v>
      </c>
      <c r="AA29" s="20">
        <f t="shared" ref="AA29:AA45" si="25">+Z29-$I29</f>
        <v>2900000</v>
      </c>
      <c r="AB29" s="20">
        <f t="shared" ref="AB29:AB46" si="26">+AA29-$I29</f>
        <v>1450000</v>
      </c>
      <c r="AC29" s="20">
        <f t="shared" ref="AC29:AC47" si="27">+AB29-$I29</f>
        <v>0</v>
      </c>
      <c r="AE29" s="21">
        <f>SUM(I29)</f>
        <v>1450000</v>
      </c>
      <c r="AF29" s="21">
        <f>SUM(J29:J29)</f>
        <v>27550000</v>
      </c>
      <c r="AG29" s="21">
        <f t="shared" ref="AG29:AG48" si="28">H29-AE29</f>
        <v>27550000</v>
      </c>
    </row>
    <row r="30" spans="1:33" x14ac:dyDescent="0.2">
      <c r="A30">
        <v>2</v>
      </c>
      <c r="B30" t="s">
        <v>77</v>
      </c>
      <c r="C30" s="18" t="s">
        <v>489</v>
      </c>
      <c r="G30" s="23">
        <f t="shared" si="9"/>
        <v>20</v>
      </c>
      <c r="H30" s="4">
        <v>32000000</v>
      </c>
      <c r="I30" s="20">
        <f t="shared" ref="I30:I48" si="29">+H30/20</f>
        <v>1600000</v>
      </c>
      <c r="J30" s="20"/>
      <c r="K30" s="20">
        <f>+H30-I30</f>
        <v>30400000</v>
      </c>
      <c r="L30" s="20">
        <f>+K30-$I30</f>
        <v>28800000</v>
      </c>
      <c r="M30" s="20">
        <f t="shared" si="11"/>
        <v>27200000</v>
      </c>
      <c r="N30" s="20">
        <f t="shared" si="12"/>
        <v>25600000</v>
      </c>
      <c r="O30" s="20">
        <f t="shared" si="13"/>
        <v>24000000</v>
      </c>
      <c r="P30" s="20">
        <f t="shared" si="14"/>
        <v>22400000</v>
      </c>
      <c r="Q30" s="20">
        <f t="shared" si="15"/>
        <v>20800000</v>
      </c>
      <c r="R30" s="20">
        <f t="shared" si="16"/>
        <v>19200000</v>
      </c>
      <c r="S30" s="20">
        <f t="shared" si="17"/>
        <v>17600000</v>
      </c>
      <c r="T30" s="20">
        <f t="shared" si="18"/>
        <v>16000000</v>
      </c>
      <c r="U30" s="20">
        <f t="shared" si="19"/>
        <v>14400000</v>
      </c>
      <c r="V30" s="20">
        <f t="shared" si="20"/>
        <v>12800000</v>
      </c>
      <c r="W30" s="20">
        <f t="shared" si="21"/>
        <v>11200000</v>
      </c>
      <c r="X30" s="20">
        <f t="shared" si="22"/>
        <v>9600000</v>
      </c>
      <c r="Y30" s="20">
        <f t="shared" si="23"/>
        <v>8000000</v>
      </c>
      <c r="Z30" s="20">
        <f t="shared" si="24"/>
        <v>6400000</v>
      </c>
      <c r="AA30" s="20">
        <f t="shared" si="25"/>
        <v>4800000</v>
      </c>
      <c r="AB30" s="20">
        <f t="shared" si="26"/>
        <v>3200000</v>
      </c>
      <c r="AC30" s="20">
        <f t="shared" si="27"/>
        <v>1600000</v>
      </c>
      <c r="AE30" s="21">
        <f>SUM(I29:I30)</f>
        <v>3050000</v>
      </c>
      <c r="AF30" s="21">
        <f>SUM(K29:K30)</f>
        <v>56500000</v>
      </c>
      <c r="AG30" s="21">
        <f t="shared" si="28"/>
        <v>28950000</v>
      </c>
    </row>
    <row r="31" spans="1:33" x14ac:dyDescent="0.2">
      <c r="A31">
        <v>3</v>
      </c>
      <c r="B31" t="s">
        <v>77</v>
      </c>
      <c r="C31" s="18" t="s">
        <v>490</v>
      </c>
      <c r="G31" s="23">
        <f t="shared" si="9"/>
        <v>20</v>
      </c>
      <c r="H31" s="4">
        <v>30000000</v>
      </c>
      <c r="I31" s="20">
        <f t="shared" si="29"/>
        <v>1500000</v>
      </c>
      <c r="J31" s="20"/>
      <c r="K31" s="20"/>
      <c r="L31" s="20">
        <f>+H31-I31</f>
        <v>28500000</v>
      </c>
      <c r="M31" s="20">
        <f>+L31-$I31</f>
        <v>27000000</v>
      </c>
      <c r="N31" s="20">
        <f t="shared" si="12"/>
        <v>25500000</v>
      </c>
      <c r="O31" s="20">
        <f t="shared" si="13"/>
        <v>24000000</v>
      </c>
      <c r="P31" s="20">
        <f t="shared" si="14"/>
        <v>22500000</v>
      </c>
      <c r="Q31" s="20">
        <f t="shared" si="15"/>
        <v>21000000</v>
      </c>
      <c r="R31" s="20">
        <f t="shared" si="16"/>
        <v>19500000</v>
      </c>
      <c r="S31" s="20">
        <f t="shared" si="17"/>
        <v>18000000</v>
      </c>
      <c r="T31" s="20">
        <f t="shared" si="18"/>
        <v>16500000</v>
      </c>
      <c r="U31" s="20">
        <f t="shared" si="19"/>
        <v>15000000</v>
      </c>
      <c r="V31" s="20">
        <f t="shared" si="20"/>
        <v>13500000</v>
      </c>
      <c r="W31" s="20">
        <f t="shared" si="21"/>
        <v>12000000</v>
      </c>
      <c r="X31" s="20">
        <f t="shared" si="22"/>
        <v>10500000</v>
      </c>
      <c r="Y31" s="20">
        <f t="shared" si="23"/>
        <v>9000000</v>
      </c>
      <c r="Z31" s="20">
        <f t="shared" si="24"/>
        <v>7500000</v>
      </c>
      <c r="AA31" s="20">
        <f t="shared" si="25"/>
        <v>6000000</v>
      </c>
      <c r="AB31" s="20">
        <f t="shared" si="26"/>
        <v>4500000</v>
      </c>
      <c r="AC31" s="20">
        <f t="shared" si="27"/>
        <v>3000000</v>
      </c>
      <c r="AE31" s="21">
        <f>SUM(I29:I31)</f>
        <v>4550000</v>
      </c>
      <c r="AF31" s="21">
        <f>SUM(L29:L31)</f>
        <v>81950000</v>
      </c>
      <c r="AG31" s="21">
        <f t="shared" si="28"/>
        <v>25450000</v>
      </c>
    </row>
    <row r="32" spans="1:33" x14ac:dyDescent="0.2">
      <c r="A32">
        <v>4</v>
      </c>
      <c r="B32" t="s">
        <v>77</v>
      </c>
      <c r="C32" s="18" t="s">
        <v>491</v>
      </c>
      <c r="G32" s="23">
        <f t="shared" si="9"/>
        <v>20</v>
      </c>
      <c r="H32" s="4">
        <v>33000000</v>
      </c>
      <c r="I32" s="20">
        <f t="shared" si="29"/>
        <v>1650000</v>
      </c>
      <c r="J32" s="20"/>
      <c r="K32" s="20"/>
      <c r="L32" s="20"/>
      <c r="M32" s="20">
        <f>+H32-I32</f>
        <v>31350000</v>
      </c>
      <c r="N32" s="20">
        <f>+M32-$I32</f>
        <v>29700000</v>
      </c>
      <c r="O32" s="20">
        <f t="shared" si="13"/>
        <v>28050000</v>
      </c>
      <c r="P32" s="20">
        <f t="shared" si="14"/>
        <v>26400000</v>
      </c>
      <c r="Q32" s="20">
        <f t="shared" si="15"/>
        <v>24750000</v>
      </c>
      <c r="R32" s="20">
        <f t="shared" si="16"/>
        <v>23100000</v>
      </c>
      <c r="S32" s="20">
        <f t="shared" si="17"/>
        <v>21450000</v>
      </c>
      <c r="T32" s="20">
        <f t="shared" si="18"/>
        <v>19800000</v>
      </c>
      <c r="U32" s="20">
        <f t="shared" si="19"/>
        <v>18150000</v>
      </c>
      <c r="V32" s="20">
        <f t="shared" si="20"/>
        <v>16500000</v>
      </c>
      <c r="W32" s="20">
        <f t="shared" si="21"/>
        <v>14850000</v>
      </c>
      <c r="X32" s="20">
        <f t="shared" si="22"/>
        <v>13200000</v>
      </c>
      <c r="Y32" s="20">
        <f t="shared" si="23"/>
        <v>11550000</v>
      </c>
      <c r="Z32" s="20">
        <f t="shared" si="24"/>
        <v>9900000</v>
      </c>
      <c r="AA32" s="20">
        <f t="shared" si="25"/>
        <v>8250000</v>
      </c>
      <c r="AB32" s="20">
        <f t="shared" si="26"/>
        <v>6600000</v>
      </c>
      <c r="AC32" s="20">
        <f t="shared" si="27"/>
        <v>4950000</v>
      </c>
      <c r="AE32" s="21">
        <f>SUM(I29:I32)</f>
        <v>6200000</v>
      </c>
      <c r="AF32" s="21">
        <f>SUM(M29:M32)</f>
        <v>108750000</v>
      </c>
      <c r="AG32" s="21">
        <f t="shared" si="28"/>
        <v>26800000</v>
      </c>
    </row>
    <row r="33" spans="1:33" x14ac:dyDescent="0.2">
      <c r="A33">
        <v>5</v>
      </c>
      <c r="B33" t="s">
        <v>77</v>
      </c>
      <c r="C33" s="18" t="s">
        <v>484</v>
      </c>
      <c r="G33" s="23">
        <f t="shared" si="9"/>
        <v>20</v>
      </c>
      <c r="H33" s="4">
        <v>32000000</v>
      </c>
      <c r="I33" s="20">
        <f t="shared" si="29"/>
        <v>1600000</v>
      </c>
      <c r="J33" s="20"/>
      <c r="K33" s="20"/>
      <c r="L33" s="20"/>
      <c r="M33" s="20"/>
      <c r="N33" s="20">
        <f>+H33-I33</f>
        <v>30400000</v>
      </c>
      <c r="O33" s="20">
        <f t="shared" si="13"/>
        <v>28800000</v>
      </c>
      <c r="P33" s="20">
        <f t="shared" si="14"/>
        <v>27200000</v>
      </c>
      <c r="Q33" s="20">
        <f t="shared" si="15"/>
        <v>25600000</v>
      </c>
      <c r="R33" s="20">
        <f t="shared" si="16"/>
        <v>24000000</v>
      </c>
      <c r="S33" s="20">
        <f t="shared" si="17"/>
        <v>22400000</v>
      </c>
      <c r="T33" s="20">
        <f t="shared" si="18"/>
        <v>20800000</v>
      </c>
      <c r="U33" s="20">
        <f t="shared" si="19"/>
        <v>19200000</v>
      </c>
      <c r="V33" s="20">
        <f t="shared" si="20"/>
        <v>17600000</v>
      </c>
      <c r="W33" s="20">
        <f t="shared" si="21"/>
        <v>16000000</v>
      </c>
      <c r="X33" s="20">
        <f t="shared" si="22"/>
        <v>14400000</v>
      </c>
      <c r="Y33" s="20">
        <f t="shared" si="23"/>
        <v>12800000</v>
      </c>
      <c r="Z33" s="20">
        <f t="shared" si="24"/>
        <v>11200000</v>
      </c>
      <c r="AA33" s="20">
        <f t="shared" si="25"/>
        <v>9600000</v>
      </c>
      <c r="AB33" s="20">
        <f t="shared" si="26"/>
        <v>8000000</v>
      </c>
      <c r="AC33" s="20">
        <f t="shared" si="27"/>
        <v>6400000</v>
      </c>
      <c r="AE33" s="21">
        <f>SUM(I29:I33)</f>
        <v>7800000</v>
      </c>
      <c r="AF33" s="21">
        <f>SUM(N29:N33)</f>
        <v>132950000</v>
      </c>
      <c r="AG33" s="21">
        <f t="shared" si="28"/>
        <v>24200000</v>
      </c>
    </row>
    <row r="34" spans="1:33" x14ac:dyDescent="0.2">
      <c r="A34">
        <v>6</v>
      </c>
      <c r="B34" t="s">
        <v>77</v>
      </c>
      <c r="C34" s="18" t="s">
        <v>485</v>
      </c>
      <c r="G34" s="23">
        <f t="shared" si="9"/>
        <v>20</v>
      </c>
      <c r="H34" s="4">
        <v>32000000</v>
      </c>
      <c r="I34" s="20">
        <f t="shared" si="29"/>
        <v>1600000</v>
      </c>
      <c r="J34" s="20"/>
      <c r="K34" s="20"/>
      <c r="L34" s="20"/>
      <c r="M34" s="20"/>
      <c r="N34" s="20"/>
      <c r="O34" s="20">
        <f>+H34-I34</f>
        <v>30400000</v>
      </c>
      <c r="P34" s="20">
        <f t="shared" si="14"/>
        <v>28800000</v>
      </c>
      <c r="Q34" s="20">
        <f t="shared" si="15"/>
        <v>27200000</v>
      </c>
      <c r="R34" s="20">
        <f t="shared" si="16"/>
        <v>25600000</v>
      </c>
      <c r="S34" s="20">
        <f t="shared" si="17"/>
        <v>24000000</v>
      </c>
      <c r="T34" s="20">
        <f t="shared" si="18"/>
        <v>22400000</v>
      </c>
      <c r="U34" s="20">
        <f t="shared" si="19"/>
        <v>20800000</v>
      </c>
      <c r="V34" s="20">
        <f t="shared" si="20"/>
        <v>19200000</v>
      </c>
      <c r="W34" s="20">
        <f t="shared" si="21"/>
        <v>17600000</v>
      </c>
      <c r="X34" s="20">
        <f t="shared" si="22"/>
        <v>16000000</v>
      </c>
      <c r="Y34" s="20">
        <f t="shared" si="23"/>
        <v>14400000</v>
      </c>
      <c r="Z34" s="20">
        <f t="shared" si="24"/>
        <v>12800000</v>
      </c>
      <c r="AA34" s="20">
        <f t="shared" si="25"/>
        <v>11200000</v>
      </c>
      <c r="AB34" s="20">
        <f t="shared" si="26"/>
        <v>9600000</v>
      </c>
      <c r="AC34" s="20">
        <f t="shared" si="27"/>
        <v>8000000</v>
      </c>
      <c r="AE34" s="21">
        <f>SUM(I29:I34)</f>
        <v>9400000</v>
      </c>
      <c r="AF34" s="21">
        <f>SUM(O29:O34)</f>
        <v>155550000</v>
      </c>
      <c r="AG34" s="21">
        <f t="shared" si="28"/>
        <v>22600000</v>
      </c>
    </row>
    <row r="35" spans="1:33" x14ac:dyDescent="0.2">
      <c r="A35">
        <v>7</v>
      </c>
      <c r="B35" t="s">
        <v>77</v>
      </c>
      <c r="C35" s="18" t="s">
        <v>486</v>
      </c>
      <c r="G35" s="23">
        <f t="shared" si="9"/>
        <v>20</v>
      </c>
      <c r="H35" s="4">
        <v>31000000</v>
      </c>
      <c r="I35" s="20">
        <f t="shared" si="29"/>
        <v>1550000</v>
      </c>
      <c r="J35" s="20"/>
      <c r="K35" s="20"/>
      <c r="L35" s="20"/>
      <c r="M35" s="20"/>
      <c r="N35" s="20"/>
      <c r="O35" s="20"/>
      <c r="P35" s="20">
        <f>+H35-I35</f>
        <v>29450000</v>
      </c>
      <c r="Q35" s="20">
        <f t="shared" si="15"/>
        <v>27900000</v>
      </c>
      <c r="R35" s="20">
        <f t="shared" si="16"/>
        <v>26350000</v>
      </c>
      <c r="S35" s="20">
        <f t="shared" si="17"/>
        <v>24800000</v>
      </c>
      <c r="T35" s="20">
        <f t="shared" si="18"/>
        <v>23250000</v>
      </c>
      <c r="U35" s="20">
        <f t="shared" si="19"/>
        <v>21700000</v>
      </c>
      <c r="V35" s="20">
        <f t="shared" si="20"/>
        <v>20150000</v>
      </c>
      <c r="W35" s="20">
        <f t="shared" si="21"/>
        <v>18600000</v>
      </c>
      <c r="X35" s="20">
        <f t="shared" si="22"/>
        <v>17050000</v>
      </c>
      <c r="Y35" s="20">
        <f t="shared" si="23"/>
        <v>15500000</v>
      </c>
      <c r="Z35" s="20">
        <f t="shared" si="24"/>
        <v>13950000</v>
      </c>
      <c r="AA35" s="20">
        <f t="shared" si="25"/>
        <v>12400000</v>
      </c>
      <c r="AB35" s="20">
        <f t="shared" si="26"/>
        <v>10850000</v>
      </c>
      <c r="AC35" s="20">
        <f t="shared" si="27"/>
        <v>9300000</v>
      </c>
      <c r="AE35" s="21">
        <f>SUM(I29:I35)</f>
        <v>10950000</v>
      </c>
      <c r="AF35" s="21">
        <f>SUM(P29:P35)</f>
        <v>175600000</v>
      </c>
      <c r="AG35" s="21">
        <f t="shared" si="28"/>
        <v>20050000</v>
      </c>
    </row>
    <row r="36" spans="1:33" x14ac:dyDescent="0.2">
      <c r="A36">
        <v>8</v>
      </c>
      <c r="B36" t="s">
        <v>77</v>
      </c>
      <c r="C36" s="18" t="s">
        <v>487</v>
      </c>
      <c r="G36" s="23">
        <f t="shared" si="9"/>
        <v>20</v>
      </c>
      <c r="H36" s="4">
        <v>29000000</v>
      </c>
      <c r="I36" s="20">
        <f t="shared" si="29"/>
        <v>1450000</v>
      </c>
      <c r="J36" s="20"/>
      <c r="K36" s="20"/>
      <c r="L36" s="20"/>
      <c r="M36" s="20"/>
      <c r="N36" s="20"/>
      <c r="O36" s="20"/>
      <c r="P36" s="20"/>
      <c r="Q36" s="20">
        <f>+H36-I36</f>
        <v>27550000</v>
      </c>
      <c r="R36" s="20">
        <f t="shared" si="16"/>
        <v>26100000</v>
      </c>
      <c r="S36" s="20">
        <f t="shared" si="17"/>
        <v>24650000</v>
      </c>
      <c r="T36" s="20">
        <f t="shared" si="18"/>
        <v>23200000</v>
      </c>
      <c r="U36" s="20">
        <f t="shared" si="19"/>
        <v>21750000</v>
      </c>
      <c r="V36" s="20">
        <f t="shared" si="20"/>
        <v>20300000</v>
      </c>
      <c r="W36" s="20">
        <f t="shared" si="21"/>
        <v>18850000</v>
      </c>
      <c r="X36" s="20">
        <f t="shared" si="22"/>
        <v>17400000</v>
      </c>
      <c r="Y36" s="20">
        <f t="shared" si="23"/>
        <v>15950000</v>
      </c>
      <c r="Z36" s="20">
        <f t="shared" si="24"/>
        <v>14500000</v>
      </c>
      <c r="AA36" s="20">
        <f t="shared" si="25"/>
        <v>13050000</v>
      </c>
      <c r="AB36" s="20">
        <f t="shared" si="26"/>
        <v>11600000</v>
      </c>
      <c r="AC36" s="20">
        <f t="shared" si="27"/>
        <v>10150000</v>
      </c>
      <c r="AE36" s="21">
        <f>SUM(I29:I36)</f>
        <v>12400000</v>
      </c>
      <c r="AF36" s="21">
        <f>SUM(Q29:Q36)</f>
        <v>192200000</v>
      </c>
      <c r="AG36" s="21">
        <f t="shared" si="28"/>
        <v>16600000</v>
      </c>
    </row>
    <row r="37" spans="1:33" x14ac:dyDescent="0.2">
      <c r="A37">
        <v>9</v>
      </c>
      <c r="B37" t="s">
        <v>77</v>
      </c>
      <c r="C37" s="18" t="s">
        <v>104</v>
      </c>
      <c r="D37" s="4">
        <v>3924000000</v>
      </c>
      <c r="E37" s="4">
        <v>5268000000</v>
      </c>
      <c r="F37" s="4">
        <v>7339000000</v>
      </c>
      <c r="G37" s="19">
        <v>20</v>
      </c>
      <c r="H37" s="4">
        <v>33000000</v>
      </c>
      <c r="I37" s="20">
        <f t="shared" si="29"/>
        <v>1650000</v>
      </c>
      <c r="J37" s="20"/>
      <c r="K37" s="20"/>
      <c r="L37" s="20"/>
      <c r="M37" s="20"/>
      <c r="N37" s="20"/>
      <c r="O37" s="20"/>
      <c r="P37" s="20"/>
      <c r="Q37" s="20"/>
      <c r="R37" s="20">
        <f>+H37-I37</f>
        <v>31350000</v>
      </c>
      <c r="S37" s="20">
        <f t="shared" si="17"/>
        <v>29700000</v>
      </c>
      <c r="T37" s="20">
        <f t="shared" si="18"/>
        <v>28050000</v>
      </c>
      <c r="U37" s="20">
        <f t="shared" si="19"/>
        <v>26400000</v>
      </c>
      <c r="V37" s="20">
        <f t="shared" si="20"/>
        <v>24750000</v>
      </c>
      <c r="W37" s="20">
        <f t="shared" si="21"/>
        <v>23100000</v>
      </c>
      <c r="X37" s="20">
        <f t="shared" si="22"/>
        <v>21450000</v>
      </c>
      <c r="Y37" s="20">
        <f t="shared" si="23"/>
        <v>19800000</v>
      </c>
      <c r="Z37" s="20">
        <f t="shared" si="24"/>
        <v>18150000</v>
      </c>
      <c r="AA37" s="20">
        <f t="shared" si="25"/>
        <v>16500000</v>
      </c>
      <c r="AB37" s="20">
        <f t="shared" si="26"/>
        <v>14850000</v>
      </c>
      <c r="AC37" s="20">
        <f t="shared" si="27"/>
        <v>13200000</v>
      </c>
      <c r="AE37" s="21">
        <f>SUM(I29:I37)</f>
        <v>14050000</v>
      </c>
      <c r="AF37" s="21">
        <f>SUM(R29:R37)</f>
        <v>211150000</v>
      </c>
      <c r="AG37" s="21">
        <f t="shared" si="28"/>
        <v>18950000</v>
      </c>
    </row>
    <row r="38" spans="1:33" x14ac:dyDescent="0.2">
      <c r="A38">
        <v>10</v>
      </c>
      <c r="B38" t="s">
        <v>77</v>
      </c>
      <c r="C38" s="18" t="s">
        <v>103</v>
      </c>
      <c r="D38" s="22">
        <f>$D37</f>
        <v>3924000000</v>
      </c>
      <c r="E38" s="22">
        <f>$E37</f>
        <v>5268000000</v>
      </c>
      <c r="F38" s="22">
        <f>$F37</f>
        <v>7339000000</v>
      </c>
      <c r="G38" s="23">
        <f>$G$13</f>
        <v>20</v>
      </c>
      <c r="H38" s="4">
        <v>32000000</v>
      </c>
      <c r="I38" s="20">
        <f t="shared" si="29"/>
        <v>1600000</v>
      </c>
      <c r="J38" s="20"/>
      <c r="K38" s="20"/>
      <c r="L38" s="20"/>
      <c r="M38" s="20"/>
      <c r="N38" s="20"/>
      <c r="O38" s="20"/>
      <c r="P38" s="20"/>
      <c r="Q38" s="20"/>
      <c r="R38" s="20"/>
      <c r="S38" s="20">
        <f>+H38-I38</f>
        <v>30400000</v>
      </c>
      <c r="T38" s="20">
        <f t="shared" si="18"/>
        <v>28800000</v>
      </c>
      <c r="U38" s="20">
        <f t="shared" si="19"/>
        <v>27200000</v>
      </c>
      <c r="V38" s="20">
        <f t="shared" si="20"/>
        <v>25600000</v>
      </c>
      <c r="W38" s="20">
        <f t="shared" si="21"/>
        <v>24000000</v>
      </c>
      <c r="X38" s="20">
        <f t="shared" si="22"/>
        <v>22400000</v>
      </c>
      <c r="Y38" s="20">
        <f t="shared" si="23"/>
        <v>20800000</v>
      </c>
      <c r="Z38" s="20">
        <f t="shared" si="24"/>
        <v>19200000</v>
      </c>
      <c r="AA38" s="20">
        <f t="shared" si="25"/>
        <v>17600000</v>
      </c>
      <c r="AB38" s="20">
        <f t="shared" si="26"/>
        <v>16000000</v>
      </c>
      <c r="AC38" s="20">
        <f t="shared" si="27"/>
        <v>14400000</v>
      </c>
      <c r="AE38" s="21">
        <f>SUM(I29:I38)</f>
        <v>15650000</v>
      </c>
      <c r="AF38" s="21">
        <f>SUM(S29:S38)</f>
        <v>227500000</v>
      </c>
      <c r="AG38" s="21">
        <f t="shared" si="28"/>
        <v>16350000</v>
      </c>
    </row>
    <row r="39" spans="1:33" x14ac:dyDescent="0.2">
      <c r="A39">
        <v>11</v>
      </c>
      <c r="B39" t="s">
        <v>77</v>
      </c>
      <c r="C39" s="18" t="s">
        <v>102</v>
      </c>
      <c r="D39" s="22">
        <f>$D37</f>
        <v>3924000000</v>
      </c>
      <c r="E39" s="22">
        <f>$E37</f>
        <v>5268000000</v>
      </c>
      <c r="F39" s="22">
        <f>$F37</f>
        <v>7339000000</v>
      </c>
      <c r="G39" s="23">
        <f t="shared" ref="G39:G48" si="30">$G$13</f>
        <v>20</v>
      </c>
      <c r="H39" s="4">
        <v>31000000</v>
      </c>
      <c r="I39" s="20">
        <f t="shared" si="29"/>
        <v>1550000</v>
      </c>
      <c r="J39" s="20"/>
      <c r="K39" s="20"/>
      <c r="L39" s="20"/>
      <c r="M39" s="20"/>
      <c r="N39" s="20"/>
      <c r="O39" s="20"/>
      <c r="P39" s="20"/>
      <c r="Q39" s="20"/>
      <c r="R39" s="20"/>
      <c r="S39" s="20"/>
      <c r="T39" s="20">
        <f>+H39-I39</f>
        <v>29450000</v>
      </c>
      <c r="U39" s="20">
        <f t="shared" si="19"/>
        <v>27900000</v>
      </c>
      <c r="V39" s="20">
        <f t="shared" si="20"/>
        <v>26350000</v>
      </c>
      <c r="W39" s="20">
        <f t="shared" si="21"/>
        <v>24800000</v>
      </c>
      <c r="X39" s="20">
        <f t="shared" si="22"/>
        <v>23250000</v>
      </c>
      <c r="Y39" s="20">
        <f t="shared" si="23"/>
        <v>21700000</v>
      </c>
      <c r="Z39" s="20">
        <f t="shared" si="24"/>
        <v>20150000</v>
      </c>
      <c r="AA39" s="20">
        <f t="shared" si="25"/>
        <v>18600000</v>
      </c>
      <c r="AB39" s="20">
        <f t="shared" si="26"/>
        <v>17050000</v>
      </c>
      <c r="AC39" s="20">
        <f t="shared" si="27"/>
        <v>15500000</v>
      </c>
      <c r="AE39" s="21">
        <f>SUM(I29:I39)</f>
        <v>17200000</v>
      </c>
      <c r="AF39" s="21">
        <f>SUM(T29:T39)</f>
        <v>241300000</v>
      </c>
      <c r="AG39" s="21">
        <f t="shared" si="28"/>
        <v>13800000</v>
      </c>
    </row>
    <row r="40" spans="1:33" x14ac:dyDescent="0.2">
      <c r="A40">
        <v>12</v>
      </c>
      <c r="B40" t="s">
        <v>77</v>
      </c>
      <c r="C40" s="18" t="s">
        <v>101</v>
      </c>
      <c r="D40" s="22">
        <f>$D37</f>
        <v>3924000000</v>
      </c>
      <c r="E40" s="22">
        <f>$E37</f>
        <v>5268000000</v>
      </c>
      <c r="F40" s="22">
        <f>$F37</f>
        <v>7339000000</v>
      </c>
      <c r="G40" s="23">
        <f t="shared" si="30"/>
        <v>20</v>
      </c>
      <c r="H40" s="4">
        <v>34000000</v>
      </c>
      <c r="I40" s="20">
        <f t="shared" si="29"/>
        <v>1700000</v>
      </c>
      <c r="J40" s="20"/>
      <c r="K40" s="20"/>
      <c r="L40" s="20"/>
      <c r="M40" s="20"/>
      <c r="N40" s="20"/>
      <c r="O40" s="20"/>
      <c r="P40" s="20"/>
      <c r="Q40" s="20"/>
      <c r="R40" s="20"/>
      <c r="S40" s="20"/>
      <c r="T40" s="20"/>
      <c r="U40" s="20">
        <f>+H40-I40</f>
        <v>32300000</v>
      </c>
      <c r="V40" s="20">
        <f t="shared" si="20"/>
        <v>30600000</v>
      </c>
      <c r="W40" s="20">
        <f t="shared" si="21"/>
        <v>28900000</v>
      </c>
      <c r="X40" s="20">
        <f t="shared" si="22"/>
        <v>27200000</v>
      </c>
      <c r="Y40" s="20">
        <f t="shared" si="23"/>
        <v>25500000</v>
      </c>
      <c r="Z40" s="20">
        <f t="shared" si="24"/>
        <v>23800000</v>
      </c>
      <c r="AA40" s="20">
        <f t="shared" si="25"/>
        <v>22100000</v>
      </c>
      <c r="AB40" s="20">
        <f t="shared" si="26"/>
        <v>20400000</v>
      </c>
      <c r="AC40" s="20">
        <f t="shared" si="27"/>
        <v>18700000</v>
      </c>
      <c r="AE40" s="21">
        <f>SUM(I29:I40)</f>
        <v>18900000</v>
      </c>
      <c r="AF40" s="21">
        <f>SUM(U29:U40)</f>
        <v>256400000</v>
      </c>
      <c r="AG40" s="21">
        <f t="shared" si="28"/>
        <v>15100000</v>
      </c>
    </row>
    <row r="41" spans="1:33" x14ac:dyDescent="0.2">
      <c r="A41">
        <v>13</v>
      </c>
      <c r="B41" t="s">
        <v>77</v>
      </c>
      <c r="C41" s="18" t="s">
        <v>100</v>
      </c>
      <c r="D41" s="22">
        <f>$D37</f>
        <v>3924000000</v>
      </c>
      <c r="E41" s="22">
        <f>$E37</f>
        <v>5268000000</v>
      </c>
      <c r="F41" s="22">
        <f>$F37</f>
        <v>7339000000</v>
      </c>
      <c r="G41" s="23">
        <f t="shared" si="30"/>
        <v>20</v>
      </c>
      <c r="H41" s="4">
        <v>32000000</v>
      </c>
      <c r="I41" s="20">
        <f t="shared" si="29"/>
        <v>1600000</v>
      </c>
      <c r="J41" s="20"/>
      <c r="K41" s="20"/>
      <c r="L41" s="20"/>
      <c r="M41" s="20"/>
      <c r="N41" s="20"/>
      <c r="O41" s="20"/>
      <c r="P41" s="20"/>
      <c r="Q41" s="20"/>
      <c r="R41" s="20"/>
      <c r="S41" s="20"/>
      <c r="T41" s="20"/>
      <c r="U41" s="20"/>
      <c r="V41" s="20">
        <f>+H41-I41</f>
        <v>30400000</v>
      </c>
      <c r="W41" s="20">
        <f t="shared" si="21"/>
        <v>28800000</v>
      </c>
      <c r="X41" s="20">
        <f t="shared" si="22"/>
        <v>27200000</v>
      </c>
      <c r="Y41" s="20">
        <f t="shared" si="23"/>
        <v>25600000</v>
      </c>
      <c r="Z41" s="20">
        <f t="shared" si="24"/>
        <v>24000000</v>
      </c>
      <c r="AA41" s="20">
        <f t="shared" si="25"/>
        <v>22400000</v>
      </c>
      <c r="AB41" s="20">
        <f t="shared" si="26"/>
        <v>20800000</v>
      </c>
      <c r="AC41" s="20">
        <f t="shared" si="27"/>
        <v>19200000</v>
      </c>
      <c r="AE41" s="21">
        <f>SUM(I29:I41)</f>
        <v>20500000</v>
      </c>
      <c r="AF41" s="21">
        <f>SUM(V29:V41)</f>
        <v>267900000</v>
      </c>
      <c r="AG41" s="21">
        <f t="shared" si="28"/>
        <v>11500000</v>
      </c>
    </row>
    <row r="42" spans="1:33" x14ac:dyDescent="0.2">
      <c r="A42">
        <v>14</v>
      </c>
      <c r="B42" t="s">
        <v>77</v>
      </c>
      <c r="C42" s="18" t="s">
        <v>99</v>
      </c>
      <c r="D42" s="22">
        <f>$D37</f>
        <v>3924000000</v>
      </c>
      <c r="E42" s="22">
        <f>$E37</f>
        <v>5268000000</v>
      </c>
      <c r="F42" s="22">
        <f>$F37</f>
        <v>7339000000</v>
      </c>
      <c r="G42" s="23">
        <f t="shared" si="30"/>
        <v>20</v>
      </c>
      <c r="H42" s="4">
        <v>33000000</v>
      </c>
      <c r="I42" s="20">
        <f t="shared" si="29"/>
        <v>1650000</v>
      </c>
      <c r="J42" s="20"/>
      <c r="K42" s="20"/>
      <c r="L42" s="20"/>
      <c r="M42" s="20"/>
      <c r="N42" s="20"/>
      <c r="O42" s="20"/>
      <c r="P42" s="20"/>
      <c r="Q42" s="20"/>
      <c r="R42" s="20"/>
      <c r="S42" s="20"/>
      <c r="T42" s="20"/>
      <c r="U42" s="20"/>
      <c r="V42" s="20"/>
      <c r="W42" s="20">
        <f>+H42-I42</f>
        <v>31350000</v>
      </c>
      <c r="X42" s="20">
        <f t="shared" si="22"/>
        <v>29700000</v>
      </c>
      <c r="Y42" s="20">
        <f t="shared" si="23"/>
        <v>28050000</v>
      </c>
      <c r="Z42" s="20">
        <f t="shared" si="24"/>
        <v>26400000</v>
      </c>
      <c r="AA42" s="20">
        <f t="shared" si="25"/>
        <v>24750000</v>
      </c>
      <c r="AB42" s="20">
        <f t="shared" si="26"/>
        <v>23100000</v>
      </c>
      <c r="AC42" s="20">
        <f t="shared" si="27"/>
        <v>21450000</v>
      </c>
      <c r="AE42" s="21">
        <f>SUM(I29:I42)</f>
        <v>22150000</v>
      </c>
      <c r="AF42" s="21">
        <f>SUM(W29:W42)</f>
        <v>278750000</v>
      </c>
      <c r="AG42" s="21">
        <f t="shared" si="28"/>
        <v>10850000</v>
      </c>
    </row>
    <row r="43" spans="1:33" x14ac:dyDescent="0.2">
      <c r="A43">
        <v>15</v>
      </c>
      <c r="B43" t="s">
        <v>77</v>
      </c>
      <c r="C43" s="18" t="s">
        <v>98</v>
      </c>
      <c r="D43" s="22">
        <f>$D37</f>
        <v>3924000000</v>
      </c>
      <c r="E43" s="22">
        <f>$E37</f>
        <v>5268000000</v>
      </c>
      <c r="F43" s="22">
        <f>$F37</f>
        <v>7339000000</v>
      </c>
      <c r="G43" s="23">
        <f t="shared" si="30"/>
        <v>20</v>
      </c>
      <c r="H43" s="4">
        <v>31000000</v>
      </c>
      <c r="I43" s="20">
        <f t="shared" si="29"/>
        <v>1550000</v>
      </c>
      <c r="J43" s="20"/>
      <c r="K43" s="20"/>
      <c r="L43" s="20"/>
      <c r="M43" s="20"/>
      <c r="N43" s="20"/>
      <c r="O43" s="20"/>
      <c r="P43" s="20"/>
      <c r="Q43" s="20"/>
      <c r="R43" s="20"/>
      <c r="S43" s="20"/>
      <c r="T43" s="20"/>
      <c r="U43" s="20"/>
      <c r="V43" s="20"/>
      <c r="W43" s="20"/>
      <c r="X43" s="20">
        <f>+H43-I43</f>
        <v>29450000</v>
      </c>
      <c r="Y43" s="20">
        <f t="shared" si="23"/>
        <v>27900000</v>
      </c>
      <c r="Z43" s="20">
        <f t="shared" si="24"/>
        <v>26350000</v>
      </c>
      <c r="AA43" s="20">
        <f t="shared" si="25"/>
        <v>24800000</v>
      </c>
      <c r="AB43" s="20">
        <f t="shared" si="26"/>
        <v>23250000</v>
      </c>
      <c r="AC43" s="20">
        <f t="shared" si="27"/>
        <v>21700000</v>
      </c>
      <c r="AE43" s="21">
        <f>SUM(I29:I43)</f>
        <v>23700000</v>
      </c>
      <c r="AF43" s="21">
        <f>SUM(X29:X43)</f>
        <v>286050000</v>
      </c>
      <c r="AG43" s="21">
        <f t="shared" si="28"/>
        <v>7300000</v>
      </c>
    </row>
    <row r="44" spans="1:33" x14ac:dyDescent="0.2">
      <c r="A44">
        <v>16</v>
      </c>
      <c r="B44" t="s">
        <v>77</v>
      </c>
      <c r="C44" s="18" t="s">
        <v>97</v>
      </c>
      <c r="D44" s="22">
        <f>$D37</f>
        <v>3924000000</v>
      </c>
      <c r="E44" s="22">
        <f>$E37</f>
        <v>5268000000</v>
      </c>
      <c r="F44" s="22">
        <f>$F37</f>
        <v>7339000000</v>
      </c>
      <c r="G44" s="23">
        <f t="shared" si="30"/>
        <v>20</v>
      </c>
      <c r="H44" s="4">
        <v>39000000</v>
      </c>
      <c r="I44" s="20">
        <f t="shared" si="29"/>
        <v>1950000</v>
      </c>
      <c r="J44" s="20"/>
      <c r="K44" s="20"/>
      <c r="L44" s="20"/>
      <c r="M44" s="20"/>
      <c r="N44" s="20"/>
      <c r="O44" s="20"/>
      <c r="P44" s="20"/>
      <c r="Q44" s="20"/>
      <c r="R44" s="20"/>
      <c r="S44" s="20"/>
      <c r="T44" s="20"/>
      <c r="U44" s="20"/>
      <c r="V44" s="20"/>
      <c r="W44" s="20"/>
      <c r="X44" s="20"/>
      <c r="Y44" s="20">
        <f>+H44-I44</f>
        <v>37050000</v>
      </c>
      <c r="Z44" s="20">
        <f t="shared" si="24"/>
        <v>35100000</v>
      </c>
      <c r="AA44" s="20">
        <f t="shared" si="25"/>
        <v>33150000</v>
      </c>
      <c r="AB44" s="20">
        <f t="shared" si="26"/>
        <v>31200000</v>
      </c>
      <c r="AC44" s="20">
        <f t="shared" si="27"/>
        <v>29250000</v>
      </c>
      <c r="AE44" s="21">
        <f>SUM(I29:I44)</f>
        <v>25650000</v>
      </c>
      <c r="AF44" s="21">
        <f>SUM(Y29:Y44)</f>
        <v>299400000</v>
      </c>
      <c r="AG44" s="21">
        <f t="shared" si="28"/>
        <v>13350000</v>
      </c>
    </row>
    <row r="45" spans="1:33" x14ac:dyDescent="0.2">
      <c r="A45">
        <v>17</v>
      </c>
      <c r="B45" t="s">
        <v>77</v>
      </c>
      <c r="C45" s="18" t="s">
        <v>96</v>
      </c>
      <c r="D45" s="22">
        <f>$D37</f>
        <v>3924000000</v>
      </c>
      <c r="E45" s="22">
        <f>$E37</f>
        <v>5268000000</v>
      </c>
      <c r="F45" s="22">
        <f>$F37</f>
        <v>7339000000</v>
      </c>
      <c r="G45" s="23">
        <f t="shared" si="30"/>
        <v>20</v>
      </c>
      <c r="H45" s="4">
        <v>34000000</v>
      </c>
      <c r="I45" s="20">
        <f t="shared" si="29"/>
        <v>1700000</v>
      </c>
      <c r="J45" s="20"/>
      <c r="K45" s="20"/>
      <c r="L45" s="20"/>
      <c r="M45" s="20"/>
      <c r="N45" s="20"/>
      <c r="O45" s="20"/>
      <c r="P45" s="20"/>
      <c r="Q45" s="20"/>
      <c r="R45" s="20"/>
      <c r="S45" s="20"/>
      <c r="T45" s="20"/>
      <c r="U45" s="20"/>
      <c r="V45" s="20"/>
      <c r="W45" s="20"/>
      <c r="X45" s="20"/>
      <c r="Y45" s="20"/>
      <c r="Z45" s="20">
        <f>+H45-I45</f>
        <v>32300000</v>
      </c>
      <c r="AA45" s="20">
        <f t="shared" si="25"/>
        <v>30600000</v>
      </c>
      <c r="AB45" s="20">
        <f t="shared" si="26"/>
        <v>28900000</v>
      </c>
      <c r="AC45" s="20">
        <f t="shared" si="27"/>
        <v>27200000</v>
      </c>
      <c r="AE45" s="21">
        <f>SUM(I29:I45)</f>
        <v>27350000</v>
      </c>
      <c r="AF45" s="21">
        <f>SUM(Z29:Z45)</f>
        <v>306050000</v>
      </c>
      <c r="AG45" s="21">
        <f t="shared" si="28"/>
        <v>6650000</v>
      </c>
    </row>
    <row r="46" spans="1:33" x14ac:dyDescent="0.2">
      <c r="A46">
        <v>18</v>
      </c>
      <c r="B46" t="s">
        <v>77</v>
      </c>
      <c r="C46" s="18" t="s">
        <v>95</v>
      </c>
      <c r="D46" s="22">
        <f>$D37</f>
        <v>3924000000</v>
      </c>
      <c r="E46" s="22">
        <f>$E37</f>
        <v>5268000000</v>
      </c>
      <c r="F46" s="22">
        <f>$F37</f>
        <v>7339000000</v>
      </c>
      <c r="G46" s="23">
        <f t="shared" si="30"/>
        <v>20</v>
      </c>
      <c r="H46" s="4">
        <v>35000000</v>
      </c>
      <c r="I46" s="20">
        <f t="shared" si="29"/>
        <v>1750000</v>
      </c>
      <c r="J46" s="20"/>
      <c r="K46" s="20"/>
      <c r="L46" s="20"/>
      <c r="M46" s="20"/>
      <c r="N46" s="20"/>
      <c r="O46" s="20"/>
      <c r="P46" s="20"/>
      <c r="Q46" s="20"/>
      <c r="R46" s="20"/>
      <c r="S46" s="20"/>
      <c r="T46" s="20"/>
      <c r="U46" s="20"/>
      <c r="V46" s="20"/>
      <c r="W46" s="20"/>
      <c r="X46" s="20"/>
      <c r="Y46" s="20"/>
      <c r="Z46" s="20"/>
      <c r="AA46" s="20">
        <f>+H46-I46</f>
        <v>33250000</v>
      </c>
      <c r="AB46" s="20">
        <f t="shared" si="26"/>
        <v>31500000</v>
      </c>
      <c r="AC46" s="20">
        <f t="shared" si="27"/>
        <v>29750000</v>
      </c>
      <c r="AE46" s="21">
        <f>SUM(I29:I46)</f>
        <v>29100000</v>
      </c>
      <c r="AF46" s="21">
        <f>SUM(AA29:AA46)</f>
        <v>311950000</v>
      </c>
      <c r="AG46" s="21">
        <f t="shared" si="28"/>
        <v>5900000</v>
      </c>
    </row>
    <row r="47" spans="1:33" x14ac:dyDescent="0.2">
      <c r="A47">
        <v>19</v>
      </c>
      <c r="B47" t="s">
        <v>77</v>
      </c>
      <c r="C47" s="18" t="s">
        <v>94</v>
      </c>
      <c r="D47" s="22">
        <f>$D37</f>
        <v>3924000000</v>
      </c>
      <c r="E47" s="22">
        <f>$E37</f>
        <v>5268000000</v>
      </c>
      <c r="F47" s="22">
        <f>$F37</f>
        <v>7339000000</v>
      </c>
      <c r="G47" s="23">
        <f t="shared" si="30"/>
        <v>20</v>
      </c>
      <c r="H47" s="4">
        <v>34000000</v>
      </c>
      <c r="I47" s="20">
        <f t="shared" si="29"/>
        <v>1700000</v>
      </c>
      <c r="J47" s="20"/>
      <c r="K47" s="20"/>
      <c r="L47" s="20"/>
      <c r="M47" s="20"/>
      <c r="N47" s="20"/>
      <c r="O47" s="20"/>
      <c r="P47" s="20"/>
      <c r="Q47" s="20"/>
      <c r="R47" s="20"/>
      <c r="S47" s="20"/>
      <c r="T47" s="20"/>
      <c r="U47" s="20"/>
      <c r="V47" s="20"/>
      <c r="W47" s="20"/>
      <c r="X47" s="20"/>
      <c r="Y47" s="20"/>
      <c r="Z47" s="20"/>
      <c r="AA47" s="20"/>
      <c r="AB47" s="20">
        <f>+H47-I47</f>
        <v>32300000</v>
      </c>
      <c r="AC47" s="20">
        <f t="shared" si="27"/>
        <v>30600000</v>
      </c>
      <c r="AE47" s="21">
        <f>SUM(I29:I47)</f>
        <v>30800000</v>
      </c>
      <c r="AF47" s="21">
        <f>SUM(AB29:AB47)</f>
        <v>315150000</v>
      </c>
      <c r="AG47" s="21">
        <f t="shared" si="28"/>
        <v>3200000</v>
      </c>
    </row>
    <row r="48" spans="1:33" x14ac:dyDescent="0.2">
      <c r="A48">
        <v>20</v>
      </c>
      <c r="B48" t="s">
        <v>77</v>
      </c>
      <c r="C48" s="18" t="s">
        <v>93</v>
      </c>
      <c r="D48" s="22">
        <f>$D37</f>
        <v>3924000000</v>
      </c>
      <c r="E48" s="22">
        <f>$E37</f>
        <v>5268000000</v>
      </c>
      <c r="F48" s="22">
        <f>$F37</f>
        <v>7339000000</v>
      </c>
      <c r="G48" s="23">
        <f t="shared" si="30"/>
        <v>20</v>
      </c>
      <c r="H48" s="4">
        <v>33000000</v>
      </c>
      <c r="I48" s="20">
        <f t="shared" si="29"/>
        <v>1650000</v>
      </c>
      <c r="J48" s="20"/>
      <c r="K48" s="20"/>
      <c r="L48" s="20"/>
      <c r="M48" s="20"/>
      <c r="N48" s="20"/>
      <c r="O48" s="20"/>
      <c r="P48" s="20"/>
      <c r="Q48" s="20"/>
      <c r="R48" s="20"/>
      <c r="S48" s="20"/>
      <c r="T48" s="20"/>
      <c r="U48" s="20"/>
      <c r="V48" s="20"/>
      <c r="W48" s="20"/>
      <c r="X48" s="20"/>
      <c r="Y48" s="20"/>
      <c r="Z48" s="20"/>
      <c r="AA48" s="20"/>
      <c r="AB48" s="20"/>
      <c r="AC48" s="20">
        <f>+H48-I48</f>
        <v>31350000</v>
      </c>
      <c r="AE48" s="21">
        <f>SUM(I29:I48)</f>
        <v>32450000</v>
      </c>
      <c r="AF48" s="21">
        <f>SUM(AC29:AC48)</f>
        <v>315700000</v>
      </c>
      <c r="AG48" s="21">
        <f t="shared" si="28"/>
        <v>550000</v>
      </c>
    </row>
    <row r="49" spans="2:33" ht="18" customHeight="1" x14ac:dyDescent="0.2"/>
    <row r="50" spans="2:33" ht="18" customHeight="1" x14ac:dyDescent="0.2"/>
    <row r="51" spans="2:33" ht="18" customHeight="1" x14ac:dyDescent="0.2"/>
    <row r="52" spans="2:33" ht="18" customHeight="1" x14ac:dyDescent="0.2"/>
    <row r="53" spans="2:33" ht="18" customHeight="1" x14ac:dyDescent="0.2"/>
    <row r="54" spans="2:33" ht="18" customHeight="1" x14ac:dyDescent="0.2"/>
    <row r="55" spans="2:33" ht="18" customHeight="1" x14ac:dyDescent="0.2"/>
    <row r="56" spans="2:33" x14ac:dyDescent="0.2">
      <c r="C56" t="s">
        <v>77</v>
      </c>
    </row>
    <row r="57" spans="2:33" x14ac:dyDescent="0.2">
      <c r="C57" s="6" t="s">
        <v>107</v>
      </c>
      <c r="D57" s="6" t="s">
        <v>438</v>
      </c>
      <c r="E57" s="6" t="s">
        <v>439</v>
      </c>
      <c r="F57" s="6" t="s">
        <v>440</v>
      </c>
      <c r="G57" s="6" t="s">
        <v>441</v>
      </c>
      <c r="H57" s="6" t="s">
        <v>442</v>
      </c>
      <c r="I57" s="15"/>
      <c r="J57" s="6" t="s">
        <v>443</v>
      </c>
      <c r="K57" s="6" t="s">
        <v>444</v>
      </c>
      <c r="L57" s="6" t="s">
        <v>445</v>
      </c>
      <c r="M57" s="6" t="s">
        <v>446</v>
      </c>
      <c r="N57" s="6" t="s">
        <v>447</v>
      </c>
      <c r="O57" s="6" t="s">
        <v>448</v>
      </c>
      <c r="P57" s="6" t="s">
        <v>449</v>
      </c>
      <c r="Q57" s="6" t="s">
        <v>450</v>
      </c>
      <c r="R57" s="6" t="s">
        <v>451</v>
      </c>
      <c r="S57" s="6" t="s">
        <v>452</v>
      </c>
      <c r="T57" s="6" t="s">
        <v>453</v>
      </c>
      <c r="U57" s="6" t="s">
        <v>454</v>
      </c>
      <c r="V57" s="6" t="s">
        <v>455</v>
      </c>
      <c r="W57" s="6" t="s">
        <v>456</v>
      </c>
      <c r="X57" s="6" t="s">
        <v>457</v>
      </c>
      <c r="Y57" s="6" t="s">
        <v>458</v>
      </c>
      <c r="Z57" s="6" t="s">
        <v>459</v>
      </c>
      <c r="AA57" s="6" t="s">
        <v>460</v>
      </c>
      <c r="AB57" s="6" t="s">
        <v>461</v>
      </c>
      <c r="AC57" s="6" t="s">
        <v>462</v>
      </c>
      <c r="AD57" s="15"/>
      <c r="AE57" s="6" t="s">
        <v>106</v>
      </c>
      <c r="AF57" s="6" t="s">
        <v>105</v>
      </c>
      <c r="AG57" s="6" t="s">
        <v>463</v>
      </c>
    </row>
    <row r="58" spans="2:33" x14ac:dyDescent="0.2">
      <c r="C58" s="16" t="s">
        <v>464</v>
      </c>
      <c r="J58" s="17">
        <v>20</v>
      </c>
      <c r="K58" s="17">
        <v>19</v>
      </c>
      <c r="L58" s="17">
        <v>18</v>
      </c>
      <c r="M58" s="17">
        <v>17</v>
      </c>
      <c r="N58" s="17">
        <v>16</v>
      </c>
      <c r="O58" s="17">
        <v>15</v>
      </c>
      <c r="P58" s="17">
        <v>14</v>
      </c>
      <c r="Q58" s="17">
        <v>13</v>
      </c>
      <c r="R58" s="17">
        <v>12</v>
      </c>
      <c r="S58" s="17">
        <v>11</v>
      </c>
      <c r="T58" s="17">
        <v>10</v>
      </c>
      <c r="U58" s="17">
        <v>9</v>
      </c>
      <c r="V58" s="17">
        <v>8</v>
      </c>
      <c r="W58" s="17">
        <v>7</v>
      </c>
      <c r="X58" s="17">
        <v>6</v>
      </c>
      <c r="Y58" s="17">
        <v>5</v>
      </c>
      <c r="Z58" s="17">
        <v>4</v>
      </c>
      <c r="AA58" s="17">
        <v>3</v>
      </c>
      <c r="AB58" s="17">
        <v>2</v>
      </c>
      <c r="AC58" s="17">
        <v>1</v>
      </c>
    </row>
    <row r="59" spans="2:33" x14ac:dyDescent="0.2">
      <c r="B59" t="s">
        <v>77</v>
      </c>
      <c r="C59" s="18" t="s">
        <v>104</v>
      </c>
      <c r="D59" s="4">
        <v>113000000</v>
      </c>
      <c r="E59" s="4">
        <v>124000000</v>
      </c>
      <c r="F59" s="4">
        <v>124000000</v>
      </c>
      <c r="G59" s="19">
        <v>20</v>
      </c>
      <c r="H59" s="4">
        <v>33000000</v>
      </c>
      <c r="J59" s="20">
        <f t="shared" ref="J59:J70" si="31">H59</f>
        <v>33000000</v>
      </c>
      <c r="K59" s="20">
        <f>$F59/4</f>
        <v>31000000</v>
      </c>
      <c r="L59" s="20">
        <f>$F59/4</f>
        <v>31000000</v>
      </c>
      <c r="M59" s="20">
        <f>$F59/4</f>
        <v>31000000</v>
      </c>
      <c r="N59" s="20">
        <f>$F59/4</f>
        <v>31000000</v>
      </c>
      <c r="O59" s="20">
        <f>$E59/4</f>
        <v>31000000</v>
      </c>
      <c r="P59" s="20">
        <f>$E59/4</f>
        <v>31000000</v>
      </c>
      <c r="Q59" s="20">
        <f>$E59/4</f>
        <v>31000000</v>
      </c>
      <c r="R59" s="20">
        <f>$E59/4</f>
        <v>31000000</v>
      </c>
      <c r="S59" s="20">
        <f>$D59/4</f>
        <v>28250000</v>
      </c>
      <c r="T59" s="20">
        <f>$D59/4</f>
        <v>28250000</v>
      </c>
      <c r="U59" s="20">
        <f>$D59/4</f>
        <v>28250000</v>
      </c>
      <c r="V59" s="20">
        <f>$D59/4</f>
        <v>28250000</v>
      </c>
      <c r="W59" s="20">
        <v>0</v>
      </c>
      <c r="X59" s="20">
        <v>0</v>
      </c>
      <c r="Y59" s="20">
        <v>0</v>
      </c>
      <c r="Z59" s="20">
        <v>0</v>
      </c>
      <c r="AA59" s="20">
        <v>0</v>
      </c>
      <c r="AB59" s="20">
        <v>0</v>
      </c>
      <c r="AC59" s="20">
        <v>0</v>
      </c>
      <c r="AE59" s="21">
        <f>SUM(J59:AC59)/$G59</f>
        <v>19700000</v>
      </c>
      <c r="AF59" s="21">
        <f>SUMPRODUCT($J$58:$AC$58,J59:AC59)/$G59</f>
        <v>278875000</v>
      </c>
      <c r="AG59" s="21">
        <f t="shared" ref="AG59:AG70" si="32">H59-AE59</f>
        <v>13300000</v>
      </c>
    </row>
    <row r="60" spans="2:33" x14ac:dyDescent="0.2">
      <c r="B60" t="s">
        <v>77</v>
      </c>
      <c r="C60" s="18" t="s">
        <v>103</v>
      </c>
      <c r="D60" s="22">
        <f>$D59</f>
        <v>113000000</v>
      </c>
      <c r="E60" s="22">
        <f>$E59</f>
        <v>124000000</v>
      </c>
      <c r="F60" s="22">
        <f>$F59</f>
        <v>124000000</v>
      </c>
      <c r="G60" s="23">
        <f>$G$59</f>
        <v>20</v>
      </c>
      <c r="H60" s="4">
        <v>32000000</v>
      </c>
      <c r="J60" s="20">
        <f t="shared" si="31"/>
        <v>32000000</v>
      </c>
      <c r="K60" s="20">
        <f t="shared" ref="K60:K70" si="33">H59</f>
        <v>33000000</v>
      </c>
      <c r="L60" s="20">
        <f>$F59/4</f>
        <v>31000000</v>
      </c>
      <c r="M60" s="20">
        <f>$F59/4</f>
        <v>31000000</v>
      </c>
      <c r="N60" s="20">
        <f>$F59/4</f>
        <v>31000000</v>
      </c>
      <c r="O60" s="20">
        <f>$F59/4</f>
        <v>31000000</v>
      </c>
      <c r="P60" s="20">
        <f>$E59/4</f>
        <v>31000000</v>
      </c>
      <c r="Q60" s="20">
        <f>$E59/4</f>
        <v>31000000</v>
      </c>
      <c r="R60" s="20">
        <f>$E59/4</f>
        <v>31000000</v>
      </c>
      <c r="S60" s="20">
        <f>$E59/4</f>
        <v>31000000</v>
      </c>
      <c r="T60" s="20">
        <f>$D59/4</f>
        <v>28250000</v>
      </c>
      <c r="U60" s="20">
        <f>$D59/4</f>
        <v>28250000</v>
      </c>
      <c r="V60" s="20">
        <f>$D59/4</f>
        <v>28250000</v>
      </c>
      <c r="W60" s="20">
        <f>$D59/4</f>
        <v>28250000</v>
      </c>
      <c r="X60" s="20">
        <v>0</v>
      </c>
      <c r="Y60" s="20">
        <v>0</v>
      </c>
      <c r="Z60" s="20">
        <v>0</v>
      </c>
      <c r="AA60" s="20">
        <v>0</v>
      </c>
      <c r="AB60" s="20">
        <v>0</v>
      </c>
      <c r="AC60" s="20">
        <v>0</v>
      </c>
      <c r="AE60" s="21">
        <f t="shared" ref="AE60:AE70" si="34">SUM(J60:AC60)/$G60</f>
        <v>21300000</v>
      </c>
      <c r="AF60" s="21">
        <f t="shared" ref="AF60:AF70" si="35">SUMPRODUCT($J$58:$AC$58,J60:AC60)/$G60</f>
        <v>291175000</v>
      </c>
      <c r="AG60" s="21">
        <f t="shared" si="32"/>
        <v>10700000</v>
      </c>
    </row>
    <row r="61" spans="2:33" x14ac:dyDescent="0.2">
      <c r="B61" t="s">
        <v>77</v>
      </c>
      <c r="C61" s="18" t="s">
        <v>102</v>
      </c>
      <c r="D61" s="22">
        <f>$D59</f>
        <v>113000000</v>
      </c>
      <c r="E61" s="22">
        <f>$E59</f>
        <v>124000000</v>
      </c>
      <c r="F61" s="22">
        <f>$F59</f>
        <v>124000000</v>
      </c>
      <c r="G61" s="23">
        <f t="shared" ref="G61:G70" si="36">$G$59</f>
        <v>20</v>
      </c>
      <c r="H61" s="4">
        <v>31000000</v>
      </c>
      <c r="J61" s="20">
        <f t="shared" si="31"/>
        <v>31000000</v>
      </c>
      <c r="K61" s="20">
        <f t="shared" si="33"/>
        <v>32000000</v>
      </c>
      <c r="L61" s="20">
        <f t="shared" ref="L61:L70" si="37">H59</f>
        <v>33000000</v>
      </c>
      <c r="M61" s="20">
        <f>$F59/4</f>
        <v>31000000</v>
      </c>
      <c r="N61" s="20">
        <f>$F59/4</f>
        <v>31000000</v>
      </c>
      <c r="O61" s="20">
        <f>$F59/4</f>
        <v>31000000</v>
      </c>
      <c r="P61" s="20">
        <f>$F59/4</f>
        <v>31000000</v>
      </c>
      <c r="Q61" s="20">
        <f>$E59/4</f>
        <v>31000000</v>
      </c>
      <c r="R61" s="20">
        <f>$E59/4</f>
        <v>31000000</v>
      </c>
      <c r="S61" s="20">
        <f>$E59/4</f>
        <v>31000000</v>
      </c>
      <c r="T61" s="20">
        <f>$E59/4</f>
        <v>31000000</v>
      </c>
      <c r="U61" s="20">
        <f>$D59/4</f>
        <v>28250000</v>
      </c>
      <c r="V61" s="20">
        <f>$D59/4</f>
        <v>28250000</v>
      </c>
      <c r="W61" s="20">
        <f>$D59/4</f>
        <v>28250000</v>
      </c>
      <c r="X61" s="20">
        <f>$D59/4</f>
        <v>28250000</v>
      </c>
      <c r="Y61" s="20">
        <v>0</v>
      </c>
      <c r="Z61" s="20">
        <v>0</v>
      </c>
      <c r="AA61" s="20">
        <v>0</v>
      </c>
      <c r="AB61" s="20">
        <v>0</v>
      </c>
      <c r="AC61" s="20">
        <v>0</v>
      </c>
      <c r="AE61" s="21">
        <f t="shared" si="34"/>
        <v>22850000</v>
      </c>
      <c r="AF61" s="21">
        <f t="shared" si="35"/>
        <v>300875000</v>
      </c>
      <c r="AG61" s="21">
        <f t="shared" si="32"/>
        <v>8150000</v>
      </c>
    </row>
    <row r="62" spans="2:33" x14ac:dyDescent="0.2">
      <c r="B62" t="s">
        <v>77</v>
      </c>
      <c r="C62" s="18" t="s">
        <v>101</v>
      </c>
      <c r="D62" s="22">
        <f>$D59</f>
        <v>113000000</v>
      </c>
      <c r="E62" s="22">
        <f>$E59</f>
        <v>124000000</v>
      </c>
      <c r="F62" s="22">
        <f>$F59</f>
        <v>124000000</v>
      </c>
      <c r="G62" s="23">
        <f t="shared" si="36"/>
        <v>20</v>
      </c>
      <c r="H62" s="4">
        <v>34000000</v>
      </c>
      <c r="J62" s="20">
        <f t="shared" si="31"/>
        <v>34000000</v>
      </c>
      <c r="K62" s="20">
        <f t="shared" si="33"/>
        <v>31000000</v>
      </c>
      <c r="L62" s="20">
        <f t="shared" si="37"/>
        <v>32000000</v>
      </c>
      <c r="M62" s="20">
        <f t="shared" ref="M62:M70" si="38">H59</f>
        <v>33000000</v>
      </c>
      <c r="N62" s="20">
        <f>$F59/4</f>
        <v>31000000</v>
      </c>
      <c r="O62" s="20">
        <f>$F59/4</f>
        <v>31000000</v>
      </c>
      <c r="P62" s="20">
        <f>$F59/4</f>
        <v>31000000</v>
      </c>
      <c r="Q62" s="20">
        <f>$F59/4</f>
        <v>31000000</v>
      </c>
      <c r="R62" s="20">
        <f>$E59/4</f>
        <v>31000000</v>
      </c>
      <c r="S62" s="20">
        <f>$E59/4</f>
        <v>31000000</v>
      </c>
      <c r="T62" s="20">
        <f>$E59/4</f>
        <v>31000000</v>
      </c>
      <c r="U62" s="20">
        <f>$E59/4</f>
        <v>31000000</v>
      </c>
      <c r="V62" s="20">
        <f>$D59/4</f>
        <v>28250000</v>
      </c>
      <c r="W62" s="20">
        <f>$D59/4</f>
        <v>28250000</v>
      </c>
      <c r="X62" s="20">
        <f>$D59/4</f>
        <v>28250000</v>
      </c>
      <c r="Y62" s="20">
        <f>$D59/4</f>
        <v>28250000</v>
      </c>
      <c r="Z62" s="20">
        <v>0</v>
      </c>
      <c r="AA62" s="20">
        <v>0</v>
      </c>
      <c r="AB62" s="20">
        <v>0</v>
      </c>
      <c r="AC62" s="20">
        <v>0</v>
      </c>
      <c r="AE62" s="21">
        <f t="shared" si="34"/>
        <v>24550000</v>
      </c>
      <c r="AF62" s="21">
        <f t="shared" si="35"/>
        <v>312025000</v>
      </c>
      <c r="AG62" s="21">
        <f t="shared" si="32"/>
        <v>9450000</v>
      </c>
    </row>
    <row r="63" spans="2:33" x14ac:dyDescent="0.2">
      <c r="B63" t="s">
        <v>77</v>
      </c>
      <c r="C63" s="18" t="s">
        <v>100</v>
      </c>
      <c r="D63" s="22">
        <f>$D59</f>
        <v>113000000</v>
      </c>
      <c r="E63" s="22">
        <f>$E59</f>
        <v>124000000</v>
      </c>
      <c r="F63" s="22">
        <f>$F59</f>
        <v>124000000</v>
      </c>
      <c r="G63" s="23">
        <f t="shared" si="36"/>
        <v>20</v>
      </c>
      <c r="H63" s="4">
        <v>32000000</v>
      </c>
      <c r="J63" s="20">
        <f t="shared" si="31"/>
        <v>32000000</v>
      </c>
      <c r="K63" s="20">
        <f t="shared" si="33"/>
        <v>34000000</v>
      </c>
      <c r="L63" s="20">
        <f t="shared" si="37"/>
        <v>31000000</v>
      </c>
      <c r="M63" s="20">
        <f t="shared" si="38"/>
        <v>32000000</v>
      </c>
      <c r="N63" s="20">
        <f t="shared" ref="N63:N70" si="39">H59</f>
        <v>33000000</v>
      </c>
      <c r="O63" s="20">
        <f>$F59/4</f>
        <v>31000000</v>
      </c>
      <c r="P63" s="20">
        <f>$F59/4</f>
        <v>31000000</v>
      </c>
      <c r="Q63" s="20">
        <f>$F59/4</f>
        <v>31000000</v>
      </c>
      <c r="R63" s="20">
        <f>$F59/4</f>
        <v>31000000</v>
      </c>
      <c r="S63" s="20">
        <f>$E59/4</f>
        <v>31000000</v>
      </c>
      <c r="T63" s="20">
        <f>$E59/4</f>
        <v>31000000</v>
      </c>
      <c r="U63" s="20">
        <f>$E59/4</f>
        <v>31000000</v>
      </c>
      <c r="V63" s="20">
        <f>$E59/4</f>
        <v>31000000</v>
      </c>
      <c r="W63" s="20">
        <f>$D59/4</f>
        <v>28250000</v>
      </c>
      <c r="X63" s="20">
        <f>$D59/4</f>
        <v>28250000</v>
      </c>
      <c r="Y63" s="20">
        <f>$D59/4</f>
        <v>28250000</v>
      </c>
      <c r="Z63" s="20">
        <f>$D59/4</f>
        <v>28250000</v>
      </c>
      <c r="AA63" s="20">
        <v>0</v>
      </c>
      <c r="AB63" s="20">
        <v>0</v>
      </c>
      <c r="AC63" s="20">
        <v>0</v>
      </c>
      <c r="AE63" s="21">
        <f t="shared" si="34"/>
        <v>26150000</v>
      </c>
      <c r="AF63" s="21">
        <f t="shared" si="35"/>
        <v>319475000</v>
      </c>
      <c r="AG63" s="21">
        <f t="shared" si="32"/>
        <v>5850000</v>
      </c>
    </row>
    <row r="64" spans="2:33" x14ac:dyDescent="0.2">
      <c r="B64" t="s">
        <v>77</v>
      </c>
      <c r="C64" s="18" t="s">
        <v>99</v>
      </c>
      <c r="D64" s="22">
        <f>$D59</f>
        <v>113000000</v>
      </c>
      <c r="E64" s="22">
        <f>$E59</f>
        <v>124000000</v>
      </c>
      <c r="F64" s="22">
        <f>$F59</f>
        <v>124000000</v>
      </c>
      <c r="G64" s="23">
        <f t="shared" si="36"/>
        <v>20</v>
      </c>
      <c r="H64" s="4">
        <v>33000000</v>
      </c>
      <c r="J64" s="20">
        <f t="shared" si="31"/>
        <v>33000000</v>
      </c>
      <c r="K64" s="20">
        <f t="shared" si="33"/>
        <v>32000000</v>
      </c>
      <c r="L64" s="20">
        <f t="shared" si="37"/>
        <v>34000000</v>
      </c>
      <c r="M64" s="20">
        <f t="shared" si="38"/>
        <v>31000000</v>
      </c>
      <c r="N64" s="20">
        <f t="shared" si="39"/>
        <v>32000000</v>
      </c>
      <c r="O64" s="20">
        <f t="shared" ref="O64:O70" si="40">H59</f>
        <v>33000000</v>
      </c>
      <c r="P64" s="20">
        <f>$F59/4</f>
        <v>31000000</v>
      </c>
      <c r="Q64" s="20">
        <f>$F59/4</f>
        <v>31000000</v>
      </c>
      <c r="R64" s="20">
        <f>$F59/4</f>
        <v>31000000</v>
      </c>
      <c r="S64" s="20">
        <f>$F59/4</f>
        <v>31000000</v>
      </c>
      <c r="T64" s="20">
        <f>$E59/4</f>
        <v>31000000</v>
      </c>
      <c r="U64" s="20">
        <f>$E59/4</f>
        <v>31000000</v>
      </c>
      <c r="V64" s="20">
        <f>$E59/4</f>
        <v>31000000</v>
      </c>
      <c r="W64" s="20">
        <f>$E59/4</f>
        <v>31000000</v>
      </c>
      <c r="X64" s="20">
        <f>$D59/4</f>
        <v>28250000</v>
      </c>
      <c r="Y64" s="20">
        <f>$D59/4</f>
        <v>28250000</v>
      </c>
      <c r="Z64" s="20">
        <f>$D59/4</f>
        <v>28250000</v>
      </c>
      <c r="AA64" s="20">
        <f>$D59/4</f>
        <v>28250000</v>
      </c>
      <c r="AB64" s="20">
        <v>0</v>
      </c>
      <c r="AC64" s="20">
        <v>0</v>
      </c>
      <c r="AE64" s="21">
        <f t="shared" si="34"/>
        <v>27800000</v>
      </c>
      <c r="AF64" s="21">
        <f t="shared" si="35"/>
        <v>326325000</v>
      </c>
      <c r="AG64" s="21">
        <f t="shared" si="32"/>
        <v>5200000</v>
      </c>
    </row>
    <row r="65" spans="2:33" x14ac:dyDescent="0.2">
      <c r="B65" t="s">
        <v>77</v>
      </c>
      <c r="C65" s="18" t="s">
        <v>98</v>
      </c>
      <c r="D65" s="22">
        <f>$D59</f>
        <v>113000000</v>
      </c>
      <c r="E65" s="22">
        <f>$E59</f>
        <v>124000000</v>
      </c>
      <c r="F65" s="22">
        <f>$F59</f>
        <v>124000000</v>
      </c>
      <c r="G65" s="23">
        <f t="shared" si="36"/>
        <v>20</v>
      </c>
      <c r="H65" s="4">
        <v>31000000</v>
      </c>
      <c r="J65" s="20">
        <f t="shared" si="31"/>
        <v>31000000</v>
      </c>
      <c r="K65" s="20">
        <f t="shared" si="33"/>
        <v>33000000</v>
      </c>
      <c r="L65" s="20">
        <f t="shared" si="37"/>
        <v>32000000</v>
      </c>
      <c r="M65" s="20">
        <f t="shared" si="38"/>
        <v>34000000</v>
      </c>
      <c r="N65" s="20">
        <f t="shared" si="39"/>
        <v>31000000</v>
      </c>
      <c r="O65" s="20">
        <f t="shared" si="40"/>
        <v>32000000</v>
      </c>
      <c r="P65" s="20">
        <f t="shared" ref="P65:P70" si="41">H59</f>
        <v>33000000</v>
      </c>
      <c r="Q65" s="20">
        <f>$F59/4</f>
        <v>31000000</v>
      </c>
      <c r="R65" s="20">
        <f>$F59/4</f>
        <v>31000000</v>
      </c>
      <c r="S65" s="20">
        <f>$F59/4</f>
        <v>31000000</v>
      </c>
      <c r="T65" s="20">
        <f>$F59/4</f>
        <v>31000000</v>
      </c>
      <c r="U65" s="20">
        <f>$E59/4</f>
        <v>31000000</v>
      </c>
      <c r="V65" s="20">
        <f>$E59/4</f>
        <v>31000000</v>
      </c>
      <c r="W65" s="20">
        <f>$E59/4</f>
        <v>31000000</v>
      </c>
      <c r="X65" s="20">
        <f>$E59/4</f>
        <v>31000000</v>
      </c>
      <c r="Y65" s="20">
        <f>$D59/4</f>
        <v>28250000</v>
      </c>
      <c r="Z65" s="20">
        <f>$D59/4</f>
        <v>28250000</v>
      </c>
      <c r="AA65" s="20">
        <f>$D59/4</f>
        <v>28250000</v>
      </c>
      <c r="AB65" s="20">
        <f>$D59/4</f>
        <v>28250000</v>
      </c>
      <c r="AC65" s="20">
        <v>0</v>
      </c>
      <c r="AE65" s="21">
        <f t="shared" si="34"/>
        <v>29350000</v>
      </c>
      <c r="AF65" s="21">
        <f t="shared" si="35"/>
        <v>329525000</v>
      </c>
      <c r="AG65" s="21">
        <f t="shared" si="32"/>
        <v>1650000</v>
      </c>
    </row>
    <row r="66" spans="2:33" x14ac:dyDescent="0.2">
      <c r="B66" t="s">
        <v>77</v>
      </c>
      <c r="C66" s="18" t="s">
        <v>97</v>
      </c>
      <c r="D66" s="22">
        <f>$D59</f>
        <v>113000000</v>
      </c>
      <c r="E66" s="22">
        <f>$E59</f>
        <v>124000000</v>
      </c>
      <c r="F66" s="22">
        <f>$F59</f>
        <v>124000000</v>
      </c>
      <c r="G66" s="23">
        <f t="shared" si="36"/>
        <v>20</v>
      </c>
      <c r="H66" s="4">
        <v>39000000</v>
      </c>
      <c r="J66" s="20">
        <f t="shared" si="31"/>
        <v>39000000</v>
      </c>
      <c r="K66" s="20">
        <f t="shared" si="33"/>
        <v>31000000</v>
      </c>
      <c r="L66" s="20">
        <f t="shared" si="37"/>
        <v>33000000</v>
      </c>
      <c r="M66" s="20">
        <f t="shared" si="38"/>
        <v>32000000</v>
      </c>
      <c r="N66" s="20">
        <f t="shared" si="39"/>
        <v>34000000</v>
      </c>
      <c r="O66" s="20">
        <f t="shared" si="40"/>
        <v>31000000</v>
      </c>
      <c r="P66" s="20">
        <f t="shared" si="41"/>
        <v>32000000</v>
      </c>
      <c r="Q66" s="20">
        <f>H59</f>
        <v>33000000</v>
      </c>
      <c r="R66" s="20">
        <f>$F59/4</f>
        <v>31000000</v>
      </c>
      <c r="S66" s="20">
        <f>$F59/4</f>
        <v>31000000</v>
      </c>
      <c r="T66" s="20">
        <f>$F59/4</f>
        <v>31000000</v>
      </c>
      <c r="U66" s="20">
        <f>$F59/4</f>
        <v>31000000</v>
      </c>
      <c r="V66" s="20">
        <f>$E59/4</f>
        <v>31000000</v>
      </c>
      <c r="W66" s="20">
        <f>$E59/4</f>
        <v>31000000</v>
      </c>
      <c r="X66" s="20">
        <f>$E59/4</f>
        <v>31000000</v>
      </c>
      <c r="Y66" s="20">
        <f>$E59/4</f>
        <v>31000000</v>
      </c>
      <c r="Z66" s="20">
        <f>$D59/4</f>
        <v>28250000</v>
      </c>
      <c r="AA66" s="20">
        <f>$D59/4</f>
        <v>28250000</v>
      </c>
      <c r="AB66" s="20">
        <f>$D59/4</f>
        <v>28250000</v>
      </c>
      <c r="AC66" s="20">
        <f>$D59/4</f>
        <v>28250000</v>
      </c>
      <c r="AE66" s="21">
        <f t="shared" si="34"/>
        <v>31300000</v>
      </c>
      <c r="AF66" s="21">
        <f t="shared" si="35"/>
        <v>339175000</v>
      </c>
      <c r="AG66" s="21">
        <f t="shared" si="32"/>
        <v>7700000</v>
      </c>
    </row>
    <row r="67" spans="2:33" x14ac:dyDescent="0.2">
      <c r="B67" t="s">
        <v>77</v>
      </c>
      <c r="C67" s="18" t="s">
        <v>96</v>
      </c>
      <c r="D67" s="22">
        <f>$D59</f>
        <v>113000000</v>
      </c>
      <c r="E67" s="22">
        <f>$E59</f>
        <v>124000000</v>
      </c>
      <c r="F67" s="22">
        <f>$F59</f>
        <v>124000000</v>
      </c>
      <c r="G67" s="23">
        <f t="shared" si="36"/>
        <v>20</v>
      </c>
      <c r="H67" s="4">
        <v>34000000</v>
      </c>
      <c r="J67" s="20">
        <f t="shared" si="31"/>
        <v>34000000</v>
      </c>
      <c r="K67" s="20">
        <f t="shared" si="33"/>
        <v>39000000</v>
      </c>
      <c r="L67" s="20">
        <f t="shared" si="37"/>
        <v>31000000</v>
      </c>
      <c r="M67" s="20">
        <f t="shared" si="38"/>
        <v>33000000</v>
      </c>
      <c r="N67" s="20">
        <f t="shared" si="39"/>
        <v>32000000</v>
      </c>
      <c r="O67" s="20">
        <f t="shared" si="40"/>
        <v>34000000</v>
      </c>
      <c r="P67" s="20">
        <f t="shared" si="41"/>
        <v>31000000</v>
      </c>
      <c r="Q67" s="20">
        <f>H60</f>
        <v>32000000</v>
      </c>
      <c r="R67" s="20">
        <f>H59</f>
        <v>33000000</v>
      </c>
      <c r="S67" s="20">
        <f>$F59/4</f>
        <v>31000000</v>
      </c>
      <c r="T67" s="20">
        <f>$F59/4</f>
        <v>31000000</v>
      </c>
      <c r="U67" s="20">
        <f>$F59/4</f>
        <v>31000000</v>
      </c>
      <c r="V67" s="20">
        <f>$F59/4</f>
        <v>31000000</v>
      </c>
      <c r="W67" s="20">
        <f>$E59/4</f>
        <v>31000000</v>
      </c>
      <c r="X67" s="20">
        <f>$E59/4</f>
        <v>31000000</v>
      </c>
      <c r="Y67" s="20">
        <f>$E59/4</f>
        <v>31000000</v>
      </c>
      <c r="Z67" s="20">
        <f>$E59/4</f>
        <v>31000000</v>
      </c>
      <c r="AA67" s="20">
        <f>$D59/4</f>
        <v>28250000</v>
      </c>
      <c r="AB67" s="20">
        <f>$D59/4</f>
        <v>28250000</v>
      </c>
      <c r="AC67" s="20">
        <f>$D59/4</f>
        <v>28250000</v>
      </c>
      <c r="AE67" s="21">
        <f t="shared" si="34"/>
        <v>31587500</v>
      </c>
      <c r="AF67" s="21">
        <f t="shared" si="35"/>
        <v>341875000</v>
      </c>
      <c r="AG67" s="21">
        <f t="shared" si="32"/>
        <v>2412500</v>
      </c>
    </row>
    <row r="68" spans="2:33" x14ac:dyDescent="0.2">
      <c r="B68" t="s">
        <v>77</v>
      </c>
      <c r="C68" s="18" t="s">
        <v>95</v>
      </c>
      <c r="D68" s="22">
        <f>$D59</f>
        <v>113000000</v>
      </c>
      <c r="E68" s="22">
        <f>$E59</f>
        <v>124000000</v>
      </c>
      <c r="F68" s="22">
        <f>$F59</f>
        <v>124000000</v>
      </c>
      <c r="G68" s="23">
        <f t="shared" si="36"/>
        <v>20</v>
      </c>
      <c r="H68" s="4">
        <v>35000000</v>
      </c>
      <c r="J68" s="20">
        <f t="shared" si="31"/>
        <v>35000000</v>
      </c>
      <c r="K68" s="20">
        <f t="shared" si="33"/>
        <v>34000000</v>
      </c>
      <c r="L68" s="20">
        <f t="shared" si="37"/>
        <v>39000000</v>
      </c>
      <c r="M68" s="20">
        <f t="shared" si="38"/>
        <v>31000000</v>
      </c>
      <c r="N68" s="20">
        <f t="shared" si="39"/>
        <v>33000000</v>
      </c>
      <c r="O68" s="20">
        <f t="shared" si="40"/>
        <v>32000000</v>
      </c>
      <c r="P68" s="20">
        <f t="shared" si="41"/>
        <v>34000000</v>
      </c>
      <c r="Q68" s="20">
        <f>H61</f>
        <v>31000000</v>
      </c>
      <c r="R68" s="20">
        <f>H60</f>
        <v>32000000</v>
      </c>
      <c r="S68" s="20">
        <f>H59</f>
        <v>33000000</v>
      </c>
      <c r="T68" s="20">
        <f>$F59/4</f>
        <v>31000000</v>
      </c>
      <c r="U68" s="20">
        <f>$F59/4</f>
        <v>31000000</v>
      </c>
      <c r="V68" s="20">
        <f>$F59/4</f>
        <v>31000000</v>
      </c>
      <c r="W68" s="20">
        <f>$F59/4</f>
        <v>31000000</v>
      </c>
      <c r="X68" s="20">
        <f>$E59/4</f>
        <v>31000000</v>
      </c>
      <c r="Y68" s="20">
        <f>$E59/4</f>
        <v>31000000</v>
      </c>
      <c r="Z68" s="20">
        <f>$E59/4</f>
        <v>31000000</v>
      </c>
      <c r="AA68" s="20">
        <f>$E59/4</f>
        <v>31000000</v>
      </c>
      <c r="AB68" s="20">
        <f>$D59/4</f>
        <v>28250000</v>
      </c>
      <c r="AC68" s="20">
        <f>$D59/4</f>
        <v>28250000</v>
      </c>
      <c r="AE68" s="21">
        <f t="shared" si="34"/>
        <v>31925000</v>
      </c>
      <c r="AF68" s="21">
        <f t="shared" si="35"/>
        <v>345287500</v>
      </c>
      <c r="AG68" s="21">
        <f t="shared" si="32"/>
        <v>3075000</v>
      </c>
    </row>
    <row r="69" spans="2:33" x14ac:dyDescent="0.2">
      <c r="B69" t="s">
        <v>77</v>
      </c>
      <c r="C69" s="18" t="s">
        <v>94</v>
      </c>
      <c r="D69" s="22">
        <f>$D59</f>
        <v>113000000</v>
      </c>
      <c r="E69" s="22">
        <f>$E59</f>
        <v>124000000</v>
      </c>
      <c r="F69" s="22">
        <f>$F59</f>
        <v>124000000</v>
      </c>
      <c r="G69" s="23">
        <f t="shared" si="36"/>
        <v>20</v>
      </c>
      <c r="H69" s="4">
        <v>34000000</v>
      </c>
      <c r="J69" s="20">
        <f t="shared" si="31"/>
        <v>34000000</v>
      </c>
      <c r="K69" s="20">
        <f t="shared" si="33"/>
        <v>35000000</v>
      </c>
      <c r="L69" s="20">
        <f t="shared" si="37"/>
        <v>34000000</v>
      </c>
      <c r="M69" s="20">
        <f t="shared" si="38"/>
        <v>39000000</v>
      </c>
      <c r="N69" s="20">
        <f t="shared" si="39"/>
        <v>31000000</v>
      </c>
      <c r="O69" s="20">
        <f t="shared" si="40"/>
        <v>33000000</v>
      </c>
      <c r="P69" s="20">
        <f t="shared" si="41"/>
        <v>32000000</v>
      </c>
      <c r="Q69" s="20">
        <f>H62</f>
        <v>34000000</v>
      </c>
      <c r="R69" s="20">
        <f>H61</f>
        <v>31000000</v>
      </c>
      <c r="S69" s="20">
        <f>H60</f>
        <v>32000000</v>
      </c>
      <c r="T69" s="20">
        <f>H59</f>
        <v>33000000</v>
      </c>
      <c r="U69" s="20">
        <f>$F59/4</f>
        <v>31000000</v>
      </c>
      <c r="V69" s="20">
        <f>$F59/4</f>
        <v>31000000</v>
      </c>
      <c r="W69" s="20">
        <f>$F59/4</f>
        <v>31000000</v>
      </c>
      <c r="X69" s="20">
        <f>$F59/4</f>
        <v>31000000</v>
      </c>
      <c r="Y69" s="20">
        <f>$E59/4</f>
        <v>31000000</v>
      </c>
      <c r="Z69" s="20">
        <f>$E59/4</f>
        <v>31000000</v>
      </c>
      <c r="AA69" s="20">
        <f>$E59/4</f>
        <v>31000000</v>
      </c>
      <c r="AB69" s="20">
        <f>$E59/4</f>
        <v>31000000</v>
      </c>
      <c r="AC69" s="20">
        <f>$D59/4</f>
        <v>28250000</v>
      </c>
      <c r="AE69" s="21">
        <f t="shared" si="34"/>
        <v>32212500</v>
      </c>
      <c r="AF69" s="21">
        <f t="shared" si="35"/>
        <v>347362500</v>
      </c>
      <c r="AG69" s="21">
        <f t="shared" si="32"/>
        <v>1787500</v>
      </c>
    </row>
    <row r="70" spans="2:33" x14ac:dyDescent="0.2">
      <c r="B70" t="s">
        <v>77</v>
      </c>
      <c r="C70" s="18" t="s">
        <v>93</v>
      </c>
      <c r="D70" s="22">
        <f>$D59</f>
        <v>113000000</v>
      </c>
      <c r="E70" s="22">
        <f>$E59</f>
        <v>124000000</v>
      </c>
      <c r="F70" s="22">
        <f>$F59</f>
        <v>124000000</v>
      </c>
      <c r="G70" s="23">
        <f t="shared" si="36"/>
        <v>20</v>
      </c>
      <c r="H70" s="4">
        <v>33000000</v>
      </c>
      <c r="J70" s="20">
        <f t="shared" si="31"/>
        <v>33000000</v>
      </c>
      <c r="K70" s="20">
        <f t="shared" si="33"/>
        <v>34000000</v>
      </c>
      <c r="L70" s="20">
        <f t="shared" si="37"/>
        <v>35000000</v>
      </c>
      <c r="M70" s="20">
        <f t="shared" si="38"/>
        <v>34000000</v>
      </c>
      <c r="N70" s="20">
        <f t="shared" si="39"/>
        <v>39000000</v>
      </c>
      <c r="O70" s="20">
        <f t="shared" si="40"/>
        <v>31000000</v>
      </c>
      <c r="P70" s="20">
        <f t="shared" si="41"/>
        <v>33000000</v>
      </c>
      <c r="Q70" s="20">
        <f>H63</f>
        <v>32000000</v>
      </c>
      <c r="R70" s="20">
        <f>H62</f>
        <v>34000000</v>
      </c>
      <c r="S70" s="20">
        <f>H61</f>
        <v>31000000</v>
      </c>
      <c r="T70" s="20">
        <f>H60</f>
        <v>32000000</v>
      </c>
      <c r="U70" s="20">
        <f>H59</f>
        <v>33000000</v>
      </c>
      <c r="V70" s="20">
        <f>$F59/4</f>
        <v>31000000</v>
      </c>
      <c r="W70" s="20">
        <f>$F59/4</f>
        <v>31000000</v>
      </c>
      <c r="X70" s="20">
        <f>$F59/4</f>
        <v>31000000</v>
      </c>
      <c r="Y70" s="20">
        <f>$F59/4</f>
        <v>31000000</v>
      </c>
      <c r="Z70" s="20">
        <f>$E59/4</f>
        <v>31000000</v>
      </c>
      <c r="AA70" s="20">
        <f>$E59/4</f>
        <v>31000000</v>
      </c>
      <c r="AB70" s="20">
        <f>$E59/4</f>
        <v>31000000</v>
      </c>
      <c r="AC70" s="20">
        <f>$E59/4</f>
        <v>31000000</v>
      </c>
      <c r="AE70" s="21">
        <f t="shared" si="34"/>
        <v>32450000</v>
      </c>
      <c r="AF70" s="21">
        <f t="shared" si="35"/>
        <v>348150000</v>
      </c>
      <c r="AG70" s="21">
        <f t="shared" si="32"/>
        <v>550000</v>
      </c>
    </row>
    <row r="72" spans="2:33" x14ac:dyDescent="0.2">
      <c r="C72" t="s">
        <v>113</v>
      </c>
    </row>
    <row r="73" spans="2:33" x14ac:dyDescent="0.2">
      <c r="C73" s="6" t="s">
        <v>107</v>
      </c>
      <c r="D73" s="6" t="s">
        <v>438</v>
      </c>
      <c r="E73" s="6" t="s">
        <v>439</v>
      </c>
      <c r="F73" s="6" t="s">
        <v>440</v>
      </c>
      <c r="G73" s="6" t="s">
        <v>441</v>
      </c>
      <c r="H73" s="6" t="s">
        <v>442</v>
      </c>
      <c r="I73" s="15"/>
      <c r="J73" s="6" t="s">
        <v>443</v>
      </c>
      <c r="K73" s="6" t="s">
        <v>444</v>
      </c>
      <c r="L73" s="6" t="s">
        <v>445</v>
      </c>
      <c r="M73" s="6" t="s">
        <v>446</v>
      </c>
      <c r="N73" s="6" t="s">
        <v>447</v>
      </c>
      <c r="O73" s="6" t="s">
        <v>448</v>
      </c>
      <c r="P73" s="6" t="s">
        <v>449</v>
      </c>
      <c r="Q73" s="6" t="s">
        <v>450</v>
      </c>
      <c r="R73" s="6" t="s">
        <v>451</v>
      </c>
      <c r="S73" s="6" t="s">
        <v>452</v>
      </c>
      <c r="T73" s="6" t="s">
        <v>453</v>
      </c>
      <c r="U73" s="6" t="s">
        <v>454</v>
      </c>
      <c r="V73" s="6" t="s">
        <v>455</v>
      </c>
      <c r="W73" s="6" t="s">
        <v>456</v>
      </c>
      <c r="X73" s="6" t="s">
        <v>457</v>
      </c>
      <c r="Y73" s="6" t="s">
        <v>458</v>
      </c>
      <c r="Z73" s="6" t="s">
        <v>459</v>
      </c>
      <c r="AA73" s="6" t="s">
        <v>460</v>
      </c>
      <c r="AB73" s="6" t="s">
        <v>461</v>
      </c>
      <c r="AC73" s="6" t="s">
        <v>462</v>
      </c>
      <c r="AD73" s="15"/>
      <c r="AE73" s="6" t="s">
        <v>106</v>
      </c>
      <c r="AF73" s="6" t="s">
        <v>105</v>
      </c>
      <c r="AG73" s="6" t="s">
        <v>463</v>
      </c>
    </row>
    <row r="74" spans="2:33" x14ac:dyDescent="0.2">
      <c r="C74" s="16" t="s">
        <v>464</v>
      </c>
      <c r="J74" s="17">
        <v>20</v>
      </c>
      <c r="K74" s="17">
        <v>19</v>
      </c>
      <c r="L74" s="17">
        <v>18</v>
      </c>
      <c r="M74" s="17">
        <v>17</v>
      </c>
      <c r="N74" s="17">
        <v>16</v>
      </c>
      <c r="O74" s="17">
        <v>15</v>
      </c>
      <c r="P74" s="17">
        <v>14</v>
      </c>
      <c r="Q74" s="17">
        <v>13</v>
      </c>
      <c r="R74" s="17">
        <v>12</v>
      </c>
      <c r="S74" s="17">
        <v>11</v>
      </c>
      <c r="T74" s="17">
        <v>10</v>
      </c>
      <c r="U74" s="17">
        <v>9</v>
      </c>
      <c r="V74" s="17">
        <v>8</v>
      </c>
      <c r="W74" s="17">
        <v>7</v>
      </c>
      <c r="X74" s="17">
        <v>6</v>
      </c>
      <c r="Y74" s="17">
        <v>5</v>
      </c>
      <c r="Z74" s="17">
        <v>4</v>
      </c>
      <c r="AA74" s="17">
        <v>3</v>
      </c>
      <c r="AB74" s="17">
        <v>2</v>
      </c>
      <c r="AC74" s="17">
        <v>1</v>
      </c>
    </row>
    <row r="75" spans="2:33" x14ac:dyDescent="0.2">
      <c r="B75" t="s">
        <v>113</v>
      </c>
      <c r="C75" s="18" t="s">
        <v>103</v>
      </c>
      <c r="D75" s="4">
        <v>0</v>
      </c>
      <c r="E75" s="4">
        <v>0</v>
      </c>
      <c r="F75" s="4">
        <v>124141000</v>
      </c>
      <c r="G75" s="19">
        <v>20</v>
      </c>
      <c r="H75" s="4">
        <v>49666000</v>
      </c>
      <c r="J75" s="20">
        <f t="shared" ref="J75:J86" si="42">H75</f>
        <v>49666000</v>
      </c>
      <c r="K75" s="20">
        <f>$F75/4</f>
        <v>31035250</v>
      </c>
      <c r="L75" s="20">
        <f>$F75/4</f>
        <v>31035250</v>
      </c>
      <c r="M75" s="20">
        <f>$F75/4</f>
        <v>31035250</v>
      </c>
      <c r="N75" s="20">
        <f>$F75/4</f>
        <v>31035250</v>
      </c>
      <c r="O75" s="20">
        <f>$E75/4</f>
        <v>0</v>
      </c>
      <c r="P75" s="20">
        <f>$E75/4</f>
        <v>0</v>
      </c>
      <c r="Q75" s="20">
        <f>$E75/4</f>
        <v>0</v>
      </c>
      <c r="R75" s="20">
        <f>$E75/4</f>
        <v>0</v>
      </c>
      <c r="S75" s="20">
        <f>$D75/4</f>
        <v>0</v>
      </c>
      <c r="T75" s="20">
        <f>$D75/4</f>
        <v>0</v>
      </c>
      <c r="U75" s="20">
        <f>$D75/4</f>
        <v>0</v>
      </c>
      <c r="V75" s="20">
        <f>$D75/4</f>
        <v>0</v>
      </c>
      <c r="W75" s="20">
        <v>0</v>
      </c>
      <c r="X75" s="20">
        <v>0</v>
      </c>
      <c r="Y75" s="20">
        <v>0</v>
      </c>
      <c r="Z75" s="20">
        <v>0</v>
      </c>
      <c r="AA75" s="20">
        <v>0</v>
      </c>
      <c r="AB75" s="20">
        <v>0</v>
      </c>
      <c r="AC75" s="20">
        <v>0</v>
      </c>
      <c r="AE75" s="21">
        <f>SUM(J75:AC75)/$G75</f>
        <v>8690350</v>
      </c>
      <c r="AF75" s="21">
        <f>SUMPRODUCT($J$74:$AC$74,J75:AC75)/$G75</f>
        <v>158289375</v>
      </c>
      <c r="AG75" s="21">
        <f t="shared" ref="AG75:AG86" si="43">H75-AE75</f>
        <v>40975650</v>
      </c>
    </row>
    <row r="76" spans="2:33" x14ac:dyDescent="0.2">
      <c r="B76" t="s">
        <v>113</v>
      </c>
      <c r="C76" s="18" t="s">
        <v>102</v>
      </c>
      <c r="D76" s="22">
        <f>$D75</f>
        <v>0</v>
      </c>
      <c r="E76" s="22">
        <f>$E75</f>
        <v>0</v>
      </c>
      <c r="F76" s="22">
        <f>$F75</f>
        <v>124141000</v>
      </c>
      <c r="G76" s="23">
        <f t="shared" ref="G76:G86" si="44">$G$75</f>
        <v>20</v>
      </c>
      <c r="H76" s="4">
        <v>48845000</v>
      </c>
      <c r="J76" s="20">
        <f t="shared" si="42"/>
        <v>48845000</v>
      </c>
      <c r="K76" s="20">
        <f t="shared" ref="K76:K86" si="45">H75</f>
        <v>49666000</v>
      </c>
      <c r="L76" s="20">
        <f>$F75/4</f>
        <v>31035250</v>
      </c>
      <c r="M76" s="20">
        <f>$F75/4</f>
        <v>31035250</v>
      </c>
      <c r="N76" s="20">
        <f>$F75/4</f>
        <v>31035250</v>
      </c>
      <c r="O76" s="20">
        <f>$F75/4</f>
        <v>31035250</v>
      </c>
      <c r="P76" s="20">
        <f>$E75/4</f>
        <v>0</v>
      </c>
      <c r="Q76" s="20">
        <f>$E75/4</f>
        <v>0</v>
      </c>
      <c r="R76" s="20">
        <f>$E75/4</f>
        <v>0</v>
      </c>
      <c r="S76" s="20">
        <f>$E75/4</f>
        <v>0</v>
      </c>
      <c r="T76" s="20">
        <f>$D75/4</f>
        <v>0</v>
      </c>
      <c r="U76" s="20">
        <f>$D75/4</f>
        <v>0</v>
      </c>
      <c r="V76" s="20">
        <f>$D75/4</f>
        <v>0</v>
      </c>
      <c r="W76" s="20">
        <f>$D75/4</f>
        <v>0</v>
      </c>
      <c r="X76" s="20">
        <v>0</v>
      </c>
      <c r="Y76" s="20">
        <v>0</v>
      </c>
      <c r="Z76" s="20">
        <v>0</v>
      </c>
      <c r="AA76" s="20">
        <v>0</v>
      </c>
      <c r="AB76" s="20">
        <v>0</v>
      </c>
      <c r="AC76" s="20">
        <v>0</v>
      </c>
      <c r="AE76" s="21">
        <f t="shared" ref="AE76:AE86" si="46">SUM(J76:AC76)/$G76</f>
        <v>11132600</v>
      </c>
      <c r="AF76" s="21">
        <f t="shared" ref="AF76:AF86" si="47">SUMPRODUCT($J$74:$AC$74,J76:AC76)/$G76</f>
        <v>198444025</v>
      </c>
      <c r="AG76" s="21">
        <f t="shared" si="43"/>
        <v>37712400</v>
      </c>
    </row>
    <row r="77" spans="2:33" x14ac:dyDescent="0.2">
      <c r="B77" t="s">
        <v>113</v>
      </c>
      <c r="C77" s="18" t="s">
        <v>101</v>
      </c>
      <c r="D77" s="22">
        <f>$D75</f>
        <v>0</v>
      </c>
      <c r="E77" s="22">
        <f>$E75</f>
        <v>0</v>
      </c>
      <c r="F77" s="22">
        <f>$F75</f>
        <v>124141000</v>
      </c>
      <c r="G77" s="23">
        <f t="shared" si="44"/>
        <v>20</v>
      </c>
      <c r="H77" s="4">
        <v>96531000</v>
      </c>
      <c r="J77" s="20">
        <f t="shared" si="42"/>
        <v>96531000</v>
      </c>
      <c r="K77" s="20">
        <f t="shared" si="45"/>
        <v>48845000</v>
      </c>
      <c r="L77" s="20">
        <f t="shared" ref="L77:L86" si="48">H75</f>
        <v>49666000</v>
      </c>
      <c r="M77" s="20">
        <f>$F75/4</f>
        <v>31035250</v>
      </c>
      <c r="N77" s="20">
        <f>$F75/4</f>
        <v>31035250</v>
      </c>
      <c r="O77" s="20">
        <f>$F75/4</f>
        <v>31035250</v>
      </c>
      <c r="P77" s="20">
        <f>$F75/4</f>
        <v>31035250</v>
      </c>
      <c r="Q77" s="20">
        <f>$E75/4</f>
        <v>0</v>
      </c>
      <c r="R77" s="20">
        <f>$E75/4</f>
        <v>0</v>
      </c>
      <c r="S77" s="20">
        <f>$E75/4</f>
        <v>0</v>
      </c>
      <c r="T77" s="20">
        <f>$E75/4</f>
        <v>0</v>
      </c>
      <c r="U77" s="20">
        <f>$D75/4</f>
        <v>0</v>
      </c>
      <c r="V77" s="20">
        <f>$D75/4</f>
        <v>0</v>
      </c>
      <c r="W77" s="20">
        <f>$D75/4</f>
        <v>0</v>
      </c>
      <c r="X77" s="20">
        <f>$D75/4</f>
        <v>0</v>
      </c>
      <c r="Y77" s="20">
        <v>0</v>
      </c>
      <c r="Z77" s="20">
        <v>0</v>
      </c>
      <c r="AA77" s="20">
        <v>0</v>
      </c>
      <c r="AB77" s="20">
        <v>0</v>
      </c>
      <c r="AC77" s="20">
        <v>0</v>
      </c>
      <c r="AE77" s="21">
        <f t="shared" si="46"/>
        <v>15959150</v>
      </c>
      <c r="AF77" s="21">
        <f t="shared" si="47"/>
        <v>283842425</v>
      </c>
      <c r="AG77" s="21">
        <f t="shared" si="43"/>
        <v>80571850</v>
      </c>
    </row>
    <row r="78" spans="2:33" x14ac:dyDescent="0.2">
      <c r="B78" t="s">
        <v>113</v>
      </c>
      <c r="C78" s="18" t="s">
        <v>100</v>
      </c>
      <c r="D78" s="22">
        <f>$D75</f>
        <v>0</v>
      </c>
      <c r="E78" s="22">
        <f>$E75</f>
        <v>0</v>
      </c>
      <c r="F78" s="22">
        <f>$F75</f>
        <v>124141000</v>
      </c>
      <c r="G78" s="23">
        <f t="shared" si="44"/>
        <v>20</v>
      </c>
      <c r="H78" s="4">
        <v>42144000</v>
      </c>
      <c r="J78" s="20">
        <f t="shared" si="42"/>
        <v>42144000</v>
      </c>
      <c r="K78" s="20">
        <f t="shared" si="45"/>
        <v>96531000</v>
      </c>
      <c r="L78" s="20">
        <f t="shared" si="48"/>
        <v>48845000</v>
      </c>
      <c r="M78" s="20">
        <f t="shared" ref="M78:M86" si="49">H75</f>
        <v>49666000</v>
      </c>
      <c r="N78" s="20">
        <f>$F75/4</f>
        <v>31035250</v>
      </c>
      <c r="O78" s="20">
        <f>$F75/4</f>
        <v>31035250</v>
      </c>
      <c r="P78" s="20">
        <f>$F75/4</f>
        <v>31035250</v>
      </c>
      <c r="Q78" s="20">
        <f>$F75/4</f>
        <v>31035250</v>
      </c>
      <c r="R78" s="20">
        <f>$E75/4</f>
        <v>0</v>
      </c>
      <c r="S78" s="20">
        <f>$E75/4</f>
        <v>0</v>
      </c>
      <c r="T78" s="20">
        <f>$E75/4</f>
        <v>0</v>
      </c>
      <c r="U78" s="20">
        <f>$E75/4</f>
        <v>0</v>
      </c>
      <c r="V78" s="20">
        <f>$D75/4</f>
        <v>0</v>
      </c>
      <c r="W78" s="20">
        <f>$D75/4</f>
        <v>0</v>
      </c>
      <c r="X78" s="20">
        <f>$D75/4</f>
        <v>0</v>
      </c>
      <c r="Y78" s="20">
        <f>$D75/4</f>
        <v>0</v>
      </c>
      <c r="Z78" s="20">
        <v>0</v>
      </c>
      <c r="AA78" s="20">
        <v>0</v>
      </c>
      <c r="AB78" s="20">
        <v>0</v>
      </c>
      <c r="AC78" s="20">
        <v>0</v>
      </c>
      <c r="AE78" s="21">
        <f t="shared" si="46"/>
        <v>18066350</v>
      </c>
      <c r="AF78" s="21">
        <f t="shared" si="47"/>
        <v>310027275</v>
      </c>
      <c r="AG78" s="21">
        <f t="shared" si="43"/>
        <v>24077650</v>
      </c>
    </row>
    <row r="79" spans="2:33" x14ac:dyDescent="0.2">
      <c r="B79" t="s">
        <v>113</v>
      </c>
      <c r="C79" s="18" t="s">
        <v>99</v>
      </c>
      <c r="D79" s="22">
        <f>$D75</f>
        <v>0</v>
      </c>
      <c r="E79" s="22">
        <f>$E75</f>
        <v>0</v>
      </c>
      <c r="F79" s="22">
        <f>$F75</f>
        <v>124141000</v>
      </c>
      <c r="G79" s="23">
        <f t="shared" si="44"/>
        <v>20</v>
      </c>
      <c r="H79" s="4">
        <v>46462000</v>
      </c>
      <c r="J79" s="20">
        <f t="shared" si="42"/>
        <v>46462000</v>
      </c>
      <c r="K79" s="20">
        <f t="shared" si="45"/>
        <v>42144000</v>
      </c>
      <c r="L79" s="20">
        <f t="shared" si="48"/>
        <v>96531000</v>
      </c>
      <c r="M79" s="20">
        <f t="shared" si="49"/>
        <v>48845000</v>
      </c>
      <c r="N79" s="20">
        <f t="shared" ref="N79:N86" si="50">H75</f>
        <v>49666000</v>
      </c>
      <c r="O79" s="20">
        <f>$F75/4</f>
        <v>31035250</v>
      </c>
      <c r="P79" s="20">
        <f>$F75/4</f>
        <v>31035250</v>
      </c>
      <c r="Q79" s="20">
        <f>$F75/4</f>
        <v>31035250</v>
      </c>
      <c r="R79" s="20">
        <f>$F75/4</f>
        <v>31035250</v>
      </c>
      <c r="S79" s="20">
        <f>$E75/4</f>
        <v>0</v>
      </c>
      <c r="T79" s="20">
        <f>$E75/4</f>
        <v>0</v>
      </c>
      <c r="U79" s="20">
        <f>$E75/4</f>
        <v>0</v>
      </c>
      <c r="V79" s="20">
        <f>$E75/4</f>
        <v>0</v>
      </c>
      <c r="W79" s="20">
        <f>$D75/4</f>
        <v>0</v>
      </c>
      <c r="X79" s="20">
        <f>$D75/4</f>
        <v>0</v>
      </c>
      <c r="Y79" s="20">
        <f>$D75/4</f>
        <v>0</v>
      </c>
      <c r="Z79" s="20">
        <f>$D75/4</f>
        <v>0</v>
      </c>
      <c r="AA79" s="20">
        <v>0</v>
      </c>
      <c r="AB79" s="20">
        <v>0</v>
      </c>
      <c r="AC79" s="20">
        <v>0</v>
      </c>
      <c r="AE79" s="21">
        <f t="shared" si="46"/>
        <v>20389450</v>
      </c>
      <c r="AF79" s="21">
        <f t="shared" si="47"/>
        <v>338422925</v>
      </c>
      <c r="AG79" s="21">
        <f t="shared" si="43"/>
        <v>26072550</v>
      </c>
    </row>
    <row r="80" spans="2:33" x14ac:dyDescent="0.2">
      <c r="B80" t="s">
        <v>113</v>
      </c>
      <c r="C80" s="18" t="s">
        <v>98</v>
      </c>
      <c r="D80" s="22">
        <f>$D75</f>
        <v>0</v>
      </c>
      <c r="E80" s="22">
        <f>$E75</f>
        <v>0</v>
      </c>
      <c r="F80" s="22">
        <f>$F75</f>
        <v>124141000</v>
      </c>
      <c r="G80" s="23">
        <f t="shared" si="44"/>
        <v>20</v>
      </c>
      <c r="H80" s="4">
        <v>44722000</v>
      </c>
      <c r="J80" s="20">
        <f t="shared" si="42"/>
        <v>44722000</v>
      </c>
      <c r="K80" s="20">
        <f t="shared" si="45"/>
        <v>46462000</v>
      </c>
      <c r="L80" s="20">
        <f t="shared" si="48"/>
        <v>42144000</v>
      </c>
      <c r="M80" s="20">
        <f t="shared" si="49"/>
        <v>96531000</v>
      </c>
      <c r="N80" s="20">
        <f t="shared" si="50"/>
        <v>48845000</v>
      </c>
      <c r="O80" s="20">
        <f t="shared" ref="O80:O86" si="51">H75</f>
        <v>49666000</v>
      </c>
      <c r="P80" s="20">
        <f>$F75/4</f>
        <v>31035250</v>
      </c>
      <c r="Q80" s="20">
        <f>$F75/4</f>
        <v>31035250</v>
      </c>
      <c r="R80" s="20">
        <f>$F75/4</f>
        <v>31035250</v>
      </c>
      <c r="S80" s="20">
        <f>$F75/4</f>
        <v>31035250</v>
      </c>
      <c r="T80" s="20">
        <f>$E75/4</f>
        <v>0</v>
      </c>
      <c r="U80" s="20">
        <f>$E75/4</f>
        <v>0</v>
      </c>
      <c r="V80" s="20">
        <f>$E75/4</f>
        <v>0</v>
      </c>
      <c r="W80" s="20">
        <f>$E75/4</f>
        <v>0</v>
      </c>
      <c r="X80" s="20">
        <f>$D75/4</f>
        <v>0</v>
      </c>
      <c r="Y80" s="20">
        <f>$D75/4</f>
        <v>0</v>
      </c>
      <c r="Z80" s="20">
        <f>$D75/4</f>
        <v>0</v>
      </c>
      <c r="AA80" s="20">
        <f>$D75/4</f>
        <v>0</v>
      </c>
      <c r="AB80" s="20">
        <v>0</v>
      </c>
      <c r="AC80" s="20">
        <v>0</v>
      </c>
      <c r="AE80" s="21">
        <f t="shared" si="46"/>
        <v>22625550</v>
      </c>
      <c r="AF80" s="21">
        <f t="shared" si="47"/>
        <v>362755475</v>
      </c>
      <c r="AG80" s="21">
        <f t="shared" si="43"/>
        <v>22096450</v>
      </c>
    </row>
    <row r="81" spans="1:33" x14ac:dyDescent="0.2">
      <c r="B81" t="s">
        <v>113</v>
      </c>
      <c r="C81" s="18" t="s">
        <v>97</v>
      </c>
      <c r="D81" s="22">
        <f>$D75</f>
        <v>0</v>
      </c>
      <c r="E81" s="22">
        <f>$E75</f>
        <v>0</v>
      </c>
      <c r="F81" s="22">
        <f>$F75</f>
        <v>124141000</v>
      </c>
      <c r="G81" s="23">
        <f t="shared" si="44"/>
        <v>20</v>
      </c>
      <c r="H81" s="4">
        <v>40129000</v>
      </c>
      <c r="J81" s="20">
        <f t="shared" si="42"/>
        <v>40129000</v>
      </c>
      <c r="K81" s="20">
        <f t="shared" si="45"/>
        <v>44722000</v>
      </c>
      <c r="L81" s="20">
        <f t="shared" si="48"/>
        <v>46462000</v>
      </c>
      <c r="M81" s="20">
        <f t="shared" si="49"/>
        <v>42144000</v>
      </c>
      <c r="N81" s="20">
        <f t="shared" si="50"/>
        <v>96531000</v>
      </c>
      <c r="O81" s="20">
        <f t="shared" si="51"/>
        <v>48845000</v>
      </c>
      <c r="P81" s="20">
        <f t="shared" ref="P81:P86" si="52">H75</f>
        <v>49666000</v>
      </c>
      <c r="Q81" s="20">
        <f>$F75/4</f>
        <v>31035250</v>
      </c>
      <c r="R81" s="20">
        <f>$F75/4</f>
        <v>31035250</v>
      </c>
      <c r="S81" s="20">
        <f>$F75/4</f>
        <v>31035250</v>
      </c>
      <c r="T81" s="20">
        <f>$F75/4</f>
        <v>31035250</v>
      </c>
      <c r="U81" s="20">
        <f>$E75/4</f>
        <v>0</v>
      </c>
      <c r="V81" s="20">
        <f>$E75/4</f>
        <v>0</v>
      </c>
      <c r="W81" s="20">
        <f>$E75/4</f>
        <v>0</v>
      </c>
      <c r="X81" s="20">
        <f>$E75/4</f>
        <v>0</v>
      </c>
      <c r="Y81" s="20">
        <f>$D75/4</f>
        <v>0</v>
      </c>
      <c r="Z81" s="20">
        <f>$D75/4</f>
        <v>0</v>
      </c>
      <c r="AA81" s="20">
        <f>$D75/4</f>
        <v>0</v>
      </c>
      <c r="AB81" s="20">
        <f>$D75/4</f>
        <v>0</v>
      </c>
      <c r="AC81" s="20">
        <v>0</v>
      </c>
      <c r="AE81" s="21">
        <f t="shared" si="46"/>
        <v>24632000</v>
      </c>
      <c r="AF81" s="21">
        <f t="shared" si="47"/>
        <v>380258925</v>
      </c>
      <c r="AG81" s="21">
        <f t="shared" si="43"/>
        <v>15497000</v>
      </c>
    </row>
    <row r="82" spans="1:33" x14ac:dyDescent="0.2">
      <c r="B82" t="s">
        <v>113</v>
      </c>
      <c r="C82" s="18" t="s">
        <v>96</v>
      </c>
      <c r="D82" s="22">
        <f>$D75</f>
        <v>0</v>
      </c>
      <c r="E82" s="22">
        <f>$E75</f>
        <v>0</v>
      </c>
      <c r="F82" s="22">
        <f>$F75</f>
        <v>124141000</v>
      </c>
      <c r="G82" s="23">
        <f t="shared" si="44"/>
        <v>20</v>
      </c>
      <c r="H82" s="4">
        <v>43592000</v>
      </c>
      <c r="J82" s="20">
        <f t="shared" si="42"/>
        <v>43592000</v>
      </c>
      <c r="K82" s="20">
        <f t="shared" si="45"/>
        <v>40129000</v>
      </c>
      <c r="L82" s="20">
        <f t="shared" si="48"/>
        <v>44722000</v>
      </c>
      <c r="M82" s="20">
        <f t="shared" si="49"/>
        <v>46462000</v>
      </c>
      <c r="N82" s="20">
        <f t="shared" si="50"/>
        <v>42144000</v>
      </c>
      <c r="O82" s="20">
        <f t="shared" si="51"/>
        <v>96531000</v>
      </c>
      <c r="P82" s="20">
        <f t="shared" si="52"/>
        <v>48845000</v>
      </c>
      <c r="Q82" s="20">
        <f>H75</f>
        <v>49666000</v>
      </c>
      <c r="R82" s="20">
        <f>$F75/4</f>
        <v>31035250</v>
      </c>
      <c r="S82" s="20">
        <f>$F75/4</f>
        <v>31035250</v>
      </c>
      <c r="T82" s="20">
        <f>$F75/4</f>
        <v>31035250</v>
      </c>
      <c r="U82" s="20">
        <f>$F75/4</f>
        <v>31035250</v>
      </c>
      <c r="V82" s="20">
        <f>$E75/4</f>
        <v>0</v>
      </c>
      <c r="W82" s="20">
        <f>$E75/4</f>
        <v>0</v>
      </c>
      <c r="X82" s="20">
        <f>$E75/4</f>
        <v>0</v>
      </c>
      <c r="Y82" s="20">
        <f>$E75/4</f>
        <v>0</v>
      </c>
      <c r="Z82" s="20">
        <f>$D75/4</f>
        <v>0</v>
      </c>
      <c r="AA82" s="20">
        <f>$D75/4</f>
        <v>0</v>
      </c>
      <c r="AB82" s="20">
        <f>$D75/4</f>
        <v>0</v>
      </c>
      <c r="AC82" s="20">
        <f>$D75/4</f>
        <v>0</v>
      </c>
      <c r="AE82" s="21">
        <f t="shared" si="46"/>
        <v>26811600</v>
      </c>
      <c r="AF82" s="21">
        <f t="shared" si="47"/>
        <v>399218925</v>
      </c>
      <c r="AG82" s="21">
        <f t="shared" si="43"/>
        <v>16780400</v>
      </c>
    </row>
    <row r="83" spans="1:33" x14ac:dyDescent="0.2">
      <c r="B83" t="s">
        <v>113</v>
      </c>
      <c r="C83" s="18" t="s">
        <v>95</v>
      </c>
      <c r="D83" s="22">
        <f>$D75</f>
        <v>0</v>
      </c>
      <c r="E83" s="22">
        <f>$E75</f>
        <v>0</v>
      </c>
      <c r="F83" s="22">
        <f>$F75</f>
        <v>124141000</v>
      </c>
      <c r="G83" s="23">
        <f t="shared" si="44"/>
        <v>20</v>
      </c>
      <c r="H83" s="4">
        <v>61540000</v>
      </c>
      <c r="J83" s="20">
        <f t="shared" si="42"/>
        <v>61540000</v>
      </c>
      <c r="K83" s="20">
        <f t="shared" si="45"/>
        <v>43592000</v>
      </c>
      <c r="L83" s="20">
        <f t="shared" si="48"/>
        <v>40129000</v>
      </c>
      <c r="M83" s="20">
        <f t="shared" si="49"/>
        <v>44722000</v>
      </c>
      <c r="N83" s="20">
        <f t="shared" si="50"/>
        <v>46462000</v>
      </c>
      <c r="O83" s="20">
        <f t="shared" si="51"/>
        <v>42144000</v>
      </c>
      <c r="P83" s="20">
        <f t="shared" si="52"/>
        <v>96531000</v>
      </c>
      <c r="Q83" s="20">
        <f>H76</f>
        <v>48845000</v>
      </c>
      <c r="R83" s="20">
        <f>H75</f>
        <v>49666000</v>
      </c>
      <c r="S83" s="20">
        <f>$F75/4</f>
        <v>31035250</v>
      </c>
      <c r="T83" s="20">
        <f>$F75/4</f>
        <v>31035250</v>
      </c>
      <c r="U83" s="20">
        <f>$F75/4</f>
        <v>31035250</v>
      </c>
      <c r="V83" s="20">
        <f>$F75/4</f>
        <v>31035250</v>
      </c>
      <c r="W83" s="20">
        <f>$E75/4</f>
        <v>0</v>
      </c>
      <c r="X83" s="20">
        <f>$E75/4</f>
        <v>0</v>
      </c>
      <c r="Y83" s="20">
        <f>$E75/4</f>
        <v>0</v>
      </c>
      <c r="Z83" s="20">
        <f>$E75/4</f>
        <v>0</v>
      </c>
      <c r="AA83" s="20">
        <f>$D75/4</f>
        <v>0</v>
      </c>
      <c r="AB83" s="20">
        <f>$D75/4</f>
        <v>0</v>
      </c>
      <c r="AC83" s="20">
        <f>$D75/4</f>
        <v>0</v>
      </c>
      <c r="AE83" s="21">
        <f t="shared" si="46"/>
        <v>29888600</v>
      </c>
      <c r="AF83" s="21">
        <f t="shared" si="47"/>
        <v>433947325</v>
      </c>
      <c r="AG83" s="21">
        <f t="shared" si="43"/>
        <v>31651400</v>
      </c>
    </row>
    <row r="84" spans="1:33" x14ac:dyDescent="0.2">
      <c r="B84" t="s">
        <v>113</v>
      </c>
      <c r="C84" s="18" t="s">
        <v>94</v>
      </c>
      <c r="D84" s="22">
        <f>$D75</f>
        <v>0</v>
      </c>
      <c r="E84" s="22">
        <f>$E75</f>
        <v>0</v>
      </c>
      <c r="F84" s="22">
        <f>$F75</f>
        <v>124141000</v>
      </c>
      <c r="G84" s="23">
        <f t="shared" si="44"/>
        <v>20</v>
      </c>
      <c r="H84" s="4">
        <v>52147000</v>
      </c>
      <c r="J84" s="20">
        <f t="shared" si="42"/>
        <v>52147000</v>
      </c>
      <c r="K84" s="20">
        <f t="shared" si="45"/>
        <v>61540000</v>
      </c>
      <c r="L84" s="20">
        <f t="shared" si="48"/>
        <v>43592000</v>
      </c>
      <c r="M84" s="20">
        <f t="shared" si="49"/>
        <v>40129000</v>
      </c>
      <c r="N84" s="20">
        <f t="shared" si="50"/>
        <v>44722000</v>
      </c>
      <c r="O84" s="20">
        <f t="shared" si="51"/>
        <v>46462000</v>
      </c>
      <c r="P84" s="20">
        <f t="shared" si="52"/>
        <v>42144000</v>
      </c>
      <c r="Q84" s="20">
        <f>H77</f>
        <v>96531000</v>
      </c>
      <c r="R84" s="20">
        <f>H76</f>
        <v>48845000</v>
      </c>
      <c r="S84" s="20">
        <f>H75</f>
        <v>49666000</v>
      </c>
      <c r="T84" s="20">
        <f>$F75/4</f>
        <v>31035250</v>
      </c>
      <c r="U84" s="20">
        <f>$F75/4</f>
        <v>31035250</v>
      </c>
      <c r="V84" s="20">
        <f>$F75/4</f>
        <v>31035250</v>
      </c>
      <c r="W84" s="20">
        <f>$F75/4</f>
        <v>31035250</v>
      </c>
      <c r="X84" s="20">
        <f>$E75/4</f>
        <v>0</v>
      </c>
      <c r="Y84" s="20">
        <f>$E75/4</f>
        <v>0</v>
      </c>
      <c r="Z84" s="20">
        <f>$E75/4</f>
        <v>0</v>
      </c>
      <c r="AA84" s="20">
        <f>$E75/4</f>
        <v>0</v>
      </c>
      <c r="AB84" s="20">
        <f>$D75/4</f>
        <v>0</v>
      </c>
      <c r="AC84" s="20">
        <f>$D75/4</f>
        <v>0</v>
      </c>
      <c r="AE84" s="21">
        <f t="shared" si="46"/>
        <v>32495950</v>
      </c>
      <c r="AF84" s="21">
        <f t="shared" si="47"/>
        <v>456205725</v>
      </c>
      <c r="AG84" s="21">
        <f t="shared" si="43"/>
        <v>19651050</v>
      </c>
    </row>
    <row r="85" spans="1:33" x14ac:dyDescent="0.2">
      <c r="B85" t="s">
        <v>113</v>
      </c>
      <c r="C85" s="18" t="s">
        <v>93</v>
      </c>
      <c r="D85" s="22">
        <f>$D75</f>
        <v>0</v>
      </c>
      <c r="E85" s="22">
        <f>$E75</f>
        <v>0</v>
      </c>
      <c r="F85" s="22">
        <f>$F75</f>
        <v>124141000</v>
      </c>
      <c r="G85" s="23">
        <f t="shared" si="44"/>
        <v>20</v>
      </c>
      <c r="H85" s="4">
        <v>58734000</v>
      </c>
      <c r="J85" s="20">
        <f t="shared" si="42"/>
        <v>58734000</v>
      </c>
      <c r="K85" s="20">
        <f t="shared" si="45"/>
        <v>52147000</v>
      </c>
      <c r="L85" s="20">
        <f t="shared" si="48"/>
        <v>61540000</v>
      </c>
      <c r="M85" s="20">
        <f t="shared" si="49"/>
        <v>43592000</v>
      </c>
      <c r="N85" s="20">
        <f t="shared" si="50"/>
        <v>40129000</v>
      </c>
      <c r="O85" s="20">
        <f t="shared" si="51"/>
        <v>44722000</v>
      </c>
      <c r="P85" s="20">
        <f t="shared" si="52"/>
        <v>46462000</v>
      </c>
      <c r="Q85" s="20">
        <f>H78</f>
        <v>42144000</v>
      </c>
      <c r="R85" s="20">
        <f>H77</f>
        <v>96531000</v>
      </c>
      <c r="S85" s="20">
        <f>H76</f>
        <v>48845000</v>
      </c>
      <c r="T85" s="20">
        <f>H75</f>
        <v>49666000</v>
      </c>
      <c r="U85" s="20">
        <f>$F75/4</f>
        <v>31035250</v>
      </c>
      <c r="V85" s="20">
        <f>$F75/4</f>
        <v>31035250</v>
      </c>
      <c r="W85" s="20">
        <f>$F75/4</f>
        <v>31035250</v>
      </c>
      <c r="X85" s="20">
        <f>$F75/4</f>
        <v>31035250</v>
      </c>
      <c r="Y85" s="20">
        <f>$E75/4</f>
        <v>0</v>
      </c>
      <c r="Z85" s="20">
        <f>$E75/4</f>
        <v>0</v>
      </c>
      <c r="AA85" s="20">
        <f>$E75/4</f>
        <v>0</v>
      </c>
      <c r="AB85" s="20">
        <f>$E75/4</f>
        <v>0</v>
      </c>
      <c r="AC85" s="20">
        <f>$D75/4</f>
        <v>0</v>
      </c>
      <c r="AE85" s="21">
        <f t="shared" si="46"/>
        <v>35432650</v>
      </c>
      <c r="AF85" s="21">
        <f t="shared" si="47"/>
        <v>482443775</v>
      </c>
      <c r="AG85" s="21">
        <f t="shared" si="43"/>
        <v>23301350</v>
      </c>
    </row>
    <row r="86" spans="1:33" x14ac:dyDescent="0.2">
      <c r="B86" t="s">
        <v>113</v>
      </c>
      <c r="C86" s="18" t="s">
        <v>141</v>
      </c>
      <c r="D86" s="22">
        <f>$D75</f>
        <v>0</v>
      </c>
      <c r="E86" s="22">
        <f>$E75</f>
        <v>0</v>
      </c>
      <c r="F86" s="22">
        <f>$F75</f>
        <v>124141000</v>
      </c>
      <c r="G86" s="23">
        <f t="shared" si="44"/>
        <v>20</v>
      </c>
      <c r="H86" s="4">
        <v>43006000</v>
      </c>
      <c r="J86" s="20">
        <f t="shared" si="42"/>
        <v>43006000</v>
      </c>
      <c r="K86" s="20">
        <f t="shared" si="45"/>
        <v>58734000</v>
      </c>
      <c r="L86" s="20">
        <f t="shared" si="48"/>
        <v>52147000</v>
      </c>
      <c r="M86" s="20">
        <f t="shared" si="49"/>
        <v>61540000</v>
      </c>
      <c r="N86" s="20">
        <f t="shared" si="50"/>
        <v>43592000</v>
      </c>
      <c r="O86" s="20">
        <f t="shared" si="51"/>
        <v>40129000</v>
      </c>
      <c r="P86" s="20">
        <f t="shared" si="52"/>
        <v>44722000</v>
      </c>
      <c r="Q86" s="20">
        <f>H79</f>
        <v>46462000</v>
      </c>
      <c r="R86" s="20">
        <f>H78</f>
        <v>42144000</v>
      </c>
      <c r="S86" s="20">
        <f>H77</f>
        <v>96531000</v>
      </c>
      <c r="T86" s="20">
        <f>H76</f>
        <v>48845000</v>
      </c>
      <c r="U86" s="20">
        <f>H75</f>
        <v>49666000</v>
      </c>
      <c r="V86" s="20">
        <f>$F75/4</f>
        <v>31035250</v>
      </c>
      <c r="W86" s="20">
        <f>$F75/4</f>
        <v>31035250</v>
      </c>
      <c r="X86" s="20">
        <f>$F75/4</f>
        <v>31035250</v>
      </c>
      <c r="Y86" s="20">
        <f>$F75/4</f>
        <v>31035250</v>
      </c>
      <c r="Z86" s="20">
        <f>$E75/4</f>
        <v>0</v>
      </c>
      <c r="AA86" s="20">
        <f>$E75/4</f>
        <v>0</v>
      </c>
      <c r="AB86" s="20">
        <f>$E75/4</f>
        <v>0</v>
      </c>
      <c r="AC86" s="20">
        <f>$E75/4</f>
        <v>0</v>
      </c>
      <c r="AE86" s="21">
        <f t="shared" si="46"/>
        <v>37582950</v>
      </c>
      <c r="AF86" s="21">
        <f t="shared" si="47"/>
        <v>490017125</v>
      </c>
      <c r="AG86" s="21">
        <f t="shared" si="43"/>
        <v>5423050</v>
      </c>
    </row>
    <row r="89" spans="1:33" x14ac:dyDescent="0.2">
      <c r="C89" t="s">
        <v>143</v>
      </c>
    </row>
    <row r="90" spans="1:33" x14ac:dyDescent="0.2">
      <c r="C90" s="6" t="s">
        <v>107</v>
      </c>
      <c r="D90" s="6" t="s">
        <v>439</v>
      </c>
      <c r="E90" s="6" t="s">
        <v>440</v>
      </c>
      <c r="F90" s="6" t="s">
        <v>471</v>
      </c>
      <c r="G90" s="6" t="s">
        <v>441</v>
      </c>
      <c r="H90" s="6" t="s">
        <v>442</v>
      </c>
      <c r="I90" s="15"/>
      <c r="J90" s="6" t="s">
        <v>443</v>
      </c>
      <c r="K90" s="6" t="s">
        <v>444</v>
      </c>
      <c r="L90" s="6" t="s">
        <v>445</v>
      </c>
      <c r="M90" s="6" t="s">
        <v>446</v>
      </c>
      <c r="N90" s="6" t="s">
        <v>447</v>
      </c>
      <c r="O90" s="6" t="s">
        <v>448</v>
      </c>
      <c r="P90" s="6" t="s">
        <v>449</v>
      </c>
      <c r="Q90" s="6" t="s">
        <v>450</v>
      </c>
      <c r="R90" s="6" t="s">
        <v>451</v>
      </c>
      <c r="S90" s="6" t="s">
        <v>452</v>
      </c>
      <c r="T90" s="6" t="s">
        <v>453</v>
      </c>
      <c r="U90" s="6" t="s">
        <v>454</v>
      </c>
      <c r="V90" s="6" t="s">
        <v>455</v>
      </c>
      <c r="W90" s="6" t="s">
        <v>456</v>
      </c>
      <c r="X90" s="6" t="s">
        <v>457</v>
      </c>
      <c r="Y90" s="6" t="s">
        <v>458</v>
      </c>
      <c r="Z90" s="6" t="s">
        <v>459</v>
      </c>
      <c r="AA90" s="6" t="s">
        <v>460</v>
      </c>
      <c r="AB90" s="6" t="s">
        <v>461</v>
      </c>
      <c r="AC90" s="6" t="s">
        <v>462</v>
      </c>
      <c r="AD90" s="15"/>
      <c r="AE90" s="6" t="s">
        <v>106</v>
      </c>
      <c r="AF90" s="6" t="s">
        <v>105</v>
      </c>
      <c r="AG90" s="6" t="s">
        <v>463</v>
      </c>
    </row>
    <row r="91" spans="1:33" x14ac:dyDescent="0.2">
      <c r="C91" s="16" t="s">
        <v>464</v>
      </c>
      <c r="J91" s="17">
        <v>20</v>
      </c>
      <c r="K91" s="17">
        <v>19</v>
      </c>
      <c r="L91" s="17">
        <v>18</v>
      </c>
      <c r="M91" s="17">
        <v>17</v>
      </c>
      <c r="N91" s="17">
        <v>16</v>
      </c>
      <c r="O91" s="17">
        <v>15</v>
      </c>
      <c r="P91" s="17">
        <v>14</v>
      </c>
      <c r="Q91" s="17">
        <v>13</v>
      </c>
      <c r="R91" s="17">
        <v>12</v>
      </c>
      <c r="S91" s="17">
        <v>11</v>
      </c>
      <c r="T91" s="17">
        <v>10</v>
      </c>
      <c r="U91" s="17">
        <v>9</v>
      </c>
      <c r="V91" s="17">
        <v>8</v>
      </c>
      <c r="W91" s="17">
        <v>7</v>
      </c>
      <c r="X91" s="17">
        <v>6</v>
      </c>
      <c r="Y91" s="17">
        <v>5</v>
      </c>
      <c r="Z91" s="17">
        <v>4</v>
      </c>
      <c r="AA91" s="17">
        <v>3</v>
      </c>
      <c r="AB91" s="17">
        <v>2</v>
      </c>
      <c r="AC91" s="17">
        <v>1</v>
      </c>
    </row>
    <row r="92" spans="1:33" x14ac:dyDescent="0.2">
      <c r="A92">
        <v>1</v>
      </c>
      <c r="B92" t="s">
        <v>143</v>
      </c>
      <c r="C92" s="18" t="s">
        <v>484</v>
      </c>
      <c r="G92" s="23">
        <f t="shared" ref="G92:G99" si="53">$G$13</f>
        <v>20</v>
      </c>
      <c r="H92" s="4">
        <v>644250000</v>
      </c>
      <c r="I92" s="20">
        <f>+H92/20</f>
        <v>32212500</v>
      </c>
      <c r="J92" s="20">
        <f>+H92-$I92</f>
        <v>612037500</v>
      </c>
      <c r="K92" s="20">
        <f>+J92-$I92</f>
        <v>579825000</v>
      </c>
      <c r="L92" s="20">
        <f t="shared" ref="L92" si="54">+K92-$I92</f>
        <v>547612500</v>
      </c>
      <c r="M92" s="20">
        <f t="shared" ref="M92:M93" si="55">+L92-$I92</f>
        <v>515400000</v>
      </c>
      <c r="N92" s="20">
        <f t="shared" ref="N92:N94" si="56">+M92-$I92</f>
        <v>483187500</v>
      </c>
      <c r="O92" s="20">
        <f t="shared" ref="O92:O96" si="57">+N92-$I92</f>
        <v>450975000</v>
      </c>
      <c r="P92" s="20">
        <f t="shared" ref="P92:P97" si="58">+O92-$I92</f>
        <v>418762500</v>
      </c>
      <c r="Q92" s="20">
        <f t="shared" ref="Q92:Q98" si="59">+P92-$I92</f>
        <v>386550000</v>
      </c>
      <c r="R92" s="20">
        <f t="shared" ref="R92:R99" si="60">+Q92-$I92</f>
        <v>354337500</v>
      </c>
      <c r="S92" s="20">
        <f t="shared" ref="S92:S100" si="61">+R92-$I92</f>
        <v>322125000</v>
      </c>
      <c r="T92" s="20">
        <f t="shared" ref="T92:T101" si="62">+S92-$I92</f>
        <v>289912500</v>
      </c>
      <c r="U92" s="20">
        <f t="shared" ref="U92:U102" si="63">+T92-$I92</f>
        <v>257700000</v>
      </c>
      <c r="V92" s="20">
        <f t="shared" ref="V92:V103" si="64">+U92-$I92</f>
        <v>225487500</v>
      </c>
      <c r="W92" s="20">
        <f t="shared" ref="W92:W104" si="65">+V92-$I92</f>
        <v>193275000</v>
      </c>
      <c r="X92" s="20">
        <f t="shared" ref="X92:X105" si="66">+W92-$I92</f>
        <v>161062500</v>
      </c>
      <c r="Y92" s="20">
        <f t="shared" ref="Y92:Y106" si="67">+X92-$I92</f>
        <v>128850000</v>
      </c>
      <c r="Z92" s="20">
        <f t="shared" ref="Z92:Z107" si="68">+Y92-$I92</f>
        <v>96637500</v>
      </c>
      <c r="AA92" s="20">
        <f t="shared" ref="AA92:AA108" si="69">+Z92-$I92</f>
        <v>64425000</v>
      </c>
      <c r="AB92" s="20">
        <f t="shared" ref="AB92:AB109" si="70">+AA92-$I92</f>
        <v>32212500</v>
      </c>
      <c r="AC92" s="20">
        <f t="shared" ref="AC92:AC110" si="71">+AB92-$I92</f>
        <v>0</v>
      </c>
      <c r="AE92" s="21">
        <f>SUM(I92)</f>
        <v>32212500</v>
      </c>
      <c r="AF92" s="21">
        <f>SUM(J92:J92)</f>
        <v>612037500</v>
      </c>
      <c r="AG92" s="21">
        <f t="shared" ref="AG92:AG111" si="72">H92-AE92</f>
        <v>612037500</v>
      </c>
    </row>
    <row r="93" spans="1:33" x14ac:dyDescent="0.2">
      <c r="A93">
        <v>2</v>
      </c>
      <c r="B93" t="s">
        <v>143</v>
      </c>
      <c r="C93" s="18" t="s">
        <v>485</v>
      </c>
      <c r="G93" s="23">
        <f t="shared" si="53"/>
        <v>20</v>
      </c>
      <c r="H93" s="4">
        <v>644250000</v>
      </c>
      <c r="I93" s="20">
        <f t="shared" ref="I93:I111" si="73">+H93/20</f>
        <v>32212500</v>
      </c>
      <c r="J93" s="20"/>
      <c r="K93" s="20">
        <f>+H93-I93</f>
        <v>612037500</v>
      </c>
      <c r="L93" s="20">
        <f>+K93-$I93</f>
        <v>579825000</v>
      </c>
      <c r="M93" s="20">
        <f t="shared" si="55"/>
        <v>547612500</v>
      </c>
      <c r="N93" s="20">
        <f t="shared" si="56"/>
        <v>515400000</v>
      </c>
      <c r="O93" s="20">
        <f t="shared" si="57"/>
        <v>483187500</v>
      </c>
      <c r="P93" s="20">
        <f t="shared" si="58"/>
        <v>450975000</v>
      </c>
      <c r="Q93" s="20">
        <f t="shared" si="59"/>
        <v>418762500</v>
      </c>
      <c r="R93" s="20">
        <f t="shared" si="60"/>
        <v>386550000</v>
      </c>
      <c r="S93" s="20">
        <f t="shared" si="61"/>
        <v>354337500</v>
      </c>
      <c r="T93" s="20">
        <f t="shared" si="62"/>
        <v>322125000</v>
      </c>
      <c r="U93" s="20">
        <f t="shared" si="63"/>
        <v>289912500</v>
      </c>
      <c r="V93" s="20">
        <f t="shared" si="64"/>
        <v>257700000</v>
      </c>
      <c r="W93" s="20">
        <f t="shared" si="65"/>
        <v>225487500</v>
      </c>
      <c r="X93" s="20">
        <f t="shared" si="66"/>
        <v>193275000</v>
      </c>
      <c r="Y93" s="20">
        <f t="shared" si="67"/>
        <v>161062500</v>
      </c>
      <c r="Z93" s="20">
        <f t="shared" si="68"/>
        <v>128850000</v>
      </c>
      <c r="AA93" s="20">
        <f t="shared" si="69"/>
        <v>96637500</v>
      </c>
      <c r="AB93" s="20">
        <f t="shared" si="70"/>
        <v>64425000</v>
      </c>
      <c r="AC93" s="20">
        <f t="shared" si="71"/>
        <v>32212500</v>
      </c>
      <c r="AE93" s="21">
        <f>SUM(I92:I93)</f>
        <v>64425000</v>
      </c>
      <c r="AF93" s="21">
        <f>SUM(K92:K93)</f>
        <v>1191862500</v>
      </c>
      <c r="AG93" s="21">
        <f t="shared" si="72"/>
        <v>579825000</v>
      </c>
    </row>
    <row r="94" spans="1:33" x14ac:dyDescent="0.2">
      <c r="A94">
        <v>3</v>
      </c>
      <c r="B94" t="s">
        <v>143</v>
      </c>
      <c r="C94" s="18" t="s">
        <v>486</v>
      </c>
      <c r="G94" s="23">
        <f t="shared" si="53"/>
        <v>20</v>
      </c>
      <c r="H94" s="4">
        <v>644250000</v>
      </c>
      <c r="I94" s="20">
        <f t="shared" si="73"/>
        <v>32212500</v>
      </c>
      <c r="J94" s="20"/>
      <c r="K94" s="20"/>
      <c r="L94" s="20">
        <f>+H94-I94</f>
        <v>612037500</v>
      </c>
      <c r="M94" s="20">
        <f>+L94-$I94</f>
        <v>579825000</v>
      </c>
      <c r="N94" s="20">
        <f t="shared" si="56"/>
        <v>547612500</v>
      </c>
      <c r="O94" s="20">
        <f t="shared" si="57"/>
        <v>515400000</v>
      </c>
      <c r="P94" s="20">
        <f t="shared" si="58"/>
        <v>483187500</v>
      </c>
      <c r="Q94" s="20">
        <f t="shared" si="59"/>
        <v>450975000</v>
      </c>
      <c r="R94" s="20">
        <f t="shared" si="60"/>
        <v>418762500</v>
      </c>
      <c r="S94" s="20">
        <f t="shared" si="61"/>
        <v>386550000</v>
      </c>
      <c r="T94" s="20">
        <f t="shared" si="62"/>
        <v>354337500</v>
      </c>
      <c r="U94" s="20">
        <f t="shared" si="63"/>
        <v>322125000</v>
      </c>
      <c r="V94" s="20">
        <f t="shared" si="64"/>
        <v>289912500</v>
      </c>
      <c r="W94" s="20">
        <f t="shared" si="65"/>
        <v>257700000</v>
      </c>
      <c r="X94" s="20">
        <f t="shared" si="66"/>
        <v>225487500</v>
      </c>
      <c r="Y94" s="20">
        <f t="shared" si="67"/>
        <v>193275000</v>
      </c>
      <c r="Z94" s="20">
        <f t="shared" si="68"/>
        <v>161062500</v>
      </c>
      <c r="AA94" s="20">
        <f t="shared" si="69"/>
        <v>128850000</v>
      </c>
      <c r="AB94" s="20">
        <f t="shared" si="70"/>
        <v>96637500</v>
      </c>
      <c r="AC94" s="20">
        <f t="shared" si="71"/>
        <v>64425000</v>
      </c>
      <c r="AE94" s="21">
        <f>SUM(I92:I94)</f>
        <v>96637500</v>
      </c>
      <c r="AF94" s="21">
        <f>SUM(L92:L94)</f>
        <v>1739475000</v>
      </c>
      <c r="AG94" s="21">
        <f t="shared" si="72"/>
        <v>547612500</v>
      </c>
    </row>
    <row r="95" spans="1:33" x14ac:dyDescent="0.2">
      <c r="A95">
        <v>4</v>
      </c>
      <c r="B95" t="s">
        <v>143</v>
      </c>
      <c r="C95" s="18" t="s">
        <v>487</v>
      </c>
      <c r="G95" s="23">
        <f t="shared" si="53"/>
        <v>20</v>
      </c>
      <c r="H95" s="4">
        <v>644250000</v>
      </c>
      <c r="I95" s="20">
        <f t="shared" si="73"/>
        <v>32212500</v>
      </c>
      <c r="J95" s="20"/>
      <c r="K95" s="20"/>
      <c r="L95" s="20"/>
      <c r="M95" s="20">
        <f>+H95-I95</f>
        <v>612037500</v>
      </c>
      <c r="N95" s="20">
        <f>+M95-$I95</f>
        <v>579825000</v>
      </c>
      <c r="O95" s="20">
        <f t="shared" si="57"/>
        <v>547612500</v>
      </c>
      <c r="P95" s="20">
        <f t="shared" si="58"/>
        <v>515400000</v>
      </c>
      <c r="Q95" s="20">
        <f t="shared" si="59"/>
        <v>483187500</v>
      </c>
      <c r="R95" s="20">
        <f t="shared" si="60"/>
        <v>450975000</v>
      </c>
      <c r="S95" s="20">
        <f t="shared" si="61"/>
        <v>418762500</v>
      </c>
      <c r="T95" s="20">
        <f t="shared" si="62"/>
        <v>386550000</v>
      </c>
      <c r="U95" s="20">
        <f t="shared" si="63"/>
        <v>354337500</v>
      </c>
      <c r="V95" s="20">
        <f t="shared" si="64"/>
        <v>322125000</v>
      </c>
      <c r="W95" s="20">
        <f t="shared" si="65"/>
        <v>289912500</v>
      </c>
      <c r="X95" s="20">
        <f t="shared" si="66"/>
        <v>257700000</v>
      </c>
      <c r="Y95" s="20">
        <f t="shared" si="67"/>
        <v>225487500</v>
      </c>
      <c r="Z95" s="20">
        <f t="shared" si="68"/>
        <v>193275000</v>
      </c>
      <c r="AA95" s="20">
        <f t="shared" si="69"/>
        <v>161062500</v>
      </c>
      <c r="AB95" s="20">
        <f t="shared" si="70"/>
        <v>128850000</v>
      </c>
      <c r="AC95" s="20">
        <f t="shared" si="71"/>
        <v>96637500</v>
      </c>
      <c r="AE95" s="21">
        <f>SUM(I92:I95)</f>
        <v>128850000</v>
      </c>
      <c r="AF95" s="21">
        <f>SUM(M92:M95)</f>
        <v>2254875000</v>
      </c>
      <c r="AG95" s="21">
        <f t="shared" si="72"/>
        <v>515400000</v>
      </c>
    </row>
    <row r="96" spans="1:33" x14ac:dyDescent="0.2">
      <c r="A96">
        <v>5</v>
      </c>
      <c r="B96" t="s">
        <v>143</v>
      </c>
      <c r="C96" s="18" t="s">
        <v>104</v>
      </c>
      <c r="G96" s="23">
        <f t="shared" si="53"/>
        <v>20</v>
      </c>
      <c r="H96" s="4">
        <v>681000000</v>
      </c>
      <c r="I96" s="20">
        <f t="shared" si="73"/>
        <v>34050000</v>
      </c>
      <c r="J96" s="20"/>
      <c r="K96" s="20"/>
      <c r="L96" s="20"/>
      <c r="M96" s="20"/>
      <c r="N96" s="20">
        <f>+H96-I96</f>
        <v>646950000</v>
      </c>
      <c r="O96" s="20">
        <f t="shared" si="57"/>
        <v>612900000</v>
      </c>
      <c r="P96" s="20">
        <f t="shared" si="58"/>
        <v>578850000</v>
      </c>
      <c r="Q96" s="20">
        <f t="shared" si="59"/>
        <v>544800000</v>
      </c>
      <c r="R96" s="20">
        <f t="shared" si="60"/>
        <v>510750000</v>
      </c>
      <c r="S96" s="20">
        <f t="shared" si="61"/>
        <v>476700000</v>
      </c>
      <c r="T96" s="20">
        <f t="shared" si="62"/>
        <v>442650000</v>
      </c>
      <c r="U96" s="20">
        <f t="shared" si="63"/>
        <v>408600000</v>
      </c>
      <c r="V96" s="20">
        <f t="shared" si="64"/>
        <v>374550000</v>
      </c>
      <c r="W96" s="20">
        <f t="shared" si="65"/>
        <v>340500000</v>
      </c>
      <c r="X96" s="20">
        <f t="shared" si="66"/>
        <v>306450000</v>
      </c>
      <c r="Y96" s="20">
        <f t="shared" si="67"/>
        <v>272400000</v>
      </c>
      <c r="Z96" s="20">
        <f t="shared" si="68"/>
        <v>238350000</v>
      </c>
      <c r="AA96" s="20">
        <f t="shared" si="69"/>
        <v>204300000</v>
      </c>
      <c r="AB96" s="20">
        <f t="shared" si="70"/>
        <v>170250000</v>
      </c>
      <c r="AC96" s="20">
        <f t="shared" si="71"/>
        <v>136200000</v>
      </c>
      <c r="AE96" s="21">
        <f>SUM(I92:I96)</f>
        <v>162900000</v>
      </c>
      <c r="AF96" s="21">
        <f>SUM(N92:N96)</f>
        <v>2772975000</v>
      </c>
      <c r="AG96" s="21">
        <f t="shared" si="72"/>
        <v>518100000</v>
      </c>
    </row>
    <row r="97" spans="1:33" x14ac:dyDescent="0.2">
      <c r="A97">
        <v>6</v>
      </c>
      <c r="B97" t="s">
        <v>143</v>
      </c>
      <c r="C97" s="18" t="s">
        <v>103</v>
      </c>
      <c r="G97" s="23">
        <f t="shared" si="53"/>
        <v>20</v>
      </c>
      <c r="H97" s="4">
        <v>626000000</v>
      </c>
      <c r="I97" s="20">
        <f t="shared" si="73"/>
        <v>31300000</v>
      </c>
      <c r="J97" s="20"/>
      <c r="K97" s="20"/>
      <c r="L97" s="20"/>
      <c r="M97" s="20"/>
      <c r="N97" s="20"/>
      <c r="O97" s="20">
        <f>+H97-I97</f>
        <v>594700000</v>
      </c>
      <c r="P97" s="20">
        <f t="shared" si="58"/>
        <v>563400000</v>
      </c>
      <c r="Q97" s="20">
        <f t="shared" si="59"/>
        <v>532100000</v>
      </c>
      <c r="R97" s="20">
        <f t="shared" si="60"/>
        <v>500800000</v>
      </c>
      <c r="S97" s="20">
        <f t="shared" si="61"/>
        <v>469500000</v>
      </c>
      <c r="T97" s="20">
        <f t="shared" si="62"/>
        <v>438200000</v>
      </c>
      <c r="U97" s="20">
        <f t="shared" si="63"/>
        <v>406900000</v>
      </c>
      <c r="V97" s="20">
        <f t="shared" si="64"/>
        <v>375600000</v>
      </c>
      <c r="W97" s="20">
        <f t="shared" si="65"/>
        <v>344300000</v>
      </c>
      <c r="X97" s="20">
        <f t="shared" si="66"/>
        <v>313000000</v>
      </c>
      <c r="Y97" s="20">
        <f t="shared" si="67"/>
        <v>281700000</v>
      </c>
      <c r="Z97" s="20">
        <f t="shared" si="68"/>
        <v>250400000</v>
      </c>
      <c r="AA97" s="20">
        <f t="shared" si="69"/>
        <v>219100000</v>
      </c>
      <c r="AB97" s="20">
        <f t="shared" si="70"/>
        <v>187800000</v>
      </c>
      <c r="AC97" s="20">
        <f t="shared" si="71"/>
        <v>156500000</v>
      </c>
      <c r="AE97" s="21">
        <f>SUM(I92:I97)</f>
        <v>194200000</v>
      </c>
      <c r="AF97" s="21">
        <f>SUM(O92:O97)</f>
        <v>3204775000</v>
      </c>
      <c r="AG97" s="21">
        <f t="shared" si="72"/>
        <v>431800000</v>
      </c>
    </row>
    <row r="98" spans="1:33" x14ac:dyDescent="0.2">
      <c r="A98">
        <v>7</v>
      </c>
      <c r="B98" t="s">
        <v>143</v>
      </c>
      <c r="C98" s="18" t="s">
        <v>102</v>
      </c>
      <c r="G98" s="23">
        <f t="shared" si="53"/>
        <v>20</v>
      </c>
      <c r="H98" s="4">
        <v>677000000</v>
      </c>
      <c r="I98" s="20">
        <f t="shared" si="73"/>
        <v>33850000</v>
      </c>
      <c r="J98" s="20"/>
      <c r="K98" s="20"/>
      <c r="L98" s="20"/>
      <c r="M98" s="20"/>
      <c r="N98" s="20"/>
      <c r="O98" s="20"/>
      <c r="P98" s="20">
        <f>+H98-I98</f>
        <v>643150000</v>
      </c>
      <c r="Q98" s="20">
        <f t="shared" si="59"/>
        <v>609300000</v>
      </c>
      <c r="R98" s="20">
        <f t="shared" si="60"/>
        <v>575450000</v>
      </c>
      <c r="S98" s="20">
        <f t="shared" si="61"/>
        <v>541600000</v>
      </c>
      <c r="T98" s="20">
        <f t="shared" si="62"/>
        <v>507750000</v>
      </c>
      <c r="U98" s="20">
        <f t="shared" si="63"/>
        <v>473900000</v>
      </c>
      <c r="V98" s="20">
        <f t="shared" si="64"/>
        <v>440050000</v>
      </c>
      <c r="W98" s="20">
        <f t="shared" si="65"/>
        <v>406200000</v>
      </c>
      <c r="X98" s="20">
        <f t="shared" si="66"/>
        <v>372350000</v>
      </c>
      <c r="Y98" s="20">
        <f t="shared" si="67"/>
        <v>338500000</v>
      </c>
      <c r="Z98" s="20">
        <f t="shared" si="68"/>
        <v>304650000</v>
      </c>
      <c r="AA98" s="20">
        <f t="shared" si="69"/>
        <v>270800000</v>
      </c>
      <c r="AB98" s="20">
        <f t="shared" si="70"/>
        <v>236950000</v>
      </c>
      <c r="AC98" s="20">
        <f t="shared" si="71"/>
        <v>203100000</v>
      </c>
      <c r="AE98" s="21">
        <f>SUM(I92:I98)</f>
        <v>228050000</v>
      </c>
      <c r="AF98" s="21">
        <f>SUM(P92:P98)</f>
        <v>3653725000</v>
      </c>
      <c r="AG98" s="21">
        <f t="shared" si="72"/>
        <v>448950000</v>
      </c>
    </row>
    <row r="99" spans="1:33" x14ac:dyDescent="0.2">
      <c r="A99">
        <v>8</v>
      </c>
      <c r="B99" t="s">
        <v>143</v>
      </c>
      <c r="C99" s="18" t="s">
        <v>101</v>
      </c>
      <c r="G99" s="23">
        <f t="shared" si="53"/>
        <v>20</v>
      </c>
      <c r="H99" s="4">
        <v>795000000</v>
      </c>
      <c r="I99" s="20">
        <f t="shared" si="73"/>
        <v>39750000</v>
      </c>
      <c r="J99" s="20"/>
      <c r="K99" s="20"/>
      <c r="L99" s="20"/>
      <c r="M99" s="20"/>
      <c r="N99" s="20"/>
      <c r="O99" s="20"/>
      <c r="P99" s="20"/>
      <c r="Q99" s="20">
        <f>+H99-I99</f>
        <v>755250000</v>
      </c>
      <c r="R99" s="20">
        <f t="shared" si="60"/>
        <v>715500000</v>
      </c>
      <c r="S99" s="20">
        <f t="shared" si="61"/>
        <v>675750000</v>
      </c>
      <c r="T99" s="20">
        <f t="shared" si="62"/>
        <v>636000000</v>
      </c>
      <c r="U99" s="20">
        <f t="shared" si="63"/>
        <v>596250000</v>
      </c>
      <c r="V99" s="20">
        <f t="shared" si="64"/>
        <v>556500000</v>
      </c>
      <c r="W99" s="20">
        <f t="shared" si="65"/>
        <v>516750000</v>
      </c>
      <c r="X99" s="20">
        <f t="shared" si="66"/>
        <v>477000000</v>
      </c>
      <c r="Y99" s="20">
        <f t="shared" si="67"/>
        <v>437250000</v>
      </c>
      <c r="Z99" s="20">
        <f t="shared" si="68"/>
        <v>397500000</v>
      </c>
      <c r="AA99" s="20">
        <f t="shared" si="69"/>
        <v>357750000</v>
      </c>
      <c r="AB99" s="20">
        <f t="shared" si="70"/>
        <v>318000000</v>
      </c>
      <c r="AC99" s="20">
        <f t="shared" si="71"/>
        <v>278250000</v>
      </c>
      <c r="AE99" s="21">
        <f>SUM(I92:I99)</f>
        <v>267800000</v>
      </c>
      <c r="AF99" s="21">
        <f>SUM(Q92:Q99)</f>
        <v>4180925000</v>
      </c>
      <c r="AG99" s="21">
        <f t="shared" si="72"/>
        <v>527200000</v>
      </c>
    </row>
    <row r="100" spans="1:33" x14ac:dyDescent="0.2">
      <c r="A100">
        <v>9</v>
      </c>
      <c r="B100" t="s">
        <v>143</v>
      </c>
      <c r="C100" s="18" t="s">
        <v>100</v>
      </c>
      <c r="D100" s="4">
        <v>3924000000</v>
      </c>
      <c r="E100" s="4">
        <v>5268000000</v>
      </c>
      <c r="F100" s="4">
        <v>7339000000</v>
      </c>
      <c r="G100" s="19">
        <v>20</v>
      </c>
      <c r="H100" s="4">
        <v>688000000</v>
      </c>
      <c r="I100" s="20">
        <f t="shared" si="73"/>
        <v>34400000</v>
      </c>
      <c r="J100" s="20"/>
      <c r="K100" s="20"/>
      <c r="L100" s="20"/>
      <c r="M100" s="20"/>
      <c r="N100" s="20"/>
      <c r="O100" s="20"/>
      <c r="P100" s="20"/>
      <c r="Q100" s="20"/>
      <c r="R100" s="20">
        <f>+H100-I100</f>
        <v>653600000</v>
      </c>
      <c r="S100" s="20">
        <f t="shared" si="61"/>
        <v>619200000</v>
      </c>
      <c r="T100" s="20">
        <f t="shared" si="62"/>
        <v>584800000</v>
      </c>
      <c r="U100" s="20">
        <f t="shared" si="63"/>
        <v>550400000</v>
      </c>
      <c r="V100" s="20">
        <f t="shared" si="64"/>
        <v>516000000</v>
      </c>
      <c r="W100" s="20">
        <f t="shared" si="65"/>
        <v>481600000</v>
      </c>
      <c r="X100" s="20">
        <f t="shared" si="66"/>
        <v>447200000</v>
      </c>
      <c r="Y100" s="20">
        <f t="shared" si="67"/>
        <v>412800000</v>
      </c>
      <c r="Z100" s="20">
        <f t="shared" si="68"/>
        <v>378400000</v>
      </c>
      <c r="AA100" s="20">
        <f t="shared" si="69"/>
        <v>344000000</v>
      </c>
      <c r="AB100" s="20">
        <f t="shared" si="70"/>
        <v>309600000</v>
      </c>
      <c r="AC100" s="20">
        <f t="shared" si="71"/>
        <v>275200000</v>
      </c>
      <c r="AE100" s="21">
        <f>SUM(I92:I100)</f>
        <v>302200000</v>
      </c>
      <c r="AF100" s="21">
        <f>SUM(R92:R100)</f>
        <v>4566725000</v>
      </c>
      <c r="AG100" s="21">
        <f t="shared" si="72"/>
        <v>385800000</v>
      </c>
    </row>
    <row r="101" spans="1:33" x14ac:dyDescent="0.2">
      <c r="A101">
        <v>10</v>
      </c>
      <c r="B101" t="s">
        <v>143</v>
      </c>
      <c r="C101" s="18" t="s">
        <v>99</v>
      </c>
      <c r="D101" s="22">
        <f>$D100</f>
        <v>3924000000</v>
      </c>
      <c r="E101" s="22">
        <f>$E100</f>
        <v>5268000000</v>
      </c>
      <c r="F101" s="22">
        <f>$F100</f>
        <v>7339000000</v>
      </c>
      <c r="G101" s="23">
        <f>$G$13</f>
        <v>20</v>
      </c>
      <c r="H101" s="4">
        <v>705000000</v>
      </c>
      <c r="I101" s="20">
        <f t="shared" si="73"/>
        <v>35250000</v>
      </c>
      <c r="J101" s="20"/>
      <c r="K101" s="20"/>
      <c r="L101" s="20"/>
      <c r="M101" s="20"/>
      <c r="N101" s="20"/>
      <c r="O101" s="20"/>
      <c r="P101" s="20"/>
      <c r="Q101" s="20"/>
      <c r="R101" s="20"/>
      <c r="S101" s="20">
        <f>+H101-I101</f>
        <v>669750000</v>
      </c>
      <c r="T101" s="20">
        <f t="shared" si="62"/>
        <v>634500000</v>
      </c>
      <c r="U101" s="20">
        <f t="shared" si="63"/>
        <v>599250000</v>
      </c>
      <c r="V101" s="20">
        <f t="shared" si="64"/>
        <v>564000000</v>
      </c>
      <c r="W101" s="20">
        <f t="shared" si="65"/>
        <v>528750000</v>
      </c>
      <c r="X101" s="20">
        <f t="shared" si="66"/>
        <v>493500000</v>
      </c>
      <c r="Y101" s="20">
        <f t="shared" si="67"/>
        <v>458250000</v>
      </c>
      <c r="Z101" s="20">
        <f t="shared" si="68"/>
        <v>423000000</v>
      </c>
      <c r="AA101" s="20">
        <f t="shared" si="69"/>
        <v>387750000</v>
      </c>
      <c r="AB101" s="20">
        <f t="shared" si="70"/>
        <v>352500000</v>
      </c>
      <c r="AC101" s="20">
        <f t="shared" si="71"/>
        <v>317250000</v>
      </c>
      <c r="AE101" s="21">
        <f>SUM(I92:I101)</f>
        <v>337450000</v>
      </c>
      <c r="AF101" s="21">
        <f>SUM(S92:S101)</f>
        <v>4934275000</v>
      </c>
      <c r="AG101" s="21">
        <f t="shared" si="72"/>
        <v>367550000</v>
      </c>
    </row>
    <row r="102" spans="1:33" x14ac:dyDescent="0.2">
      <c r="A102">
        <v>11</v>
      </c>
      <c r="B102" t="s">
        <v>143</v>
      </c>
      <c r="C102" s="18" t="s">
        <v>98</v>
      </c>
      <c r="D102" s="22">
        <f>$D100</f>
        <v>3924000000</v>
      </c>
      <c r="E102" s="22">
        <f>$E100</f>
        <v>5268000000</v>
      </c>
      <c r="F102" s="22">
        <f>$F100</f>
        <v>7339000000</v>
      </c>
      <c r="G102" s="23">
        <f t="shared" ref="G102:G111" si="74">$G$13</f>
        <v>20</v>
      </c>
      <c r="H102" s="4">
        <v>692000000</v>
      </c>
      <c r="I102" s="20">
        <f t="shared" si="73"/>
        <v>34600000</v>
      </c>
      <c r="J102" s="20"/>
      <c r="K102" s="20"/>
      <c r="L102" s="20"/>
      <c r="M102" s="20"/>
      <c r="N102" s="20"/>
      <c r="O102" s="20"/>
      <c r="P102" s="20"/>
      <c r="Q102" s="20"/>
      <c r="R102" s="20"/>
      <c r="S102" s="20"/>
      <c r="T102" s="20">
        <f>+H102-I102</f>
        <v>657400000</v>
      </c>
      <c r="U102" s="20">
        <f t="shared" si="63"/>
        <v>622800000</v>
      </c>
      <c r="V102" s="20">
        <f t="shared" si="64"/>
        <v>588200000</v>
      </c>
      <c r="W102" s="20">
        <f t="shared" si="65"/>
        <v>553600000</v>
      </c>
      <c r="X102" s="20">
        <f t="shared" si="66"/>
        <v>519000000</v>
      </c>
      <c r="Y102" s="20">
        <f t="shared" si="67"/>
        <v>484400000</v>
      </c>
      <c r="Z102" s="20">
        <f t="shared" si="68"/>
        <v>449800000</v>
      </c>
      <c r="AA102" s="20">
        <f t="shared" si="69"/>
        <v>415200000</v>
      </c>
      <c r="AB102" s="20">
        <f t="shared" si="70"/>
        <v>380600000</v>
      </c>
      <c r="AC102" s="20">
        <f t="shared" si="71"/>
        <v>346000000</v>
      </c>
      <c r="AE102" s="21">
        <f>SUM(I92:I102)</f>
        <v>372050000</v>
      </c>
      <c r="AF102" s="21">
        <f>SUM(T92:T102)</f>
        <v>5254225000</v>
      </c>
      <c r="AG102" s="21">
        <f t="shared" si="72"/>
        <v>319950000</v>
      </c>
    </row>
    <row r="103" spans="1:33" x14ac:dyDescent="0.2">
      <c r="A103">
        <v>12</v>
      </c>
      <c r="B103" t="s">
        <v>143</v>
      </c>
      <c r="C103" s="18" t="s">
        <v>97</v>
      </c>
      <c r="D103" s="22">
        <f>$D100</f>
        <v>3924000000</v>
      </c>
      <c r="E103" s="22">
        <f>$E100</f>
        <v>5268000000</v>
      </c>
      <c r="F103" s="22">
        <f>$F100</f>
        <v>7339000000</v>
      </c>
      <c r="G103" s="23">
        <f t="shared" si="74"/>
        <v>20</v>
      </c>
      <c r="H103" s="4">
        <v>716000000</v>
      </c>
      <c r="I103" s="20">
        <f t="shared" si="73"/>
        <v>35800000</v>
      </c>
      <c r="J103" s="20"/>
      <c r="K103" s="20"/>
      <c r="L103" s="20"/>
      <c r="M103" s="20"/>
      <c r="N103" s="20"/>
      <c r="O103" s="20"/>
      <c r="P103" s="20"/>
      <c r="Q103" s="20"/>
      <c r="R103" s="20"/>
      <c r="S103" s="20"/>
      <c r="T103" s="20"/>
      <c r="U103" s="20">
        <f>+H103-I103</f>
        <v>680200000</v>
      </c>
      <c r="V103" s="20">
        <f t="shared" si="64"/>
        <v>644400000</v>
      </c>
      <c r="W103" s="20">
        <f t="shared" si="65"/>
        <v>608600000</v>
      </c>
      <c r="X103" s="20">
        <f t="shared" si="66"/>
        <v>572800000</v>
      </c>
      <c r="Y103" s="20">
        <f t="shared" si="67"/>
        <v>537000000</v>
      </c>
      <c r="Z103" s="20">
        <f t="shared" si="68"/>
        <v>501200000</v>
      </c>
      <c r="AA103" s="20">
        <f t="shared" si="69"/>
        <v>465400000</v>
      </c>
      <c r="AB103" s="20">
        <f t="shared" si="70"/>
        <v>429600000</v>
      </c>
      <c r="AC103" s="20">
        <f t="shared" si="71"/>
        <v>393800000</v>
      </c>
      <c r="AE103" s="21">
        <f>SUM(I92:I103)</f>
        <v>407850000</v>
      </c>
      <c r="AF103" s="21">
        <f>SUM(U92:U103)</f>
        <v>5562375000</v>
      </c>
      <c r="AG103" s="21">
        <f t="shared" si="72"/>
        <v>308150000</v>
      </c>
    </row>
    <row r="104" spans="1:33" x14ac:dyDescent="0.2">
      <c r="A104">
        <v>13</v>
      </c>
      <c r="B104" t="s">
        <v>143</v>
      </c>
      <c r="C104" s="18" t="s">
        <v>96</v>
      </c>
      <c r="D104" s="22">
        <f>$D100</f>
        <v>3924000000</v>
      </c>
      <c r="E104" s="22">
        <f>$E100</f>
        <v>5268000000</v>
      </c>
      <c r="F104" s="22">
        <f>$F100</f>
        <v>7339000000</v>
      </c>
      <c r="G104" s="23">
        <f t="shared" si="74"/>
        <v>20</v>
      </c>
      <c r="H104" s="4">
        <v>763000000</v>
      </c>
      <c r="I104" s="20">
        <f t="shared" si="73"/>
        <v>38150000</v>
      </c>
      <c r="J104" s="20"/>
      <c r="K104" s="20"/>
      <c r="L104" s="20"/>
      <c r="M104" s="20"/>
      <c r="N104" s="20"/>
      <c r="O104" s="20"/>
      <c r="P104" s="20"/>
      <c r="Q104" s="20"/>
      <c r="R104" s="20"/>
      <c r="S104" s="20"/>
      <c r="T104" s="20"/>
      <c r="U104" s="20"/>
      <c r="V104" s="20">
        <f>+H104-I104</f>
        <v>724850000</v>
      </c>
      <c r="W104" s="20">
        <f t="shared" si="65"/>
        <v>686700000</v>
      </c>
      <c r="X104" s="20">
        <f t="shared" si="66"/>
        <v>648550000</v>
      </c>
      <c r="Y104" s="20">
        <f t="shared" si="67"/>
        <v>610400000</v>
      </c>
      <c r="Z104" s="20">
        <f t="shared" si="68"/>
        <v>572250000</v>
      </c>
      <c r="AA104" s="20">
        <f t="shared" si="69"/>
        <v>534100000</v>
      </c>
      <c r="AB104" s="20">
        <f t="shared" si="70"/>
        <v>495950000</v>
      </c>
      <c r="AC104" s="20">
        <f t="shared" si="71"/>
        <v>457800000</v>
      </c>
      <c r="AE104" s="21">
        <f>SUM(I92:I104)</f>
        <v>446000000</v>
      </c>
      <c r="AF104" s="21">
        <f>SUM(V92:V104)</f>
        <v>5879375000</v>
      </c>
      <c r="AG104" s="21">
        <f t="shared" si="72"/>
        <v>317000000</v>
      </c>
    </row>
    <row r="105" spans="1:33" x14ac:dyDescent="0.2">
      <c r="A105">
        <v>14</v>
      </c>
      <c r="B105" t="s">
        <v>143</v>
      </c>
      <c r="C105" s="18" t="s">
        <v>95</v>
      </c>
      <c r="D105" s="22">
        <f>$D100</f>
        <v>3924000000</v>
      </c>
      <c r="E105" s="22">
        <f>$E100</f>
        <v>5268000000</v>
      </c>
      <c r="F105" s="22">
        <f>$F100</f>
        <v>7339000000</v>
      </c>
      <c r="G105" s="23">
        <f t="shared" si="74"/>
        <v>20</v>
      </c>
      <c r="H105" s="4">
        <v>780000000</v>
      </c>
      <c r="I105" s="20">
        <f t="shared" si="73"/>
        <v>39000000</v>
      </c>
      <c r="J105" s="20"/>
      <c r="K105" s="20"/>
      <c r="L105" s="20"/>
      <c r="M105" s="20"/>
      <c r="N105" s="20"/>
      <c r="O105" s="20"/>
      <c r="P105" s="20"/>
      <c r="Q105" s="20"/>
      <c r="R105" s="20"/>
      <c r="S105" s="20"/>
      <c r="T105" s="20"/>
      <c r="U105" s="20"/>
      <c r="V105" s="20"/>
      <c r="W105" s="20">
        <f>+H105-I105</f>
        <v>741000000</v>
      </c>
      <c r="X105" s="20">
        <f t="shared" si="66"/>
        <v>702000000</v>
      </c>
      <c r="Y105" s="20">
        <f t="shared" si="67"/>
        <v>663000000</v>
      </c>
      <c r="Z105" s="20">
        <f t="shared" si="68"/>
        <v>624000000</v>
      </c>
      <c r="AA105" s="20">
        <f t="shared" si="69"/>
        <v>585000000</v>
      </c>
      <c r="AB105" s="20">
        <f t="shared" si="70"/>
        <v>546000000</v>
      </c>
      <c r="AC105" s="20">
        <f t="shared" si="71"/>
        <v>507000000</v>
      </c>
      <c r="AE105" s="21">
        <f>SUM(I92:I105)</f>
        <v>485000000</v>
      </c>
      <c r="AF105" s="21">
        <f>SUM(W92:W105)</f>
        <v>6174375000</v>
      </c>
      <c r="AG105" s="21">
        <f t="shared" si="72"/>
        <v>295000000</v>
      </c>
    </row>
    <row r="106" spans="1:33" x14ac:dyDescent="0.2">
      <c r="A106">
        <v>15</v>
      </c>
      <c r="B106" t="s">
        <v>143</v>
      </c>
      <c r="C106" s="18" t="s">
        <v>94</v>
      </c>
      <c r="D106" s="22">
        <f>$D100</f>
        <v>3924000000</v>
      </c>
      <c r="E106" s="22">
        <f>$E100</f>
        <v>5268000000</v>
      </c>
      <c r="F106" s="22">
        <f>$F100</f>
        <v>7339000000</v>
      </c>
      <c r="G106" s="23">
        <f t="shared" si="74"/>
        <v>20</v>
      </c>
      <c r="H106" s="4">
        <v>745000000</v>
      </c>
      <c r="I106" s="20">
        <f t="shared" si="73"/>
        <v>37250000</v>
      </c>
      <c r="J106" s="20"/>
      <c r="K106" s="20"/>
      <c r="L106" s="20"/>
      <c r="M106" s="20"/>
      <c r="N106" s="20"/>
      <c r="O106" s="20"/>
      <c r="P106" s="20"/>
      <c r="Q106" s="20"/>
      <c r="R106" s="20"/>
      <c r="S106" s="20"/>
      <c r="T106" s="20"/>
      <c r="U106" s="20"/>
      <c r="V106" s="20"/>
      <c r="W106" s="20"/>
      <c r="X106" s="20">
        <f>+H106-I106</f>
        <v>707750000</v>
      </c>
      <c r="Y106" s="20">
        <f t="shared" si="67"/>
        <v>670500000</v>
      </c>
      <c r="Z106" s="20">
        <f t="shared" si="68"/>
        <v>633250000</v>
      </c>
      <c r="AA106" s="20">
        <f t="shared" si="69"/>
        <v>596000000</v>
      </c>
      <c r="AB106" s="20">
        <f t="shared" si="70"/>
        <v>558750000</v>
      </c>
      <c r="AC106" s="20">
        <f t="shared" si="71"/>
        <v>521500000</v>
      </c>
      <c r="AE106" s="21">
        <f>SUM(I92:I106)</f>
        <v>522250000</v>
      </c>
      <c r="AF106" s="21">
        <f>SUM(X92:X106)</f>
        <v>6397125000</v>
      </c>
      <c r="AG106" s="21">
        <f t="shared" si="72"/>
        <v>222750000</v>
      </c>
    </row>
    <row r="107" spans="1:33" x14ac:dyDescent="0.2">
      <c r="A107">
        <v>16</v>
      </c>
      <c r="B107" t="s">
        <v>143</v>
      </c>
      <c r="C107" s="18" t="s">
        <v>93</v>
      </c>
      <c r="D107" s="22">
        <f>$D100</f>
        <v>3924000000</v>
      </c>
      <c r="E107" s="22">
        <f>$E100</f>
        <v>5268000000</v>
      </c>
      <c r="F107" s="22">
        <f>$F100</f>
        <v>7339000000</v>
      </c>
      <c r="G107" s="23">
        <f t="shared" si="74"/>
        <v>20</v>
      </c>
      <c r="H107" s="4">
        <v>773000000</v>
      </c>
      <c r="I107" s="20">
        <f t="shared" si="73"/>
        <v>38650000</v>
      </c>
      <c r="J107" s="20"/>
      <c r="K107" s="20"/>
      <c r="L107" s="20"/>
      <c r="M107" s="20"/>
      <c r="N107" s="20"/>
      <c r="O107" s="20"/>
      <c r="P107" s="20"/>
      <c r="Q107" s="20"/>
      <c r="R107" s="20"/>
      <c r="S107" s="20"/>
      <c r="T107" s="20"/>
      <c r="U107" s="20"/>
      <c r="V107" s="20"/>
      <c r="W107" s="20"/>
      <c r="X107" s="20"/>
      <c r="Y107" s="20">
        <f>+H107-I107</f>
        <v>734350000</v>
      </c>
      <c r="Z107" s="20">
        <f t="shared" si="68"/>
        <v>695700000</v>
      </c>
      <c r="AA107" s="20">
        <f t="shared" si="69"/>
        <v>657050000</v>
      </c>
      <c r="AB107" s="20">
        <f t="shared" si="70"/>
        <v>618400000</v>
      </c>
      <c r="AC107" s="20">
        <f t="shared" si="71"/>
        <v>579750000</v>
      </c>
      <c r="AE107" s="21">
        <f>SUM(I92:I107)</f>
        <v>560900000</v>
      </c>
      <c r="AF107" s="21">
        <f>SUM(Y92:Y107)</f>
        <v>6609225000</v>
      </c>
      <c r="AG107" s="21">
        <f t="shared" si="72"/>
        <v>212100000</v>
      </c>
    </row>
    <row r="108" spans="1:33" x14ac:dyDescent="0.2">
      <c r="A108">
        <v>17</v>
      </c>
      <c r="B108" t="s">
        <v>143</v>
      </c>
      <c r="C108" s="18" t="s">
        <v>141</v>
      </c>
      <c r="D108" s="22">
        <f>$D100</f>
        <v>3924000000</v>
      </c>
      <c r="E108" s="22">
        <f>$E100</f>
        <v>5268000000</v>
      </c>
      <c r="F108" s="22">
        <f>$F100</f>
        <v>7339000000</v>
      </c>
      <c r="G108" s="23">
        <f t="shared" si="74"/>
        <v>20</v>
      </c>
      <c r="H108" s="4">
        <v>808000000</v>
      </c>
      <c r="I108" s="20">
        <f t="shared" si="73"/>
        <v>40400000</v>
      </c>
      <c r="J108" s="20"/>
      <c r="K108" s="20"/>
      <c r="L108" s="20"/>
      <c r="M108" s="20"/>
      <c r="N108" s="20"/>
      <c r="O108" s="20"/>
      <c r="P108" s="20"/>
      <c r="Q108" s="20"/>
      <c r="R108" s="20"/>
      <c r="S108" s="20"/>
      <c r="T108" s="20"/>
      <c r="U108" s="20"/>
      <c r="V108" s="20"/>
      <c r="W108" s="20"/>
      <c r="X108" s="20"/>
      <c r="Y108" s="20"/>
      <c r="Z108" s="20">
        <f>+H108-I108</f>
        <v>767600000</v>
      </c>
      <c r="AA108" s="20">
        <f t="shared" si="69"/>
        <v>727200000</v>
      </c>
      <c r="AB108" s="20">
        <f t="shared" si="70"/>
        <v>686800000</v>
      </c>
      <c r="AC108" s="20">
        <f t="shared" si="71"/>
        <v>646400000</v>
      </c>
      <c r="AE108" s="21">
        <f>SUM(I92:I108)</f>
        <v>601300000</v>
      </c>
      <c r="AF108" s="21">
        <f>SUM(Z92:Z108)</f>
        <v>6815925000</v>
      </c>
      <c r="AG108" s="21">
        <f t="shared" si="72"/>
        <v>206700000</v>
      </c>
    </row>
    <row r="109" spans="1:33" x14ac:dyDescent="0.2">
      <c r="A109">
        <v>18</v>
      </c>
      <c r="B109" t="s">
        <v>143</v>
      </c>
      <c r="C109" s="18" t="s">
        <v>160</v>
      </c>
      <c r="D109" s="22">
        <f>$D100</f>
        <v>3924000000</v>
      </c>
      <c r="E109" s="22">
        <f>$E100</f>
        <v>5268000000</v>
      </c>
      <c r="F109" s="22">
        <f>$F100</f>
        <v>7339000000</v>
      </c>
      <c r="G109" s="23">
        <f t="shared" si="74"/>
        <v>20</v>
      </c>
      <c r="H109" s="4">
        <v>785000000</v>
      </c>
      <c r="I109" s="20">
        <f t="shared" si="73"/>
        <v>39250000</v>
      </c>
      <c r="J109" s="20"/>
      <c r="K109" s="20"/>
      <c r="L109" s="20"/>
      <c r="M109" s="20"/>
      <c r="N109" s="20"/>
      <c r="O109" s="20"/>
      <c r="P109" s="20"/>
      <c r="Q109" s="20"/>
      <c r="R109" s="20"/>
      <c r="S109" s="20"/>
      <c r="T109" s="20"/>
      <c r="U109" s="20"/>
      <c r="V109" s="20"/>
      <c r="W109" s="20"/>
      <c r="X109" s="20"/>
      <c r="Y109" s="20"/>
      <c r="Z109" s="20"/>
      <c r="AA109" s="20">
        <f>+H109-I109</f>
        <v>745750000</v>
      </c>
      <c r="AB109" s="20">
        <f t="shared" si="70"/>
        <v>706500000</v>
      </c>
      <c r="AC109" s="20">
        <f t="shared" si="71"/>
        <v>667250000</v>
      </c>
      <c r="AE109" s="21">
        <f>SUM(I92:I109)</f>
        <v>640550000</v>
      </c>
      <c r="AF109" s="21">
        <f>SUM(AA92:AA109)</f>
        <v>6960375000</v>
      </c>
      <c r="AG109" s="21">
        <f t="shared" si="72"/>
        <v>144450000</v>
      </c>
    </row>
    <row r="110" spans="1:33" x14ac:dyDescent="0.2">
      <c r="A110">
        <v>19</v>
      </c>
      <c r="B110" t="s">
        <v>143</v>
      </c>
      <c r="C110" s="18" t="s">
        <v>161</v>
      </c>
      <c r="D110" s="22">
        <f>$D100</f>
        <v>3924000000</v>
      </c>
      <c r="E110" s="22">
        <f>$E100</f>
        <v>5268000000</v>
      </c>
      <c r="F110" s="22">
        <f>$F100</f>
        <v>7339000000</v>
      </c>
      <c r="G110" s="23">
        <f t="shared" si="74"/>
        <v>20</v>
      </c>
      <c r="H110" s="4">
        <v>752000000</v>
      </c>
      <c r="I110" s="20">
        <f t="shared" si="73"/>
        <v>37600000</v>
      </c>
      <c r="J110" s="20"/>
      <c r="K110" s="20"/>
      <c r="L110" s="20"/>
      <c r="M110" s="20"/>
      <c r="N110" s="20"/>
      <c r="O110" s="20"/>
      <c r="P110" s="20"/>
      <c r="Q110" s="20"/>
      <c r="R110" s="20"/>
      <c r="S110" s="20"/>
      <c r="T110" s="20"/>
      <c r="U110" s="20"/>
      <c r="V110" s="20"/>
      <c r="W110" s="20"/>
      <c r="X110" s="20"/>
      <c r="Y110" s="20"/>
      <c r="Z110" s="20"/>
      <c r="AA110" s="20"/>
      <c r="AB110" s="20">
        <f>+H110-I110</f>
        <v>714400000</v>
      </c>
      <c r="AC110" s="20">
        <f t="shared" si="71"/>
        <v>676800000</v>
      </c>
      <c r="AE110" s="21">
        <f>SUM(I92:I110)</f>
        <v>678150000</v>
      </c>
      <c r="AF110" s="21">
        <f>SUM(AB92:AB110)</f>
        <v>7034225000</v>
      </c>
      <c r="AG110" s="21">
        <f t="shared" si="72"/>
        <v>73850000</v>
      </c>
    </row>
    <row r="111" spans="1:33" x14ac:dyDescent="0.2">
      <c r="A111">
        <v>20</v>
      </c>
      <c r="B111" t="s">
        <v>143</v>
      </c>
      <c r="C111" s="18" t="s">
        <v>162</v>
      </c>
      <c r="D111" s="22">
        <f>$D100</f>
        <v>3924000000</v>
      </c>
      <c r="E111" s="22">
        <f>$E100</f>
        <v>5268000000</v>
      </c>
      <c r="F111" s="22">
        <f>$F100</f>
        <v>7339000000</v>
      </c>
      <c r="G111" s="23">
        <f t="shared" si="74"/>
        <v>20</v>
      </c>
      <c r="H111" s="4">
        <v>797000000</v>
      </c>
      <c r="I111" s="20">
        <f t="shared" si="73"/>
        <v>39850000</v>
      </c>
      <c r="J111" s="20"/>
      <c r="K111" s="20"/>
      <c r="L111" s="20"/>
      <c r="M111" s="20"/>
      <c r="N111" s="20"/>
      <c r="O111" s="20"/>
      <c r="P111" s="20"/>
      <c r="Q111" s="20"/>
      <c r="R111" s="20"/>
      <c r="S111" s="20"/>
      <c r="T111" s="20"/>
      <c r="U111" s="20"/>
      <c r="V111" s="20"/>
      <c r="W111" s="20"/>
      <c r="X111" s="20"/>
      <c r="Y111" s="20"/>
      <c r="Z111" s="20"/>
      <c r="AA111" s="20"/>
      <c r="AB111" s="20"/>
      <c r="AC111" s="20">
        <f>+H111-I111</f>
        <v>757150000</v>
      </c>
      <c r="AE111" s="21">
        <f>SUM(I92:I111)</f>
        <v>718000000</v>
      </c>
      <c r="AF111" s="21">
        <f>SUM(AC92:AC111)</f>
        <v>7113225000</v>
      </c>
      <c r="AG111" s="21">
        <f t="shared" si="72"/>
        <v>79000000</v>
      </c>
    </row>
    <row r="114" spans="2:33" x14ac:dyDescent="0.2">
      <c r="C114" t="s">
        <v>163</v>
      </c>
    </row>
    <row r="115" spans="2:33" x14ac:dyDescent="0.2">
      <c r="C115" s="6" t="s">
        <v>107</v>
      </c>
      <c r="D115" s="6" t="s">
        <v>438</v>
      </c>
      <c r="E115" s="6" t="s">
        <v>439</v>
      </c>
      <c r="F115" s="6" t="s">
        <v>440</v>
      </c>
      <c r="G115" s="6" t="s">
        <v>441</v>
      </c>
      <c r="H115" s="6" t="s">
        <v>442</v>
      </c>
      <c r="I115" s="15"/>
      <c r="J115" s="6" t="s">
        <v>443</v>
      </c>
      <c r="K115" s="6" t="s">
        <v>444</v>
      </c>
      <c r="L115" s="6" t="s">
        <v>445</v>
      </c>
      <c r="M115" s="6" t="s">
        <v>446</v>
      </c>
      <c r="N115" s="6" t="s">
        <v>447</v>
      </c>
      <c r="O115" s="6" t="s">
        <v>448</v>
      </c>
      <c r="P115" s="6" t="s">
        <v>449</v>
      </c>
      <c r="Q115" s="6" t="s">
        <v>450</v>
      </c>
      <c r="R115" s="6" t="s">
        <v>451</v>
      </c>
      <c r="S115" s="6" t="s">
        <v>452</v>
      </c>
      <c r="T115" s="6" t="s">
        <v>453</v>
      </c>
      <c r="U115" s="6" t="s">
        <v>454</v>
      </c>
      <c r="V115" s="6" t="s">
        <v>455</v>
      </c>
      <c r="W115" s="6" t="s">
        <v>456</v>
      </c>
      <c r="X115" s="6" t="s">
        <v>457</v>
      </c>
      <c r="Y115" s="6" t="s">
        <v>458</v>
      </c>
      <c r="Z115" s="6" t="s">
        <v>459</v>
      </c>
      <c r="AA115" s="6" t="s">
        <v>460</v>
      </c>
      <c r="AB115" s="6" t="s">
        <v>461</v>
      </c>
      <c r="AC115" s="6" t="s">
        <v>462</v>
      </c>
      <c r="AD115" s="15"/>
      <c r="AE115" s="6" t="s">
        <v>106</v>
      </c>
      <c r="AF115" s="6" t="s">
        <v>105</v>
      </c>
      <c r="AG115" s="6" t="s">
        <v>463</v>
      </c>
    </row>
    <row r="116" spans="2:33" x14ac:dyDescent="0.2">
      <c r="C116" s="16" t="s">
        <v>464</v>
      </c>
      <c r="J116" s="17">
        <v>20</v>
      </c>
      <c r="K116" s="17">
        <v>19</v>
      </c>
      <c r="L116" s="17">
        <v>18</v>
      </c>
      <c r="M116" s="17">
        <v>17</v>
      </c>
      <c r="N116" s="17">
        <v>16</v>
      </c>
      <c r="O116" s="17">
        <v>15</v>
      </c>
      <c r="P116" s="17">
        <v>14</v>
      </c>
      <c r="Q116" s="17">
        <v>13</v>
      </c>
      <c r="R116" s="17">
        <v>12</v>
      </c>
      <c r="S116" s="17">
        <v>11</v>
      </c>
      <c r="T116" s="17">
        <v>10</v>
      </c>
      <c r="U116" s="17">
        <v>9</v>
      </c>
      <c r="V116" s="17">
        <v>8</v>
      </c>
      <c r="W116" s="17">
        <v>7</v>
      </c>
      <c r="X116" s="17">
        <v>6</v>
      </c>
      <c r="Y116" s="17">
        <v>5</v>
      </c>
      <c r="Z116" s="17">
        <v>4</v>
      </c>
      <c r="AA116" s="17">
        <v>3</v>
      </c>
      <c r="AB116" s="17">
        <v>2</v>
      </c>
      <c r="AC116" s="17">
        <v>1</v>
      </c>
    </row>
    <row r="117" spans="2:33" x14ac:dyDescent="0.2">
      <c r="B117" t="s">
        <v>163</v>
      </c>
      <c r="C117" s="18" t="s">
        <v>102</v>
      </c>
      <c r="D117" s="4">
        <v>19269000000</v>
      </c>
      <c r="E117" s="4">
        <v>20716000000</v>
      </c>
      <c r="F117" s="4">
        <v>24512000000</v>
      </c>
      <c r="G117" s="19">
        <v>20</v>
      </c>
      <c r="H117" s="4">
        <v>6984000000</v>
      </c>
      <c r="J117" s="20">
        <f t="shared" ref="J117:J128" si="75">H117</f>
        <v>6984000000</v>
      </c>
      <c r="K117" s="20">
        <f>$F117/4</f>
        <v>6128000000</v>
      </c>
      <c r="L117" s="20">
        <f>$F117/4</f>
        <v>6128000000</v>
      </c>
      <c r="M117" s="20">
        <f>$F117/4</f>
        <v>6128000000</v>
      </c>
      <c r="N117" s="20">
        <f>$F117/4</f>
        <v>6128000000</v>
      </c>
      <c r="O117" s="20">
        <f>$E117/4</f>
        <v>5179000000</v>
      </c>
      <c r="P117" s="20">
        <f>$E117/4</f>
        <v>5179000000</v>
      </c>
      <c r="Q117" s="20">
        <f>$E117/4</f>
        <v>5179000000</v>
      </c>
      <c r="R117" s="20">
        <f>$E117/4</f>
        <v>5179000000</v>
      </c>
      <c r="S117" s="20">
        <f>$D117/4</f>
        <v>4817250000</v>
      </c>
      <c r="T117" s="20">
        <f>$D117/4</f>
        <v>4817250000</v>
      </c>
      <c r="U117" s="20">
        <f>$D117/4</f>
        <v>4817250000</v>
      </c>
      <c r="V117" s="20">
        <f>$D117/4</f>
        <v>4817250000</v>
      </c>
      <c r="W117" s="20">
        <v>0</v>
      </c>
      <c r="X117" s="20">
        <v>0</v>
      </c>
      <c r="Y117" s="20">
        <v>0</v>
      </c>
      <c r="Z117" s="20">
        <v>0</v>
      </c>
      <c r="AA117" s="20">
        <v>0</v>
      </c>
      <c r="AB117" s="20">
        <v>0</v>
      </c>
      <c r="AC117" s="20">
        <v>0</v>
      </c>
      <c r="AE117" s="21">
        <f>SUM(J117:AC117)/$G117</f>
        <v>3574050000</v>
      </c>
      <c r="AF117" s="21">
        <f>SUMPRODUCT($J$116:$AC$116,J117:AC117)/$G117</f>
        <v>51568075000</v>
      </c>
      <c r="AG117" s="21">
        <f t="shared" ref="AG117:AG128" si="76">H117-AE117</f>
        <v>3409950000</v>
      </c>
    </row>
    <row r="118" spans="2:33" x14ac:dyDescent="0.2">
      <c r="B118" t="s">
        <v>163</v>
      </c>
      <c r="C118" s="18" t="s">
        <v>101</v>
      </c>
      <c r="D118" s="22">
        <f>$D117</f>
        <v>19269000000</v>
      </c>
      <c r="E118" s="22">
        <f>$E117</f>
        <v>20716000000</v>
      </c>
      <c r="F118" s="22">
        <f>$F117</f>
        <v>24512000000</v>
      </c>
      <c r="G118" s="23">
        <f>$G$117</f>
        <v>20</v>
      </c>
      <c r="H118" s="4">
        <v>6739000000</v>
      </c>
      <c r="J118" s="20">
        <f t="shared" si="75"/>
        <v>6739000000</v>
      </c>
      <c r="K118" s="20">
        <f t="shared" ref="K118:K128" si="77">H117</f>
        <v>6984000000</v>
      </c>
      <c r="L118" s="20">
        <f>$F117/4</f>
        <v>6128000000</v>
      </c>
      <c r="M118" s="20">
        <f>$F117/4</f>
        <v>6128000000</v>
      </c>
      <c r="N118" s="20">
        <f>$F117/4</f>
        <v>6128000000</v>
      </c>
      <c r="O118" s="20">
        <f>$F117/4</f>
        <v>6128000000</v>
      </c>
      <c r="P118" s="20">
        <f>$E117/4</f>
        <v>5179000000</v>
      </c>
      <c r="Q118" s="20">
        <f>$E117/4</f>
        <v>5179000000</v>
      </c>
      <c r="R118" s="20">
        <f>$E117/4</f>
        <v>5179000000</v>
      </c>
      <c r="S118" s="20">
        <f>$E117/4</f>
        <v>5179000000</v>
      </c>
      <c r="T118" s="20">
        <f>$D117/4</f>
        <v>4817250000</v>
      </c>
      <c r="U118" s="20">
        <f>$D117/4</f>
        <v>4817250000</v>
      </c>
      <c r="V118" s="20">
        <f>$D117/4</f>
        <v>4817250000</v>
      </c>
      <c r="W118" s="20">
        <f>$D117/4</f>
        <v>4817250000</v>
      </c>
      <c r="X118" s="20">
        <v>0</v>
      </c>
      <c r="Y118" s="20">
        <v>0</v>
      </c>
      <c r="Z118" s="20">
        <v>0</v>
      </c>
      <c r="AA118" s="20">
        <v>0</v>
      </c>
      <c r="AB118" s="20">
        <v>0</v>
      </c>
      <c r="AC118" s="20">
        <v>0</v>
      </c>
      <c r="AE118" s="21">
        <f t="shared" ref="AE118:AE128" si="78">SUM(J118:AC118)/$G118</f>
        <v>3911000000</v>
      </c>
      <c r="AF118" s="21">
        <f t="shared" ref="AF118:AF128" si="79">SUMPRODUCT($J$116:$AC$116,J118:AC118)/$G118</f>
        <v>54733025000</v>
      </c>
      <c r="AG118" s="21">
        <f t="shared" si="76"/>
        <v>2828000000</v>
      </c>
    </row>
    <row r="119" spans="2:33" x14ac:dyDescent="0.2">
      <c r="B119" t="s">
        <v>163</v>
      </c>
      <c r="C119" s="18" t="s">
        <v>100</v>
      </c>
      <c r="D119" s="22">
        <f>$D117</f>
        <v>19269000000</v>
      </c>
      <c r="E119" s="22">
        <f>$E117</f>
        <v>20716000000</v>
      </c>
      <c r="F119" s="22">
        <f>$F117</f>
        <v>24512000000</v>
      </c>
      <c r="G119" s="23">
        <f t="shared" ref="G119:G128" si="80">$G$117</f>
        <v>20</v>
      </c>
      <c r="H119" s="4">
        <v>6659000000</v>
      </c>
      <c r="J119" s="20">
        <f t="shared" si="75"/>
        <v>6659000000</v>
      </c>
      <c r="K119" s="20">
        <f t="shared" si="77"/>
        <v>6739000000</v>
      </c>
      <c r="L119" s="20">
        <f t="shared" ref="L119:L128" si="81">H117</f>
        <v>6984000000</v>
      </c>
      <c r="M119" s="20">
        <f>$F117/4</f>
        <v>6128000000</v>
      </c>
      <c r="N119" s="20">
        <f>$F117/4</f>
        <v>6128000000</v>
      </c>
      <c r="O119" s="20">
        <f>$F117/4</f>
        <v>6128000000</v>
      </c>
      <c r="P119" s="20">
        <f>$F117/4</f>
        <v>6128000000</v>
      </c>
      <c r="Q119" s="20">
        <f>$E117/4</f>
        <v>5179000000</v>
      </c>
      <c r="R119" s="20">
        <f>$E117/4</f>
        <v>5179000000</v>
      </c>
      <c r="S119" s="20">
        <f>$E117/4</f>
        <v>5179000000</v>
      </c>
      <c r="T119" s="20">
        <f>$E117/4</f>
        <v>5179000000</v>
      </c>
      <c r="U119" s="20">
        <f>$D117/4</f>
        <v>4817250000</v>
      </c>
      <c r="V119" s="20">
        <f>$D117/4</f>
        <v>4817250000</v>
      </c>
      <c r="W119" s="20">
        <f>$D117/4</f>
        <v>4817250000</v>
      </c>
      <c r="X119" s="20">
        <f>$D117/4</f>
        <v>4817250000</v>
      </c>
      <c r="Y119" s="20">
        <v>0</v>
      </c>
      <c r="Z119" s="20">
        <v>0</v>
      </c>
      <c r="AA119" s="20">
        <v>0</v>
      </c>
      <c r="AB119" s="20">
        <v>0</v>
      </c>
      <c r="AC119" s="20">
        <v>0</v>
      </c>
      <c r="AE119" s="21">
        <f t="shared" si="78"/>
        <v>4243950000</v>
      </c>
      <c r="AF119" s="21">
        <f t="shared" si="79"/>
        <v>57481025000</v>
      </c>
      <c r="AG119" s="21">
        <f t="shared" si="76"/>
        <v>2415050000</v>
      </c>
    </row>
    <row r="120" spans="2:33" x14ac:dyDescent="0.2">
      <c r="B120" t="s">
        <v>163</v>
      </c>
      <c r="C120" s="18" t="s">
        <v>99</v>
      </c>
      <c r="D120" s="22">
        <f>$D117</f>
        <v>19269000000</v>
      </c>
      <c r="E120" s="22">
        <f>$E117</f>
        <v>20716000000</v>
      </c>
      <c r="F120" s="22">
        <f>$F117</f>
        <v>24512000000</v>
      </c>
      <c r="G120" s="23">
        <f t="shared" si="80"/>
        <v>20</v>
      </c>
      <c r="H120" s="4">
        <v>7142000000</v>
      </c>
      <c r="J120" s="20">
        <f t="shared" si="75"/>
        <v>7142000000</v>
      </c>
      <c r="K120" s="20">
        <f t="shared" si="77"/>
        <v>6659000000</v>
      </c>
      <c r="L120" s="20">
        <f t="shared" si="81"/>
        <v>6739000000</v>
      </c>
      <c r="M120" s="20">
        <f t="shared" ref="M120:M128" si="82">H117</f>
        <v>6984000000</v>
      </c>
      <c r="N120" s="20">
        <f>$F117/4</f>
        <v>6128000000</v>
      </c>
      <c r="O120" s="20">
        <f>$F117/4</f>
        <v>6128000000</v>
      </c>
      <c r="P120" s="20">
        <f>$F117/4</f>
        <v>6128000000</v>
      </c>
      <c r="Q120" s="20">
        <f>$F117/4</f>
        <v>6128000000</v>
      </c>
      <c r="R120" s="20">
        <f>$E117/4</f>
        <v>5179000000</v>
      </c>
      <c r="S120" s="20">
        <f>$E117/4</f>
        <v>5179000000</v>
      </c>
      <c r="T120" s="20">
        <f>$E117/4</f>
        <v>5179000000</v>
      </c>
      <c r="U120" s="20">
        <f>$E117/4</f>
        <v>5179000000</v>
      </c>
      <c r="V120" s="20">
        <f>$D117/4</f>
        <v>4817250000</v>
      </c>
      <c r="W120" s="20">
        <f>$D117/4</f>
        <v>4817250000</v>
      </c>
      <c r="X120" s="20">
        <f>$D117/4</f>
        <v>4817250000</v>
      </c>
      <c r="Y120" s="20">
        <f>$D117/4</f>
        <v>4817250000</v>
      </c>
      <c r="Z120" s="20">
        <v>0</v>
      </c>
      <c r="AA120" s="20">
        <v>0</v>
      </c>
      <c r="AB120" s="20">
        <v>0</v>
      </c>
      <c r="AC120" s="20">
        <v>0</v>
      </c>
      <c r="AE120" s="21">
        <f t="shared" si="78"/>
        <v>4601050000</v>
      </c>
      <c r="AF120" s="21">
        <f t="shared" si="79"/>
        <v>60379075000</v>
      </c>
      <c r="AG120" s="21">
        <f t="shared" si="76"/>
        <v>2540950000</v>
      </c>
    </row>
    <row r="121" spans="2:33" x14ac:dyDescent="0.2">
      <c r="B121" t="s">
        <v>163</v>
      </c>
      <c r="C121" s="18" t="s">
        <v>98</v>
      </c>
      <c r="D121" s="22">
        <f>$D117</f>
        <v>19269000000</v>
      </c>
      <c r="E121" s="22">
        <f>$E117</f>
        <v>20716000000</v>
      </c>
      <c r="F121" s="22">
        <f>$F117</f>
        <v>24512000000</v>
      </c>
      <c r="G121" s="23">
        <f t="shared" si="80"/>
        <v>20</v>
      </c>
      <c r="H121" s="4">
        <v>7653000000</v>
      </c>
      <c r="J121" s="20">
        <f t="shared" si="75"/>
        <v>7653000000</v>
      </c>
      <c r="K121" s="20">
        <f t="shared" si="77"/>
        <v>7142000000</v>
      </c>
      <c r="L121" s="20">
        <f t="shared" si="81"/>
        <v>6659000000</v>
      </c>
      <c r="M121" s="20">
        <f t="shared" si="82"/>
        <v>6739000000</v>
      </c>
      <c r="N121" s="20">
        <f t="shared" ref="N121:N128" si="83">H117</f>
        <v>6984000000</v>
      </c>
      <c r="O121" s="20">
        <f>$F117/4</f>
        <v>6128000000</v>
      </c>
      <c r="P121" s="20">
        <f>$F117/4</f>
        <v>6128000000</v>
      </c>
      <c r="Q121" s="20">
        <f>$F117/4</f>
        <v>6128000000</v>
      </c>
      <c r="R121" s="20">
        <f>$F117/4</f>
        <v>6128000000</v>
      </c>
      <c r="S121" s="20">
        <f>$E117/4</f>
        <v>5179000000</v>
      </c>
      <c r="T121" s="20">
        <f>$E117/4</f>
        <v>5179000000</v>
      </c>
      <c r="U121" s="20">
        <f>$E117/4</f>
        <v>5179000000</v>
      </c>
      <c r="V121" s="20">
        <f>$E117/4</f>
        <v>5179000000</v>
      </c>
      <c r="W121" s="20">
        <f>$D117/4</f>
        <v>4817250000</v>
      </c>
      <c r="X121" s="20">
        <f>$D117/4</f>
        <v>4817250000</v>
      </c>
      <c r="Y121" s="20">
        <f>$D117/4</f>
        <v>4817250000</v>
      </c>
      <c r="Z121" s="20">
        <f>$D117/4</f>
        <v>4817250000</v>
      </c>
      <c r="AA121" s="20">
        <v>0</v>
      </c>
      <c r="AB121" s="20">
        <v>0</v>
      </c>
      <c r="AC121" s="20">
        <v>0</v>
      </c>
      <c r="AE121" s="21">
        <f t="shared" si="78"/>
        <v>4983700000</v>
      </c>
      <c r="AF121" s="21">
        <f t="shared" si="79"/>
        <v>63431025000</v>
      </c>
      <c r="AG121" s="21">
        <f t="shared" si="76"/>
        <v>2669300000</v>
      </c>
    </row>
    <row r="122" spans="2:33" x14ac:dyDescent="0.2">
      <c r="B122" t="s">
        <v>163</v>
      </c>
      <c r="C122" s="18" t="s">
        <v>97</v>
      </c>
      <c r="D122" s="22">
        <f>$D117</f>
        <v>19269000000</v>
      </c>
      <c r="E122" s="22">
        <f>$E117</f>
        <v>20716000000</v>
      </c>
      <c r="F122" s="22">
        <f>$F117</f>
        <v>24512000000</v>
      </c>
      <c r="G122" s="23">
        <f t="shared" si="80"/>
        <v>20</v>
      </c>
      <c r="H122" s="4">
        <v>8056000000</v>
      </c>
      <c r="J122" s="20">
        <f t="shared" si="75"/>
        <v>8056000000</v>
      </c>
      <c r="K122" s="20">
        <f t="shared" si="77"/>
        <v>7653000000</v>
      </c>
      <c r="L122" s="20">
        <f t="shared" si="81"/>
        <v>7142000000</v>
      </c>
      <c r="M122" s="20">
        <f t="shared" si="82"/>
        <v>6659000000</v>
      </c>
      <c r="N122" s="20">
        <f t="shared" si="83"/>
        <v>6739000000</v>
      </c>
      <c r="O122" s="20">
        <f t="shared" ref="O122:O128" si="84">H117</f>
        <v>6984000000</v>
      </c>
      <c r="P122" s="20">
        <f>$F117/4</f>
        <v>6128000000</v>
      </c>
      <c r="Q122" s="20">
        <f>$F117/4</f>
        <v>6128000000</v>
      </c>
      <c r="R122" s="20">
        <f>$F117/4</f>
        <v>6128000000</v>
      </c>
      <c r="S122" s="20">
        <f>$F117/4</f>
        <v>6128000000</v>
      </c>
      <c r="T122" s="20">
        <f>$E117/4</f>
        <v>5179000000</v>
      </c>
      <c r="U122" s="20">
        <f>$E117/4</f>
        <v>5179000000</v>
      </c>
      <c r="V122" s="20">
        <f>$E117/4</f>
        <v>5179000000</v>
      </c>
      <c r="W122" s="20">
        <f>$E117/4</f>
        <v>5179000000</v>
      </c>
      <c r="X122" s="20">
        <f>$D117/4</f>
        <v>4817250000</v>
      </c>
      <c r="Y122" s="20">
        <f>$D117/4</f>
        <v>4817250000</v>
      </c>
      <c r="Z122" s="20">
        <f>$D117/4</f>
        <v>4817250000</v>
      </c>
      <c r="AA122" s="20">
        <f>$D117/4</f>
        <v>4817250000</v>
      </c>
      <c r="AB122" s="20">
        <v>0</v>
      </c>
      <c r="AC122" s="20">
        <v>0</v>
      </c>
      <c r="AE122" s="21">
        <f t="shared" si="78"/>
        <v>5386500000</v>
      </c>
      <c r="AF122" s="21">
        <f t="shared" si="79"/>
        <v>66503325000</v>
      </c>
      <c r="AG122" s="21">
        <f t="shared" si="76"/>
        <v>2669500000</v>
      </c>
    </row>
    <row r="123" spans="2:33" x14ac:dyDescent="0.2">
      <c r="B123" t="s">
        <v>163</v>
      </c>
      <c r="C123" s="18" t="s">
        <v>96</v>
      </c>
      <c r="D123" s="22">
        <f>$D117</f>
        <v>19269000000</v>
      </c>
      <c r="E123" s="22">
        <f>$E117</f>
        <v>20716000000</v>
      </c>
      <c r="F123" s="22">
        <f>$F117</f>
        <v>24512000000</v>
      </c>
      <c r="G123" s="23">
        <f t="shared" si="80"/>
        <v>20</v>
      </c>
      <c r="H123" s="4">
        <v>7544000000</v>
      </c>
      <c r="J123" s="20">
        <f t="shared" si="75"/>
        <v>7544000000</v>
      </c>
      <c r="K123" s="20">
        <f t="shared" si="77"/>
        <v>8056000000</v>
      </c>
      <c r="L123" s="20">
        <f t="shared" si="81"/>
        <v>7653000000</v>
      </c>
      <c r="M123" s="20">
        <f t="shared" si="82"/>
        <v>7142000000</v>
      </c>
      <c r="N123" s="20">
        <f t="shared" si="83"/>
        <v>6659000000</v>
      </c>
      <c r="O123" s="20">
        <f t="shared" si="84"/>
        <v>6739000000</v>
      </c>
      <c r="P123" s="20">
        <f t="shared" ref="P123:P128" si="85">H117</f>
        <v>6984000000</v>
      </c>
      <c r="Q123" s="20">
        <f>$F117/4</f>
        <v>6128000000</v>
      </c>
      <c r="R123" s="20">
        <f>$F117/4</f>
        <v>6128000000</v>
      </c>
      <c r="S123" s="20">
        <f>$F117/4</f>
        <v>6128000000</v>
      </c>
      <c r="T123" s="20">
        <f>$F117/4</f>
        <v>6128000000</v>
      </c>
      <c r="U123" s="20">
        <f>$E117/4</f>
        <v>5179000000</v>
      </c>
      <c r="V123" s="20">
        <f>$E117/4</f>
        <v>5179000000</v>
      </c>
      <c r="W123" s="20">
        <f>$E117/4</f>
        <v>5179000000</v>
      </c>
      <c r="X123" s="20">
        <f>$E117/4</f>
        <v>5179000000</v>
      </c>
      <c r="Y123" s="20">
        <f>$D117/4</f>
        <v>4817250000</v>
      </c>
      <c r="Z123" s="20">
        <f>$D117/4</f>
        <v>4817250000</v>
      </c>
      <c r="AA123" s="20">
        <f>$D117/4</f>
        <v>4817250000</v>
      </c>
      <c r="AB123" s="20">
        <f>$D117/4</f>
        <v>4817250000</v>
      </c>
      <c r="AC123" s="20">
        <v>0</v>
      </c>
      <c r="AE123" s="21">
        <f t="shared" si="78"/>
        <v>5763700000</v>
      </c>
      <c r="AF123" s="21">
        <f t="shared" si="79"/>
        <v>68660825000</v>
      </c>
      <c r="AG123" s="21">
        <f t="shared" si="76"/>
        <v>1780300000</v>
      </c>
    </row>
    <row r="124" spans="2:33" x14ac:dyDescent="0.2">
      <c r="B124" t="s">
        <v>163</v>
      </c>
      <c r="C124" s="18" t="s">
        <v>95</v>
      </c>
      <c r="D124" s="22">
        <f>$D117</f>
        <v>19269000000</v>
      </c>
      <c r="E124" s="22">
        <f>$E117</f>
        <v>20716000000</v>
      </c>
      <c r="F124" s="22">
        <f>$F117</f>
        <v>24512000000</v>
      </c>
      <c r="G124" s="23">
        <f t="shared" si="80"/>
        <v>20</v>
      </c>
      <c r="H124" s="4">
        <v>7917000000</v>
      </c>
      <c r="J124" s="20">
        <f t="shared" si="75"/>
        <v>7917000000</v>
      </c>
      <c r="K124" s="20">
        <f t="shared" si="77"/>
        <v>7544000000</v>
      </c>
      <c r="L124" s="20">
        <f t="shared" si="81"/>
        <v>8056000000</v>
      </c>
      <c r="M124" s="20">
        <f t="shared" si="82"/>
        <v>7653000000</v>
      </c>
      <c r="N124" s="20">
        <f t="shared" si="83"/>
        <v>7142000000</v>
      </c>
      <c r="O124" s="20">
        <f t="shared" si="84"/>
        <v>6659000000</v>
      </c>
      <c r="P124" s="20">
        <f t="shared" si="85"/>
        <v>6739000000</v>
      </c>
      <c r="Q124" s="20">
        <f>H117</f>
        <v>6984000000</v>
      </c>
      <c r="R124" s="20">
        <f>$F117/4</f>
        <v>6128000000</v>
      </c>
      <c r="S124" s="20">
        <f>$F117/4</f>
        <v>6128000000</v>
      </c>
      <c r="T124" s="20">
        <f>$F117/4</f>
        <v>6128000000</v>
      </c>
      <c r="U124" s="20">
        <f>$F117/4</f>
        <v>6128000000</v>
      </c>
      <c r="V124" s="20">
        <f>$E117/4</f>
        <v>5179000000</v>
      </c>
      <c r="W124" s="20">
        <f>$E117/4</f>
        <v>5179000000</v>
      </c>
      <c r="X124" s="20">
        <f>$E117/4</f>
        <v>5179000000</v>
      </c>
      <c r="Y124" s="20">
        <f>$E117/4</f>
        <v>5179000000</v>
      </c>
      <c r="Z124" s="20">
        <f>$D117/4</f>
        <v>4817250000</v>
      </c>
      <c r="AA124" s="20">
        <f>$D117/4</f>
        <v>4817250000</v>
      </c>
      <c r="AB124" s="20">
        <f>$D117/4</f>
        <v>4817250000</v>
      </c>
      <c r="AC124" s="20">
        <f>$D117/4</f>
        <v>4817250000</v>
      </c>
      <c r="AE124" s="21">
        <f t="shared" si="78"/>
        <v>6159550000</v>
      </c>
      <c r="AF124" s="21">
        <f t="shared" si="79"/>
        <v>70814125000</v>
      </c>
      <c r="AG124" s="21">
        <f t="shared" si="76"/>
        <v>1757450000</v>
      </c>
    </row>
    <row r="125" spans="2:33" x14ac:dyDescent="0.2">
      <c r="B125" t="s">
        <v>163</v>
      </c>
      <c r="C125" s="18" t="s">
        <v>94</v>
      </c>
      <c r="D125" s="22">
        <f>$D117</f>
        <v>19269000000</v>
      </c>
      <c r="E125" s="22">
        <f>$E117</f>
        <v>20716000000</v>
      </c>
      <c r="F125" s="22">
        <f>$F117</f>
        <v>24512000000</v>
      </c>
      <c r="G125" s="23">
        <f t="shared" si="80"/>
        <v>20</v>
      </c>
      <c r="H125" s="4">
        <v>8198000000</v>
      </c>
      <c r="J125" s="20">
        <f t="shared" si="75"/>
        <v>8198000000</v>
      </c>
      <c r="K125" s="20">
        <f t="shared" si="77"/>
        <v>7917000000</v>
      </c>
      <c r="L125" s="20">
        <f t="shared" si="81"/>
        <v>7544000000</v>
      </c>
      <c r="M125" s="20">
        <f t="shared" si="82"/>
        <v>8056000000</v>
      </c>
      <c r="N125" s="20">
        <f t="shared" si="83"/>
        <v>7653000000</v>
      </c>
      <c r="O125" s="20">
        <f t="shared" si="84"/>
        <v>7142000000</v>
      </c>
      <c r="P125" s="20">
        <f t="shared" si="85"/>
        <v>6659000000</v>
      </c>
      <c r="Q125" s="20">
        <f>H118</f>
        <v>6739000000</v>
      </c>
      <c r="R125" s="20">
        <f>H117</f>
        <v>6984000000</v>
      </c>
      <c r="S125" s="20">
        <f>$F117/4</f>
        <v>6128000000</v>
      </c>
      <c r="T125" s="20">
        <f>$F117/4</f>
        <v>6128000000</v>
      </c>
      <c r="U125" s="20">
        <f>$F117/4</f>
        <v>6128000000</v>
      </c>
      <c r="V125" s="20">
        <f>$F117/4</f>
        <v>6128000000</v>
      </c>
      <c r="W125" s="20">
        <f>$E117/4</f>
        <v>5179000000</v>
      </c>
      <c r="X125" s="20">
        <f>$E117/4</f>
        <v>5179000000</v>
      </c>
      <c r="Y125" s="20">
        <f>$E117/4</f>
        <v>5179000000</v>
      </c>
      <c r="Z125" s="20">
        <f>$E117/4</f>
        <v>5179000000</v>
      </c>
      <c r="AA125" s="20">
        <f>$D117/4</f>
        <v>4817250000</v>
      </c>
      <c r="AB125" s="20">
        <f>$D117/4</f>
        <v>4817250000</v>
      </c>
      <c r="AC125" s="20">
        <f>$D117/4</f>
        <v>4817250000</v>
      </c>
      <c r="AE125" s="21">
        <f t="shared" si="78"/>
        <v>6328587500</v>
      </c>
      <c r="AF125" s="21">
        <f t="shared" si="79"/>
        <v>72852575000</v>
      </c>
      <c r="AG125" s="21">
        <f t="shared" si="76"/>
        <v>1869412500</v>
      </c>
    </row>
    <row r="126" spans="2:33" x14ac:dyDescent="0.2">
      <c r="B126" t="s">
        <v>163</v>
      </c>
      <c r="C126" s="18" t="s">
        <v>93</v>
      </c>
      <c r="D126" s="22">
        <f>$D117</f>
        <v>19269000000</v>
      </c>
      <c r="E126" s="22">
        <f>$E117</f>
        <v>20716000000</v>
      </c>
      <c r="F126" s="22">
        <f>$F117</f>
        <v>24512000000</v>
      </c>
      <c r="G126" s="23">
        <f t="shared" si="80"/>
        <v>20</v>
      </c>
      <c r="H126" s="4">
        <v>8829000000</v>
      </c>
      <c r="J126" s="20">
        <f t="shared" si="75"/>
        <v>8829000000</v>
      </c>
      <c r="K126" s="20">
        <f t="shared" si="77"/>
        <v>8198000000</v>
      </c>
      <c r="L126" s="20">
        <f t="shared" si="81"/>
        <v>7917000000</v>
      </c>
      <c r="M126" s="20">
        <f t="shared" si="82"/>
        <v>7544000000</v>
      </c>
      <c r="N126" s="20">
        <f t="shared" si="83"/>
        <v>8056000000</v>
      </c>
      <c r="O126" s="20">
        <f t="shared" si="84"/>
        <v>7653000000</v>
      </c>
      <c r="P126" s="20">
        <f t="shared" si="85"/>
        <v>7142000000</v>
      </c>
      <c r="Q126" s="20">
        <f>H119</f>
        <v>6659000000</v>
      </c>
      <c r="R126" s="20">
        <f>H118</f>
        <v>6739000000</v>
      </c>
      <c r="S126" s="20">
        <f>H117</f>
        <v>6984000000</v>
      </c>
      <c r="T126" s="20">
        <f>$F117/4</f>
        <v>6128000000</v>
      </c>
      <c r="U126" s="20">
        <f>$F117/4</f>
        <v>6128000000</v>
      </c>
      <c r="V126" s="20">
        <f>$F117/4</f>
        <v>6128000000</v>
      </c>
      <c r="W126" s="20">
        <f>$F117/4</f>
        <v>6128000000</v>
      </c>
      <c r="X126" s="20">
        <f>$E117/4</f>
        <v>5179000000</v>
      </c>
      <c r="Y126" s="20">
        <f>$E117/4</f>
        <v>5179000000</v>
      </c>
      <c r="Z126" s="20">
        <f>$E117/4</f>
        <v>5179000000</v>
      </c>
      <c r="AA126" s="20">
        <f>$E117/4</f>
        <v>5179000000</v>
      </c>
      <c r="AB126" s="20">
        <f>$D117/4</f>
        <v>4817250000</v>
      </c>
      <c r="AC126" s="20">
        <f>$D117/4</f>
        <v>4817250000</v>
      </c>
      <c r="AE126" s="21">
        <f t="shared" si="78"/>
        <v>6529175000</v>
      </c>
      <c r="AF126" s="21">
        <f t="shared" si="79"/>
        <v>75352987500</v>
      </c>
      <c r="AG126" s="21">
        <f t="shared" si="76"/>
        <v>2299825000</v>
      </c>
    </row>
    <row r="127" spans="2:33" x14ac:dyDescent="0.2">
      <c r="B127" t="s">
        <v>163</v>
      </c>
      <c r="C127" s="18" t="s">
        <v>141</v>
      </c>
      <c r="D127" s="22">
        <f>$D117</f>
        <v>19269000000</v>
      </c>
      <c r="E127" s="22">
        <f>$E117</f>
        <v>20716000000</v>
      </c>
      <c r="F127" s="22">
        <f>$F117</f>
        <v>24512000000</v>
      </c>
      <c r="G127" s="23">
        <f t="shared" si="80"/>
        <v>20</v>
      </c>
      <c r="H127" s="4">
        <v>8146000000</v>
      </c>
      <c r="J127" s="20">
        <f t="shared" si="75"/>
        <v>8146000000</v>
      </c>
      <c r="K127" s="20">
        <f t="shared" si="77"/>
        <v>8829000000</v>
      </c>
      <c r="L127" s="20">
        <f t="shared" si="81"/>
        <v>8198000000</v>
      </c>
      <c r="M127" s="20">
        <f t="shared" si="82"/>
        <v>7917000000</v>
      </c>
      <c r="N127" s="20">
        <f t="shared" si="83"/>
        <v>7544000000</v>
      </c>
      <c r="O127" s="20">
        <f t="shared" si="84"/>
        <v>8056000000</v>
      </c>
      <c r="P127" s="20">
        <f t="shared" si="85"/>
        <v>7653000000</v>
      </c>
      <c r="Q127" s="20">
        <f>H120</f>
        <v>7142000000</v>
      </c>
      <c r="R127" s="20">
        <f>H119</f>
        <v>6659000000</v>
      </c>
      <c r="S127" s="20">
        <f>H118</f>
        <v>6739000000</v>
      </c>
      <c r="T127" s="20">
        <f>H117</f>
        <v>6984000000</v>
      </c>
      <c r="U127" s="20">
        <f>$F117/4</f>
        <v>6128000000</v>
      </c>
      <c r="V127" s="20">
        <f>$F117/4</f>
        <v>6128000000</v>
      </c>
      <c r="W127" s="20">
        <f>$F117/4</f>
        <v>6128000000</v>
      </c>
      <c r="X127" s="20">
        <f>$F117/4</f>
        <v>6128000000</v>
      </c>
      <c r="Y127" s="20">
        <f>$E117/4</f>
        <v>5179000000</v>
      </c>
      <c r="Z127" s="20">
        <f>$E117/4</f>
        <v>5179000000</v>
      </c>
      <c r="AA127" s="20">
        <f>$E117/4</f>
        <v>5179000000</v>
      </c>
      <c r="AB127" s="20">
        <f>$E117/4</f>
        <v>5179000000</v>
      </c>
      <c r="AC127" s="20">
        <f>$D117/4</f>
        <v>4817250000</v>
      </c>
      <c r="AE127" s="21">
        <f t="shared" si="78"/>
        <v>6695612500</v>
      </c>
      <c r="AF127" s="21">
        <f t="shared" si="79"/>
        <v>76969812500</v>
      </c>
      <c r="AG127" s="21">
        <f t="shared" si="76"/>
        <v>1450387500</v>
      </c>
    </row>
    <row r="128" spans="2:33" x14ac:dyDescent="0.2">
      <c r="B128" t="s">
        <v>163</v>
      </c>
      <c r="C128" s="18" t="s">
        <v>160</v>
      </c>
      <c r="D128" s="22">
        <f>$D117</f>
        <v>19269000000</v>
      </c>
      <c r="E128" s="22">
        <f>$E117</f>
        <v>20716000000</v>
      </c>
      <c r="F128" s="22">
        <f>$F117</f>
        <v>24512000000</v>
      </c>
      <c r="G128" s="23">
        <f t="shared" si="80"/>
        <v>20</v>
      </c>
      <c r="H128" s="4">
        <v>8504000000</v>
      </c>
      <c r="J128" s="20">
        <f t="shared" si="75"/>
        <v>8504000000</v>
      </c>
      <c r="K128" s="20">
        <f t="shared" si="77"/>
        <v>8146000000</v>
      </c>
      <c r="L128" s="20">
        <f t="shared" si="81"/>
        <v>8829000000</v>
      </c>
      <c r="M128" s="20">
        <f t="shared" si="82"/>
        <v>8198000000</v>
      </c>
      <c r="N128" s="20">
        <f t="shared" si="83"/>
        <v>7917000000</v>
      </c>
      <c r="O128" s="20">
        <f t="shared" si="84"/>
        <v>7544000000</v>
      </c>
      <c r="P128" s="20">
        <f t="shared" si="85"/>
        <v>8056000000</v>
      </c>
      <c r="Q128" s="20">
        <f>H121</f>
        <v>7653000000</v>
      </c>
      <c r="R128" s="20">
        <f>H120</f>
        <v>7142000000</v>
      </c>
      <c r="S128" s="20">
        <f>H119</f>
        <v>6659000000</v>
      </c>
      <c r="T128" s="20">
        <f>H118</f>
        <v>6739000000</v>
      </c>
      <c r="U128" s="20">
        <f>H117</f>
        <v>6984000000</v>
      </c>
      <c r="V128" s="20">
        <f>$F117/4</f>
        <v>6128000000</v>
      </c>
      <c r="W128" s="20">
        <f>$F117/4</f>
        <v>6128000000</v>
      </c>
      <c r="X128" s="20">
        <f>$F117/4</f>
        <v>6128000000</v>
      </c>
      <c r="Y128" s="20">
        <f>$F117/4</f>
        <v>6128000000</v>
      </c>
      <c r="Z128" s="20">
        <f>$E117/4</f>
        <v>5179000000</v>
      </c>
      <c r="AA128" s="20">
        <f>$E117/4</f>
        <v>5179000000</v>
      </c>
      <c r="AB128" s="20">
        <f>$E117/4</f>
        <v>5179000000</v>
      </c>
      <c r="AC128" s="20">
        <f>$E117/4</f>
        <v>5179000000</v>
      </c>
      <c r="AE128" s="21">
        <f t="shared" si="78"/>
        <v>6879950000</v>
      </c>
      <c r="AF128" s="21">
        <f t="shared" si="79"/>
        <v>78778200000</v>
      </c>
      <c r="AG128" s="21">
        <f t="shared" si="76"/>
        <v>1624050000</v>
      </c>
    </row>
    <row r="130" spans="1:33" x14ac:dyDescent="0.2">
      <c r="C130" t="s">
        <v>179</v>
      </c>
    </row>
    <row r="131" spans="1:33" x14ac:dyDescent="0.2">
      <c r="C131" s="6" t="s">
        <v>107</v>
      </c>
      <c r="D131" s="6" t="s">
        <v>439</v>
      </c>
      <c r="E131" s="6" t="s">
        <v>440</v>
      </c>
      <c r="F131" s="6" t="s">
        <v>471</v>
      </c>
      <c r="G131" s="6" t="s">
        <v>441</v>
      </c>
      <c r="H131" s="6" t="s">
        <v>442</v>
      </c>
      <c r="I131" s="15"/>
      <c r="J131" s="6" t="s">
        <v>443</v>
      </c>
      <c r="K131" s="6" t="s">
        <v>444</v>
      </c>
      <c r="L131" s="6" t="s">
        <v>445</v>
      </c>
      <c r="M131" s="6" t="s">
        <v>446</v>
      </c>
      <c r="N131" s="6" t="s">
        <v>447</v>
      </c>
      <c r="O131" s="6" t="s">
        <v>448</v>
      </c>
      <c r="P131" s="6" t="s">
        <v>449</v>
      </c>
      <c r="Q131" s="6" t="s">
        <v>450</v>
      </c>
      <c r="R131" s="6" t="s">
        <v>451</v>
      </c>
      <c r="S131" s="6" t="s">
        <v>452</v>
      </c>
      <c r="T131" s="6" t="s">
        <v>453</v>
      </c>
      <c r="U131" s="6" t="s">
        <v>454</v>
      </c>
      <c r="V131" s="6" t="s">
        <v>455</v>
      </c>
      <c r="W131" s="6" t="s">
        <v>456</v>
      </c>
      <c r="X131" s="6" t="s">
        <v>457</v>
      </c>
      <c r="Y131" s="6" t="s">
        <v>458</v>
      </c>
      <c r="Z131" s="6" t="s">
        <v>459</v>
      </c>
      <c r="AA131" s="6" t="s">
        <v>460</v>
      </c>
      <c r="AB131" s="6" t="s">
        <v>461</v>
      </c>
      <c r="AC131" s="6" t="s">
        <v>462</v>
      </c>
      <c r="AD131" s="15"/>
      <c r="AE131" s="6" t="s">
        <v>106</v>
      </c>
      <c r="AF131" s="6" t="s">
        <v>105</v>
      </c>
      <c r="AG131" s="6" t="s">
        <v>463</v>
      </c>
    </row>
    <row r="132" spans="1:33" x14ac:dyDescent="0.2">
      <c r="C132" s="16" t="s">
        <v>464</v>
      </c>
      <c r="J132" s="17">
        <v>20</v>
      </c>
      <c r="K132" s="17">
        <v>19</v>
      </c>
      <c r="L132" s="17">
        <v>18</v>
      </c>
      <c r="M132" s="17">
        <v>17</v>
      </c>
      <c r="N132" s="17">
        <v>16</v>
      </c>
      <c r="O132" s="17">
        <v>15</v>
      </c>
      <c r="P132" s="17">
        <v>14</v>
      </c>
      <c r="Q132" s="17">
        <v>13</v>
      </c>
      <c r="R132" s="17">
        <v>12</v>
      </c>
      <c r="S132" s="17">
        <v>11</v>
      </c>
      <c r="T132" s="17">
        <v>10</v>
      </c>
      <c r="U132" s="17">
        <v>9</v>
      </c>
      <c r="V132" s="17">
        <v>8</v>
      </c>
      <c r="W132" s="17">
        <v>7</v>
      </c>
      <c r="X132" s="17">
        <v>6</v>
      </c>
      <c r="Y132" s="17">
        <v>5</v>
      </c>
      <c r="Z132" s="17">
        <v>4</v>
      </c>
      <c r="AA132" s="17">
        <v>3</v>
      </c>
      <c r="AB132" s="17">
        <v>2</v>
      </c>
      <c r="AC132" s="17">
        <v>1</v>
      </c>
    </row>
    <row r="133" spans="1:33" x14ac:dyDescent="0.2">
      <c r="A133">
        <v>1</v>
      </c>
      <c r="B133" t="s">
        <v>179</v>
      </c>
      <c r="C133" s="18" t="s">
        <v>490</v>
      </c>
      <c r="G133" s="23">
        <f t="shared" ref="G133:G140" si="86">$G$13</f>
        <v>20</v>
      </c>
      <c r="H133" s="4">
        <v>311000000</v>
      </c>
      <c r="I133" s="20">
        <f>+H133/20</f>
        <v>15550000</v>
      </c>
      <c r="J133" s="20">
        <f>+H133-$I133</f>
        <v>295450000</v>
      </c>
      <c r="K133" s="20">
        <f>+J133-$I133</f>
        <v>279900000</v>
      </c>
      <c r="L133" s="20">
        <f t="shared" ref="L133" si="87">+K133-$I133</f>
        <v>264350000</v>
      </c>
      <c r="M133" s="20">
        <f t="shared" ref="M133:M134" si="88">+L133-$I133</f>
        <v>248800000</v>
      </c>
      <c r="N133" s="20">
        <f t="shared" ref="N133:N135" si="89">+M133-$I133</f>
        <v>233250000</v>
      </c>
      <c r="O133" s="20">
        <f t="shared" ref="O133:O137" si="90">+N133-$I133</f>
        <v>217700000</v>
      </c>
      <c r="P133" s="20">
        <f t="shared" ref="P133:P138" si="91">+O133-$I133</f>
        <v>202150000</v>
      </c>
      <c r="Q133" s="20">
        <f t="shared" ref="Q133:Q139" si="92">+P133-$I133</f>
        <v>186600000</v>
      </c>
      <c r="R133" s="20">
        <f t="shared" ref="R133:R140" si="93">+Q133-$I133</f>
        <v>171050000</v>
      </c>
      <c r="S133" s="20">
        <f t="shared" ref="S133:S141" si="94">+R133-$I133</f>
        <v>155500000</v>
      </c>
      <c r="T133" s="20">
        <f t="shared" ref="T133:T142" si="95">+S133-$I133</f>
        <v>139950000</v>
      </c>
      <c r="U133" s="20">
        <f t="shared" ref="U133:U143" si="96">+T133-$I133</f>
        <v>124400000</v>
      </c>
      <c r="V133" s="20">
        <f t="shared" ref="V133:V144" si="97">+U133-$I133</f>
        <v>108850000</v>
      </c>
      <c r="W133" s="20">
        <f t="shared" ref="W133:W145" si="98">+V133-$I133</f>
        <v>93300000</v>
      </c>
      <c r="X133" s="20">
        <f t="shared" ref="X133:X146" si="99">+W133-$I133</f>
        <v>77750000</v>
      </c>
      <c r="Y133" s="20">
        <f t="shared" ref="Y133:Y147" si="100">+X133-$I133</f>
        <v>62200000</v>
      </c>
      <c r="Z133" s="20">
        <f t="shared" ref="Z133:Z148" si="101">+Y133-$I133</f>
        <v>46650000</v>
      </c>
      <c r="AA133" s="20">
        <f t="shared" ref="AA133:AA149" si="102">+Z133-$I133</f>
        <v>31100000</v>
      </c>
      <c r="AB133" s="20">
        <f t="shared" ref="AB133:AB150" si="103">+AA133-$I133</f>
        <v>15550000</v>
      </c>
      <c r="AC133" s="20">
        <f t="shared" ref="AC133:AC151" si="104">+AB133-$I133</f>
        <v>0</v>
      </c>
      <c r="AE133" s="21">
        <f>SUM(I133)</f>
        <v>15550000</v>
      </c>
      <c r="AF133" s="21">
        <f>SUM(J133:J133)</f>
        <v>295450000</v>
      </c>
      <c r="AG133" s="21">
        <f t="shared" ref="AG133:AG152" si="105">H133-AE133</f>
        <v>295450000</v>
      </c>
    </row>
    <row r="134" spans="1:33" x14ac:dyDescent="0.2">
      <c r="A134">
        <v>2</v>
      </c>
      <c r="B134" t="s">
        <v>179</v>
      </c>
      <c r="C134" s="18" t="s">
        <v>491</v>
      </c>
      <c r="G134" s="23">
        <f t="shared" si="86"/>
        <v>20</v>
      </c>
      <c r="H134" s="4">
        <v>325300000</v>
      </c>
      <c r="I134" s="20">
        <f t="shared" ref="I134:I152" si="106">+H134/20</f>
        <v>16265000</v>
      </c>
      <c r="J134" s="20"/>
      <c r="K134" s="20">
        <f>+H134-I134</f>
        <v>309035000</v>
      </c>
      <c r="L134" s="20">
        <f>+K134-$I134</f>
        <v>292770000</v>
      </c>
      <c r="M134" s="20">
        <f t="shared" si="88"/>
        <v>276505000</v>
      </c>
      <c r="N134" s="20">
        <f t="shared" si="89"/>
        <v>260240000</v>
      </c>
      <c r="O134" s="20">
        <f t="shared" si="90"/>
        <v>243975000</v>
      </c>
      <c r="P134" s="20">
        <f t="shared" si="91"/>
        <v>227710000</v>
      </c>
      <c r="Q134" s="20">
        <f t="shared" si="92"/>
        <v>211445000</v>
      </c>
      <c r="R134" s="20">
        <f t="shared" si="93"/>
        <v>195180000</v>
      </c>
      <c r="S134" s="20">
        <f t="shared" si="94"/>
        <v>178915000</v>
      </c>
      <c r="T134" s="20">
        <f t="shared" si="95"/>
        <v>162650000</v>
      </c>
      <c r="U134" s="20">
        <f t="shared" si="96"/>
        <v>146385000</v>
      </c>
      <c r="V134" s="20">
        <f t="shared" si="97"/>
        <v>130120000</v>
      </c>
      <c r="W134" s="20">
        <f t="shared" si="98"/>
        <v>113855000</v>
      </c>
      <c r="X134" s="20">
        <f t="shared" si="99"/>
        <v>97590000</v>
      </c>
      <c r="Y134" s="20">
        <f t="shared" si="100"/>
        <v>81325000</v>
      </c>
      <c r="Z134" s="20">
        <f t="shared" si="101"/>
        <v>65060000</v>
      </c>
      <c r="AA134" s="20">
        <f t="shared" si="102"/>
        <v>48795000</v>
      </c>
      <c r="AB134" s="20">
        <f t="shared" si="103"/>
        <v>32530000</v>
      </c>
      <c r="AC134" s="20">
        <f t="shared" si="104"/>
        <v>16265000</v>
      </c>
      <c r="AE134" s="21">
        <f>SUM(I133:I134)</f>
        <v>31815000</v>
      </c>
      <c r="AF134" s="21">
        <f>SUM(K133:K134)</f>
        <v>588935000</v>
      </c>
      <c r="AG134" s="21">
        <f t="shared" si="105"/>
        <v>293485000</v>
      </c>
    </row>
    <row r="135" spans="1:33" x14ac:dyDescent="0.2">
      <c r="A135">
        <v>3</v>
      </c>
      <c r="B135" t="s">
        <v>179</v>
      </c>
      <c r="C135" s="18" t="s">
        <v>484</v>
      </c>
      <c r="G135" s="23">
        <f t="shared" si="86"/>
        <v>20</v>
      </c>
      <c r="H135" s="4">
        <v>339500000</v>
      </c>
      <c r="I135" s="20">
        <f t="shared" si="106"/>
        <v>16975000</v>
      </c>
      <c r="J135" s="20"/>
      <c r="K135" s="20"/>
      <c r="L135" s="20">
        <f>+H135-I135</f>
        <v>322525000</v>
      </c>
      <c r="M135" s="20">
        <f>+L135-$I135</f>
        <v>305550000</v>
      </c>
      <c r="N135" s="20">
        <f t="shared" si="89"/>
        <v>288575000</v>
      </c>
      <c r="O135" s="20">
        <f t="shared" si="90"/>
        <v>271600000</v>
      </c>
      <c r="P135" s="20">
        <f t="shared" si="91"/>
        <v>254625000</v>
      </c>
      <c r="Q135" s="20">
        <f t="shared" si="92"/>
        <v>237650000</v>
      </c>
      <c r="R135" s="20">
        <f t="shared" si="93"/>
        <v>220675000</v>
      </c>
      <c r="S135" s="20">
        <f t="shared" si="94"/>
        <v>203700000</v>
      </c>
      <c r="T135" s="20">
        <f t="shared" si="95"/>
        <v>186725000</v>
      </c>
      <c r="U135" s="20">
        <f t="shared" si="96"/>
        <v>169750000</v>
      </c>
      <c r="V135" s="20">
        <f t="shared" si="97"/>
        <v>152775000</v>
      </c>
      <c r="W135" s="20">
        <f t="shared" si="98"/>
        <v>135800000</v>
      </c>
      <c r="X135" s="20">
        <f t="shared" si="99"/>
        <v>118825000</v>
      </c>
      <c r="Y135" s="20">
        <f t="shared" si="100"/>
        <v>101850000</v>
      </c>
      <c r="Z135" s="20">
        <f t="shared" si="101"/>
        <v>84875000</v>
      </c>
      <c r="AA135" s="20">
        <f t="shared" si="102"/>
        <v>67900000</v>
      </c>
      <c r="AB135" s="20">
        <f t="shared" si="103"/>
        <v>50925000</v>
      </c>
      <c r="AC135" s="20">
        <f t="shared" si="104"/>
        <v>33950000</v>
      </c>
      <c r="AE135" s="21">
        <f>SUM(I133:I135)</f>
        <v>48790000</v>
      </c>
      <c r="AF135" s="21">
        <f>SUM(L133:L135)</f>
        <v>879645000</v>
      </c>
      <c r="AG135" s="21">
        <f t="shared" si="105"/>
        <v>290710000</v>
      </c>
    </row>
    <row r="136" spans="1:33" x14ac:dyDescent="0.2">
      <c r="A136">
        <v>4</v>
      </c>
      <c r="B136" t="s">
        <v>179</v>
      </c>
      <c r="C136" s="18" t="s">
        <v>485</v>
      </c>
      <c r="G136" s="23">
        <f t="shared" si="86"/>
        <v>20</v>
      </c>
      <c r="H136" s="4">
        <v>359000000</v>
      </c>
      <c r="I136" s="20">
        <f t="shared" si="106"/>
        <v>17950000</v>
      </c>
      <c r="J136" s="20"/>
      <c r="K136" s="20"/>
      <c r="L136" s="20"/>
      <c r="M136" s="20">
        <f>+H136-I136</f>
        <v>341050000</v>
      </c>
      <c r="N136" s="20">
        <f>+M136-$I136</f>
        <v>323100000</v>
      </c>
      <c r="O136" s="20">
        <f t="shared" si="90"/>
        <v>305150000</v>
      </c>
      <c r="P136" s="20">
        <f t="shared" si="91"/>
        <v>287200000</v>
      </c>
      <c r="Q136" s="20">
        <f t="shared" si="92"/>
        <v>269250000</v>
      </c>
      <c r="R136" s="20">
        <f t="shared" si="93"/>
        <v>251300000</v>
      </c>
      <c r="S136" s="20">
        <f t="shared" si="94"/>
        <v>233350000</v>
      </c>
      <c r="T136" s="20">
        <f t="shared" si="95"/>
        <v>215400000</v>
      </c>
      <c r="U136" s="20">
        <f t="shared" si="96"/>
        <v>197450000</v>
      </c>
      <c r="V136" s="20">
        <f t="shared" si="97"/>
        <v>179500000</v>
      </c>
      <c r="W136" s="20">
        <f t="shared" si="98"/>
        <v>161550000</v>
      </c>
      <c r="X136" s="20">
        <f t="shared" si="99"/>
        <v>143600000</v>
      </c>
      <c r="Y136" s="20">
        <f t="shared" si="100"/>
        <v>125650000</v>
      </c>
      <c r="Z136" s="20">
        <f t="shared" si="101"/>
        <v>107700000</v>
      </c>
      <c r="AA136" s="20">
        <f t="shared" si="102"/>
        <v>89750000</v>
      </c>
      <c r="AB136" s="20">
        <f t="shared" si="103"/>
        <v>71800000</v>
      </c>
      <c r="AC136" s="20">
        <f t="shared" si="104"/>
        <v>53850000</v>
      </c>
      <c r="AE136" s="21">
        <f>SUM(I133:I136)</f>
        <v>66740000</v>
      </c>
      <c r="AF136" s="21">
        <f>SUM(M133:M136)</f>
        <v>1171905000</v>
      </c>
      <c r="AG136" s="21">
        <f t="shared" si="105"/>
        <v>292260000</v>
      </c>
    </row>
    <row r="137" spans="1:33" x14ac:dyDescent="0.2">
      <c r="A137">
        <v>5</v>
      </c>
      <c r="B137" t="s">
        <v>179</v>
      </c>
      <c r="C137" s="18" t="s">
        <v>486</v>
      </c>
      <c r="G137" s="23">
        <f t="shared" si="86"/>
        <v>20</v>
      </c>
      <c r="H137" s="4">
        <v>355400000</v>
      </c>
      <c r="I137" s="20">
        <f t="shared" si="106"/>
        <v>17770000</v>
      </c>
      <c r="J137" s="20"/>
      <c r="K137" s="20"/>
      <c r="L137" s="20"/>
      <c r="M137" s="20"/>
      <c r="N137" s="20">
        <f>+H137-I137</f>
        <v>337630000</v>
      </c>
      <c r="O137" s="20">
        <f t="shared" si="90"/>
        <v>319860000</v>
      </c>
      <c r="P137" s="20">
        <f t="shared" si="91"/>
        <v>302090000</v>
      </c>
      <c r="Q137" s="20">
        <f t="shared" si="92"/>
        <v>284320000</v>
      </c>
      <c r="R137" s="20">
        <f t="shared" si="93"/>
        <v>266550000</v>
      </c>
      <c r="S137" s="20">
        <f t="shared" si="94"/>
        <v>248780000</v>
      </c>
      <c r="T137" s="20">
        <f t="shared" si="95"/>
        <v>231010000</v>
      </c>
      <c r="U137" s="20">
        <f t="shared" si="96"/>
        <v>213240000</v>
      </c>
      <c r="V137" s="20">
        <f t="shared" si="97"/>
        <v>195470000</v>
      </c>
      <c r="W137" s="20">
        <f t="shared" si="98"/>
        <v>177700000</v>
      </c>
      <c r="X137" s="20">
        <f t="shared" si="99"/>
        <v>159930000</v>
      </c>
      <c r="Y137" s="20">
        <f t="shared" si="100"/>
        <v>142160000</v>
      </c>
      <c r="Z137" s="20">
        <f t="shared" si="101"/>
        <v>124390000</v>
      </c>
      <c r="AA137" s="20">
        <f t="shared" si="102"/>
        <v>106620000</v>
      </c>
      <c r="AB137" s="20">
        <f t="shared" si="103"/>
        <v>88850000</v>
      </c>
      <c r="AC137" s="20">
        <f t="shared" si="104"/>
        <v>71080000</v>
      </c>
      <c r="AE137" s="21">
        <f>SUM(I133:I137)</f>
        <v>84510000</v>
      </c>
      <c r="AF137" s="21">
        <f>SUM(N133:N137)</f>
        <v>1442795000</v>
      </c>
      <c r="AG137" s="21">
        <f t="shared" si="105"/>
        <v>270890000</v>
      </c>
    </row>
    <row r="138" spans="1:33" x14ac:dyDescent="0.2">
      <c r="A138">
        <v>6</v>
      </c>
      <c r="B138" t="s">
        <v>179</v>
      </c>
      <c r="C138" s="18" t="s">
        <v>487</v>
      </c>
      <c r="G138" s="23">
        <f t="shared" si="86"/>
        <v>20</v>
      </c>
      <c r="H138" s="4">
        <v>363800000</v>
      </c>
      <c r="I138" s="20">
        <f t="shared" si="106"/>
        <v>18190000</v>
      </c>
      <c r="J138" s="20"/>
      <c r="K138" s="20"/>
      <c r="L138" s="20"/>
      <c r="M138" s="20"/>
      <c r="N138" s="20"/>
      <c r="O138" s="20">
        <f>+H138-I138</f>
        <v>345610000</v>
      </c>
      <c r="P138" s="20">
        <f t="shared" si="91"/>
        <v>327420000</v>
      </c>
      <c r="Q138" s="20">
        <f t="shared" si="92"/>
        <v>309230000</v>
      </c>
      <c r="R138" s="20">
        <f t="shared" si="93"/>
        <v>291040000</v>
      </c>
      <c r="S138" s="20">
        <f t="shared" si="94"/>
        <v>272850000</v>
      </c>
      <c r="T138" s="20">
        <f t="shared" si="95"/>
        <v>254660000</v>
      </c>
      <c r="U138" s="20">
        <f t="shared" si="96"/>
        <v>236470000</v>
      </c>
      <c r="V138" s="20">
        <f t="shared" si="97"/>
        <v>218280000</v>
      </c>
      <c r="W138" s="20">
        <f t="shared" si="98"/>
        <v>200090000</v>
      </c>
      <c r="X138" s="20">
        <f t="shared" si="99"/>
        <v>181900000</v>
      </c>
      <c r="Y138" s="20">
        <f t="shared" si="100"/>
        <v>163710000</v>
      </c>
      <c r="Z138" s="20">
        <f t="shared" si="101"/>
        <v>145520000</v>
      </c>
      <c r="AA138" s="20">
        <f t="shared" si="102"/>
        <v>127330000</v>
      </c>
      <c r="AB138" s="20">
        <f t="shared" si="103"/>
        <v>109140000</v>
      </c>
      <c r="AC138" s="20">
        <f t="shared" si="104"/>
        <v>90950000</v>
      </c>
      <c r="AE138" s="21">
        <f>SUM(I133:I138)</f>
        <v>102700000</v>
      </c>
      <c r="AF138" s="21">
        <f>SUM(O133:O138)</f>
        <v>1703895000</v>
      </c>
      <c r="AG138" s="21">
        <f t="shared" si="105"/>
        <v>261100000</v>
      </c>
    </row>
    <row r="139" spans="1:33" x14ac:dyDescent="0.2">
      <c r="A139">
        <v>7</v>
      </c>
      <c r="B139" t="s">
        <v>179</v>
      </c>
      <c r="C139" s="18" t="s">
        <v>104</v>
      </c>
      <c r="G139" s="23">
        <f t="shared" si="86"/>
        <v>20</v>
      </c>
      <c r="H139" s="4">
        <v>371800000</v>
      </c>
      <c r="I139" s="20">
        <f t="shared" si="106"/>
        <v>18590000</v>
      </c>
      <c r="J139" s="20"/>
      <c r="K139" s="20"/>
      <c r="L139" s="20"/>
      <c r="M139" s="20"/>
      <c r="N139" s="20"/>
      <c r="O139" s="20"/>
      <c r="P139" s="20">
        <f>+H139-I139</f>
        <v>353210000</v>
      </c>
      <c r="Q139" s="20">
        <f t="shared" si="92"/>
        <v>334620000</v>
      </c>
      <c r="R139" s="20">
        <f t="shared" si="93"/>
        <v>316030000</v>
      </c>
      <c r="S139" s="20">
        <f t="shared" si="94"/>
        <v>297440000</v>
      </c>
      <c r="T139" s="20">
        <f t="shared" si="95"/>
        <v>278850000</v>
      </c>
      <c r="U139" s="20">
        <f t="shared" si="96"/>
        <v>260260000</v>
      </c>
      <c r="V139" s="20">
        <f t="shared" si="97"/>
        <v>241670000</v>
      </c>
      <c r="W139" s="20">
        <f t="shared" si="98"/>
        <v>223080000</v>
      </c>
      <c r="X139" s="20">
        <f t="shared" si="99"/>
        <v>204490000</v>
      </c>
      <c r="Y139" s="20">
        <f t="shared" si="100"/>
        <v>185900000</v>
      </c>
      <c r="Z139" s="20">
        <f t="shared" si="101"/>
        <v>167310000</v>
      </c>
      <c r="AA139" s="20">
        <f t="shared" si="102"/>
        <v>148720000</v>
      </c>
      <c r="AB139" s="20">
        <f t="shared" si="103"/>
        <v>130130000</v>
      </c>
      <c r="AC139" s="20">
        <f t="shared" si="104"/>
        <v>111540000</v>
      </c>
      <c r="AE139" s="21">
        <f>SUM(I133:I139)</f>
        <v>121290000</v>
      </c>
      <c r="AF139" s="21">
        <f>SUM(P133:P139)</f>
        <v>1954405000</v>
      </c>
      <c r="AG139" s="21">
        <f t="shared" si="105"/>
        <v>250510000</v>
      </c>
    </row>
    <row r="140" spans="1:33" x14ac:dyDescent="0.2">
      <c r="A140">
        <v>8</v>
      </c>
      <c r="B140" t="s">
        <v>179</v>
      </c>
      <c r="C140" s="18" t="s">
        <v>103</v>
      </c>
      <c r="G140" s="23">
        <f t="shared" si="86"/>
        <v>20</v>
      </c>
      <c r="H140" s="4">
        <v>404100000</v>
      </c>
      <c r="I140" s="20">
        <f t="shared" si="106"/>
        <v>20205000</v>
      </c>
      <c r="J140" s="20"/>
      <c r="K140" s="20"/>
      <c r="L140" s="20"/>
      <c r="M140" s="20"/>
      <c r="N140" s="20"/>
      <c r="O140" s="20"/>
      <c r="P140" s="20"/>
      <c r="Q140" s="20">
        <f>+H140-I140</f>
        <v>383895000</v>
      </c>
      <c r="R140" s="20">
        <f t="shared" si="93"/>
        <v>363690000</v>
      </c>
      <c r="S140" s="20">
        <f t="shared" si="94"/>
        <v>343485000</v>
      </c>
      <c r="T140" s="20">
        <f t="shared" si="95"/>
        <v>323280000</v>
      </c>
      <c r="U140" s="20">
        <f t="shared" si="96"/>
        <v>303075000</v>
      </c>
      <c r="V140" s="20">
        <f t="shared" si="97"/>
        <v>282870000</v>
      </c>
      <c r="W140" s="20">
        <f t="shared" si="98"/>
        <v>262665000</v>
      </c>
      <c r="X140" s="20">
        <f t="shared" si="99"/>
        <v>242460000</v>
      </c>
      <c r="Y140" s="20">
        <f t="shared" si="100"/>
        <v>222255000</v>
      </c>
      <c r="Z140" s="20">
        <f t="shared" si="101"/>
        <v>202050000</v>
      </c>
      <c r="AA140" s="20">
        <f t="shared" si="102"/>
        <v>181845000</v>
      </c>
      <c r="AB140" s="20">
        <f t="shared" si="103"/>
        <v>161640000</v>
      </c>
      <c r="AC140" s="20">
        <f t="shared" si="104"/>
        <v>141435000</v>
      </c>
      <c r="AE140" s="21">
        <f>SUM(I133:I140)</f>
        <v>141495000</v>
      </c>
      <c r="AF140" s="21">
        <f>SUM(Q133:Q140)</f>
        <v>2217010000</v>
      </c>
      <c r="AG140" s="21">
        <f t="shared" si="105"/>
        <v>262605000</v>
      </c>
    </row>
    <row r="141" spans="1:33" x14ac:dyDescent="0.2">
      <c r="A141">
        <v>9</v>
      </c>
      <c r="B141" t="s">
        <v>179</v>
      </c>
      <c r="C141" s="18" t="s">
        <v>102</v>
      </c>
      <c r="D141" s="4">
        <v>3924000000</v>
      </c>
      <c r="E141" s="4">
        <v>5268000000</v>
      </c>
      <c r="F141" s="4">
        <v>7339000000</v>
      </c>
      <c r="G141" s="19">
        <v>20</v>
      </c>
      <c r="H141" s="4">
        <v>413700000</v>
      </c>
      <c r="I141" s="20">
        <f t="shared" si="106"/>
        <v>20685000</v>
      </c>
      <c r="J141" s="20"/>
      <c r="K141" s="20"/>
      <c r="L141" s="20"/>
      <c r="M141" s="20"/>
      <c r="N141" s="20"/>
      <c r="O141" s="20"/>
      <c r="P141" s="20"/>
      <c r="Q141" s="20"/>
      <c r="R141" s="20">
        <f>+H141-I141</f>
        <v>393015000</v>
      </c>
      <c r="S141" s="20">
        <f t="shared" si="94"/>
        <v>372330000</v>
      </c>
      <c r="T141" s="20">
        <f t="shared" si="95"/>
        <v>351645000</v>
      </c>
      <c r="U141" s="20">
        <f t="shared" si="96"/>
        <v>330960000</v>
      </c>
      <c r="V141" s="20">
        <f t="shared" si="97"/>
        <v>310275000</v>
      </c>
      <c r="W141" s="20">
        <f t="shared" si="98"/>
        <v>289590000</v>
      </c>
      <c r="X141" s="20">
        <f t="shared" si="99"/>
        <v>268905000</v>
      </c>
      <c r="Y141" s="20">
        <f t="shared" si="100"/>
        <v>248220000</v>
      </c>
      <c r="Z141" s="20">
        <f t="shared" si="101"/>
        <v>227535000</v>
      </c>
      <c r="AA141" s="20">
        <f t="shared" si="102"/>
        <v>206850000</v>
      </c>
      <c r="AB141" s="20">
        <f t="shared" si="103"/>
        <v>186165000</v>
      </c>
      <c r="AC141" s="20">
        <f t="shared" si="104"/>
        <v>165480000</v>
      </c>
      <c r="AE141" s="21">
        <f>SUM(I133:I141)</f>
        <v>162180000</v>
      </c>
      <c r="AF141" s="21">
        <f>SUM(R133:R141)</f>
        <v>2468530000</v>
      </c>
      <c r="AG141" s="21">
        <f t="shared" si="105"/>
        <v>251520000</v>
      </c>
    </row>
    <row r="142" spans="1:33" x14ac:dyDescent="0.2">
      <c r="A142">
        <v>10</v>
      </c>
      <c r="B142" t="s">
        <v>179</v>
      </c>
      <c r="C142" s="18" t="s">
        <v>101</v>
      </c>
      <c r="D142" s="22">
        <f>$D141</f>
        <v>3924000000</v>
      </c>
      <c r="E142" s="22">
        <f>$E141</f>
        <v>5268000000</v>
      </c>
      <c r="F142" s="22">
        <f>$F141</f>
        <v>7339000000</v>
      </c>
      <c r="G142" s="23">
        <f>$G$13</f>
        <v>20</v>
      </c>
      <c r="H142" s="4">
        <v>414399999.99999994</v>
      </c>
      <c r="I142" s="20">
        <f t="shared" si="106"/>
        <v>20719999.999999996</v>
      </c>
      <c r="J142" s="20"/>
      <c r="K142" s="20"/>
      <c r="L142" s="20"/>
      <c r="M142" s="20"/>
      <c r="N142" s="20"/>
      <c r="O142" s="20"/>
      <c r="P142" s="20"/>
      <c r="Q142" s="20"/>
      <c r="R142" s="20"/>
      <c r="S142" s="20">
        <f>+H142-I142</f>
        <v>393679999.99999994</v>
      </c>
      <c r="T142" s="20">
        <f t="shared" si="95"/>
        <v>372959999.99999994</v>
      </c>
      <c r="U142" s="20">
        <f t="shared" si="96"/>
        <v>352239999.99999994</v>
      </c>
      <c r="V142" s="20">
        <f t="shared" si="97"/>
        <v>331519999.99999994</v>
      </c>
      <c r="W142" s="20">
        <f t="shared" si="98"/>
        <v>310799999.99999994</v>
      </c>
      <c r="X142" s="20">
        <f t="shared" si="99"/>
        <v>290079999.99999994</v>
      </c>
      <c r="Y142" s="20">
        <f t="shared" si="100"/>
        <v>269359999.99999994</v>
      </c>
      <c r="Z142" s="20">
        <f t="shared" si="101"/>
        <v>248639999.99999994</v>
      </c>
      <c r="AA142" s="20">
        <f t="shared" si="102"/>
        <v>227919999.99999994</v>
      </c>
      <c r="AB142" s="20">
        <f t="shared" si="103"/>
        <v>207199999.99999994</v>
      </c>
      <c r="AC142" s="20">
        <f t="shared" si="104"/>
        <v>186479999.99999994</v>
      </c>
      <c r="AE142" s="21">
        <f>SUM(I133:I142)</f>
        <v>182900000</v>
      </c>
      <c r="AF142" s="21">
        <f>SUM(S133:S142)</f>
        <v>2700030000</v>
      </c>
      <c r="AG142" s="21">
        <f t="shared" si="105"/>
        <v>231499999.99999994</v>
      </c>
    </row>
    <row r="143" spans="1:33" x14ac:dyDescent="0.2">
      <c r="A143">
        <v>11</v>
      </c>
      <c r="B143" t="s">
        <v>179</v>
      </c>
      <c r="C143" s="18" t="s">
        <v>100</v>
      </c>
      <c r="D143" s="22">
        <f>$D141</f>
        <v>3924000000</v>
      </c>
      <c r="E143" s="22">
        <f>$E141</f>
        <v>5268000000</v>
      </c>
      <c r="F143" s="22">
        <f>$F141</f>
        <v>7339000000</v>
      </c>
      <c r="G143" s="23">
        <f t="shared" ref="G143:G152" si="107">$G$13</f>
        <v>20</v>
      </c>
      <c r="H143" s="4">
        <v>409500000</v>
      </c>
      <c r="I143" s="20">
        <f t="shared" si="106"/>
        <v>20475000</v>
      </c>
      <c r="J143" s="20"/>
      <c r="K143" s="20"/>
      <c r="L143" s="20"/>
      <c r="M143" s="20"/>
      <c r="N143" s="20"/>
      <c r="O143" s="20"/>
      <c r="P143" s="20"/>
      <c r="Q143" s="20"/>
      <c r="R143" s="20"/>
      <c r="S143" s="20"/>
      <c r="T143" s="20">
        <f>+H143-I143</f>
        <v>389025000</v>
      </c>
      <c r="U143" s="20">
        <f t="shared" si="96"/>
        <v>368550000</v>
      </c>
      <c r="V143" s="20">
        <f t="shared" si="97"/>
        <v>348075000</v>
      </c>
      <c r="W143" s="20">
        <f t="shared" si="98"/>
        <v>327600000</v>
      </c>
      <c r="X143" s="20">
        <f t="shared" si="99"/>
        <v>307125000</v>
      </c>
      <c r="Y143" s="20">
        <f t="shared" si="100"/>
        <v>286650000</v>
      </c>
      <c r="Z143" s="20">
        <f t="shared" si="101"/>
        <v>266175000</v>
      </c>
      <c r="AA143" s="20">
        <f t="shared" si="102"/>
        <v>245700000</v>
      </c>
      <c r="AB143" s="20">
        <f t="shared" si="103"/>
        <v>225225000</v>
      </c>
      <c r="AC143" s="20">
        <f t="shared" si="104"/>
        <v>204750000</v>
      </c>
      <c r="AE143" s="21">
        <f>SUM(I133:I143)</f>
        <v>203375000</v>
      </c>
      <c r="AF143" s="21">
        <f>SUM(T133:T143)</f>
        <v>2906155000</v>
      </c>
      <c r="AG143" s="21">
        <f t="shared" si="105"/>
        <v>206125000</v>
      </c>
    </row>
    <row r="144" spans="1:33" x14ac:dyDescent="0.2">
      <c r="A144">
        <v>12</v>
      </c>
      <c r="B144" t="s">
        <v>179</v>
      </c>
      <c r="C144" s="18" t="s">
        <v>99</v>
      </c>
      <c r="D144" s="22">
        <f>$D141</f>
        <v>3924000000</v>
      </c>
      <c r="E144" s="22">
        <f>$E141</f>
        <v>5268000000</v>
      </c>
      <c r="F144" s="22">
        <f>$F141</f>
        <v>7339000000</v>
      </c>
      <c r="G144" s="23">
        <f t="shared" si="107"/>
        <v>20</v>
      </c>
      <c r="H144" s="4">
        <v>447900000</v>
      </c>
      <c r="I144" s="20">
        <f t="shared" si="106"/>
        <v>22395000</v>
      </c>
      <c r="J144" s="20"/>
      <c r="K144" s="20"/>
      <c r="L144" s="20"/>
      <c r="M144" s="20"/>
      <c r="N144" s="20"/>
      <c r="O144" s="20"/>
      <c r="P144" s="20"/>
      <c r="Q144" s="20"/>
      <c r="R144" s="20"/>
      <c r="S144" s="20"/>
      <c r="T144" s="20"/>
      <c r="U144" s="20">
        <f>+H144-I144</f>
        <v>425505000</v>
      </c>
      <c r="V144" s="20">
        <f t="shared" si="97"/>
        <v>403110000</v>
      </c>
      <c r="W144" s="20">
        <f t="shared" si="98"/>
        <v>380715000</v>
      </c>
      <c r="X144" s="20">
        <f t="shared" si="99"/>
        <v>358320000</v>
      </c>
      <c r="Y144" s="20">
        <f t="shared" si="100"/>
        <v>335925000</v>
      </c>
      <c r="Z144" s="20">
        <f t="shared" si="101"/>
        <v>313530000</v>
      </c>
      <c r="AA144" s="20">
        <f t="shared" si="102"/>
        <v>291135000</v>
      </c>
      <c r="AB144" s="20">
        <f t="shared" si="103"/>
        <v>268740000</v>
      </c>
      <c r="AC144" s="20">
        <f t="shared" si="104"/>
        <v>246345000</v>
      </c>
      <c r="AE144" s="21">
        <f>SUM(I133:I144)</f>
        <v>225770000</v>
      </c>
      <c r="AF144" s="21">
        <f>SUM(U133:U144)</f>
        <v>3128285000</v>
      </c>
      <c r="AG144" s="21">
        <f t="shared" si="105"/>
        <v>222130000</v>
      </c>
    </row>
    <row r="145" spans="1:33" x14ac:dyDescent="0.2">
      <c r="A145">
        <v>13</v>
      </c>
      <c r="B145" t="s">
        <v>179</v>
      </c>
      <c r="C145" s="18" t="s">
        <v>98</v>
      </c>
      <c r="D145" s="22">
        <f>$D141</f>
        <v>3924000000</v>
      </c>
      <c r="E145" s="22">
        <f>$E141</f>
        <v>5268000000</v>
      </c>
      <c r="F145" s="22">
        <f>$F141</f>
        <v>7339000000</v>
      </c>
      <c r="G145" s="23">
        <f t="shared" si="107"/>
        <v>20</v>
      </c>
      <c r="H145" s="4">
        <v>457200000</v>
      </c>
      <c r="I145" s="20">
        <f t="shared" si="106"/>
        <v>22860000</v>
      </c>
      <c r="J145" s="20"/>
      <c r="K145" s="20"/>
      <c r="L145" s="20"/>
      <c r="M145" s="20"/>
      <c r="N145" s="20"/>
      <c r="O145" s="20"/>
      <c r="P145" s="20"/>
      <c r="Q145" s="20"/>
      <c r="R145" s="20"/>
      <c r="S145" s="20"/>
      <c r="T145" s="20"/>
      <c r="U145" s="20"/>
      <c r="V145" s="20">
        <f>+H145-I145</f>
        <v>434340000</v>
      </c>
      <c r="W145" s="20">
        <f t="shared" si="98"/>
        <v>411480000</v>
      </c>
      <c r="X145" s="20">
        <f t="shared" si="99"/>
        <v>388620000</v>
      </c>
      <c r="Y145" s="20">
        <f t="shared" si="100"/>
        <v>365760000</v>
      </c>
      <c r="Z145" s="20">
        <f t="shared" si="101"/>
        <v>342900000</v>
      </c>
      <c r="AA145" s="20">
        <f t="shared" si="102"/>
        <v>320040000</v>
      </c>
      <c r="AB145" s="20">
        <f t="shared" si="103"/>
        <v>297180000</v>
      </c>
      <c r="AC145" s="20">
        <f t="shared" si="104"/>
        <v>274320000</v>
      </c>
      <c r="AE145" s="21">
        <f>SUM(I133:I145)</f>
        <v>248630000</v>
      </c>
      <c r="AF145" s="21">
        <f>SUM(V133:V145)</f>
        <v>3336855000</v>
      </c>
      <c r="AG145" s="21">
        <f t="shared" si="105"/>
        <v>208570000</v>
      </c>
    </row>
    <row r="146" spans="1:33" x14ac:dyDescent="0.2">
      <c r="A146">
        <v>14</v>
      </c>
      <c r="B146" t="s">
        <v>179</v>
      </c>
      <c r="C146" s="18" t="s">
        <v>97</v>
      </c>
      <c r="D146" s="22">
        <f>$D141</f>
        <v>3924000000</v>
      </c>
      <c r="E146" s="22">
        <f>$E141</f>
        <v>5268000000</v>
      </c>
      <c r="F146" s="22">
        <f>$F141</f>
        <v>7339000000</v>
      </c>
      <c r="G146" s="23">
        <f t="shared" si="107"/>
        <v>20</v>
      </c>
      <c r="H146" s="4">
        <v>494800000.00000006</v>
      </c>
      <c r="I146" s="20">
        <f t="shared" si="106"/>
        <v>24740000.000000004</v>
      </c>
      <c r="J146" s="20"/>
      <c r="K146" s="20"/>
      <c r="L146" s="20"/>
      <c r="M146" s="20"/>
      <c r="N146" s="20"/>
      <c r="O146" s="20"/>
      <c r="P146" s="20"/>
      <c r="Q146" s="20"/>
      <c r="R146" s="20"/>
      <c r="S146" s="20"/>
      <c r="T146" s="20"/>
      <c r="U146" s="20"/>
      <c r="V146" s="20"/>
      <c r="W146" s="20">
        <f>+H146-I146</f>
        <v>470060000.00000006</v>
      </c>
      <c r="X146" s="20">
        <f t="shared" si="99"/>
        <v>445320000.00000006</v>
      </c>
      <c r="Y146" s="20">
        <f t="shared" si="100"/>
        <v>420580000.00000006</v>
      </c>
      <c r="Z146" s="20">
        <f t="shared" si="101"/>
        <v>395840000.00000006</v>
      </c>
      <c r="AA146" s="20">
        <f t="shared" si="102"/>
        <v>371100000.00000006</v>
      </c>
      <c r="AB146" s="20">
        <f t="shared" si="103"/>
        <v>346360000.00000006</v>
      </c>
      <c r="AC146" s="20">
        <f t="shared" si="104"/>
        <v>321620000.00000006</v>
      </c>
      <c r="AE146" s="21">
        <f>SUM(I133:I146)</f>
        <v>273370000</v>
      </c>
      <c r="AF146" s="21">
        <f>SUM(W133:W146)</f>
        <v>3558285000</v>
      </c>
      <c r="AG146" s="21">
        <f t="shared" si="105"/>
        <v>221430000.00000006</v>
      </c>
    </row>
    <row r="147" spans="1:33" x14ac:dyDescent="0.2">
      <c r="A147">
        <v>15</v>
      </c>
      <c r="B147" t="s">
        <v>179</v>
      </c>
      <c r="C147" s="18" t="s">
        <v>96</v>
      </c>
      <c r="D147" s="22">
        <f>$D141</f>
        <v>3924000000</v>
      </c>
      <c r="E147" s="22">
        <f>$E141</f>
        <v>5268000000</v>
      </c>
      <c r="F147" s="22">
        <f>$F141</f>
        <v>7339000000</v>
      </c>
      <c r="G147" s="23">
        <f t="shared" si="107"/>
        <v>20</v>
      </c>
      <c r="H147" s="4">
        <v>480400000</v>
      </c>
      <c r="I147" s="20">
        <f t="shared" si="106"/>
        <v>24020000</v>
      </c>
      <c r="J147" s="20"/>
      <c r="K147" s="20"/>
      <c r="L147" s="20"/>
      <c r="M147" s="20"/>
      <c r="N147" s="20"/>
      <c r="O147" s="20"/>
      <c r="P147" s="20"/>
      <c r="Q147" s="20"/>
      <c r="R147" s="20"/>
      <c r="S147" s="20"/>
      <c r="T147" s="20"/>
      <c r="U147" s="20"/>
      <c r="V147" s="20"/>
      <c r="W147" s="20"/>
      <c r="X147" s="20">
        <f>+H147-I147</f>
        <v>456380000</v>
      </c>
      <c r="Y147" s="20">
        <f t="shared" si="100"/>
        <v>432360000</v>
      </c>
      <c r="Z147" s="20">
        <f t="shared" si="101"/>
        <v>408340000</v>
      </c>
      <c r="AA147" s="20">
        <f t="shared" si="102"/>
        <v>384320000</v>
      </c>
      <c r="AB147" s="20">
        <f t="shared" si="103"/>
        <v>360300000</v>
      </c>
      <c r="AC147" s="20">
        <f t="shared" si="104"/>
        <v>336280000</v>
      </c>
      <c r="AE147" s="21">
        <f>SUM(I133:I147)</f>
        <v>297390000</v>
      </c>
      <c r="AF147" s="21">
        <f>SUM(X133:X147)</f>
        <v>3741295000</v>
      </c>
      <c r="AG147" s="21">
        <f t="shared" si="105"/>
        <v>183010000</v>
      </c>
    </row>
    <row r="148" spans="1:33" x14ac:dyDescent="0.2">
      <c r="A148">
        <v>16</v>
      </c>
      <c r="B148" t="s">
        <v>179</v>
      </c>
      <c r="C148" s="18" t="s">
        <v>95</v>
      </c>
      <c r="D148" s="22">
        <f>$D141</f>
        <v>3924000000</v>
      </c>
      <c r="E148" s="22">
        <f>$E141</f>
        <v>5268000000</v>
      </c>
      <c r="F148" s="22">
        <f>$F141</f>
        <v>7339000000</v>
      </c>
      <c r="G148" s="23">
        <f t="shared" si="107"/>
        <v>20</v>
      </c>
      <c r="H148" s="4">
        <v>505700000</v>
      </c>
      <c r="I148" s="20">
        <f t="shared" si="106"/>
        <v>25285000</v>
      </c>
      <c r="J148" s="20"/>
      <c r="K148" s="20"/>
      <c r="L148" s="20"/>
      <c r="M148" s="20"/>
      <c r="N148" s="20"/>
      <c r="O148" s="20"/>
      <c r="P148" s="20"/>
      <c r="Q148" s="20"/>
      <c r="R148" s="20"/>
      <c r="S148" s="20"/>
      <c r="T148" s="20"/>
      <c r="U148" s="20"/>
      <c r="V148" s="20"/>
      <c r="W148" s="20"/>
      <c r="X148" s="20"/>
      <c r="Y148" s="20">
        <f>+H148-I148</f>
        <v>480415000</v>
      </c>
      <c r="Z148" s="20">
        <f t="shared" si="101"/>
        <v>455130000</v>
      </c>
      <c r="AA148" s="20">
        <f t="shared" si="102"/>
        <v>429845000</v>
      </c>
      <c r="AB148" s="20">
        <f t="shared" si="103"/>
        <v>404560000</v>
      </c>
      <c r="AC148" s="20">
        <f t="shared" si="104"/>
        <v>379275000</v>
      </c>
      <c r="AE148" s="21">
        <f>SUM(I133:I148)</f>
        <v>322675000</v>
      </c>
      <c r="AF148" s="21">
        <f>SUM(Y133:Y148)</f>
        <v>3924320000</v>
      </c>
      <c r="AG148" s="21">
        <f t="shared" si="105"/>
        <v>183025000</v>
      </c>
    </row>
    <row r="149" spans="1:33" x14ac:dyDescent="0.2">
      <c r="A149">
        <v>17</v>
      </c>
      <c r="B149" t="s">
        <v>179</v>
      </c>
      <c r="C149" s="18" t="s">
        <v>94</v>
      </c>
      <c r="D149" s="22">
        <f>$D141</f>
        <v>3924000000</v>
      </c>
      <c r="E149" s="22">
        <f>$E141</f>
        <v>5268000000</v>
      </c>
      <c r="F149" s="22">
        <f>$F141</f>
        <v>7339000000</v>
      </c>
      <c r="G149" s="23">
        <f t="shared" si="107"/>
        <v>20</v>
      </c>
      <c r="H149" s="4">
        <v>494500000</v>
      </c>
      <c r="I149" s="20">
        <f t="shared" si="106"/>
        <v>24725000</v>
      </c>
      <c r="J149" s="20"/>
      <c r="K149" s="20"/>
      <c r="L149" s="20"/>
      <c r="M149" s="20"/>
      <c r="N149" s="20"/>
      <c r="O149" s="20"/>
      <c r="P149" s="20"/>
      <c r="Q149" s="20"/>
      <c r="R149" s="20"/>
      <c r="S149" s="20"/>
      <c r="T149" s="20"/>
      <c r="U149" s="20"/>
      <c r="V149" s="20"/>
      <c r="W149" s="20"/>
      <c r="X149" s="20"/>
      <c r="Y149" s="20"/>
      <c r="Z149" s="20">
        <f>+H149-I149</f>
        <v>469775000</v>
      </c>
      <c r="AA149" s="20">
        <f t="shared" si="102"/>
        <v>445050000</v>
      </c>
      <c r="AB149" s="20">
        <f t="shared" si="103"/>
        <v>420325000</v>
      </c>
      <c r="AC149" s="20">
        <f t="shared" si="104"/>
        <v>395600000</v>
      </c>
      <c r="AE149" s="21">
        <f>SUM(I133:I149)</f>
        <v>347400000</v>
      </c>
      <c r="AF149" s="21">
        <f>SUM(Z133:Z149)</f>
        <v>4071420000</v>
      </c>
      <c r="AG149" s="21">
        <f t="shared" si="105"/>
        <v>147100000</v>
      </c>
    </row>
    <row r="150" spans="1:33" x14ac:dyDescent="0.2">
      <c r="A150">
        <v>18</v>
      </c>
      <c r="B150" t="s">
        <v>179</v>
      </c>
      <c r="C150" s="18" t="s">
        <v>93</v>
      </c>
      <c r="D150" s="22">
        <f>$D141</f>
        <v>3924000000</v>
      </c>
      <c r="E150" s="22">
        <f>$E141</f>
        <v>5268000000</v>
      </c>
      <c r="F150" s="22">
        <f>$F141</f>
        <v>7339000000</v>
      </c>
      <c r="G150" s="23">
        <f t="shared" si="107"/>
        <v>20</v>
      </c>
      <c r="H150" s="4">
        <v>503499999.99999988</v>
      </c>
      <c r="I150" s="20">
        <f t="shared" si="106"/>
        <v>25174999.999999993</v>
      </c>
      <c r="J150" s="20"/>
      <c r="K150" s="20"/>
      <c r="L150" s="20"/>
      <c r="M150" s="20"/>
      <c r="N150" s="20"/>
      <c r="O150" s="20"/>
      <c r="P150" s="20"/>
      <c r="Q150" s="20"/>
      <c r="R150" s="20"/>
      <c r="S150" s="20"/>
      <c r="T150" s="20"/>
      <c r="U150" s="20"/>
      <c r="V150" s="20"/>
      <c r="W150" s="20"/>
      <c r="X150" s="20"/>
      <c r="Y150" s="20"/>
      <c r="Z150" s="20"/>
      <c r="AA150" s="20">
        <f>+H150-I150</f>
        <v>478324999.99999988</v>
      </c>
      <c r="AB150" s="20">
        <f t="shared" si="103"/>
        <v>453149999.99999988</v>
      </c>
      <c r="AC150" s="20">
        <f t="shared" si="104"/>
        <v>427974999.99999988</v>
      </c>
      <c r="AE150" s="21">
        <f>SUM(I133:I150)</f>
        <v>372575000</v>
      </c>
      <c r="AF150" s="21">
        <f>SUM(AA133:AA150)</f>
        <v>4202345000</v>
      </c>
      <c r="AG150" s="21">
        <f t="shared" si="105"/>
        <v>130924999.99999988</v>
      </c>
    </row>
    <row r="151" spans="1:33" x14ac:dyDescent="0.2">
      <c r="A151">
        <v>19</v>
      </c>
      <c r="B151" t="s">
        <v>179</v>
      </c>
      <c r="C151" s="18" t="s">
        <v>141</v>
      </c>
      <c r="D151" s="22">
        <f>$D141</f>
        <v>3924000000</v>
      </c>
      <c r="E151" s="22">
        <f>$E141</f>
        <v>5268000000</v>
      </c>
      <c r="F151" s="22">
        <f>$F141</f>
        <v>7339000000</v>
      </c>
      <c r="G151" s="23">
        <f t="shared" si="107"/>
        <v>20</v>
      </c>
      <c r="H151" s="4">
        <v>528000000</v>
      </c>
      <c r="I151" s="20">
        <f t="shared" si="106"/>
        <v>26400000</v>
      </c>
      <c r="J151" s="20"/>
      <c r="K151" s="20"/>
      <c r="L151" s="20"/>
      <c r="M151" s="20"/>
      <c r="N151" s="20"/>
      <c r="O151" s="20"/>
      <c r="P151" s="20"/>
      <c r="Q151" s="20"/>
      <c r="R151" s="20"/>
      <c r="S151" s="20"/>
      <c r="T151" s="20"/>
      <c r="U151" s="20"/>
      <c r="V151" s="20"/>
      <c r="W151" s="20"/>
      <c r="X151" s="20"/>
      <c r="Y151" s="20"/>
      <c r="Z151" s="20"/>
      <c r="AA151" s="20"/>
      <c r="AB151" s="20">
        <f>+H151-I151</f>
        <v>501600000</v>
      </c>
      <c r="AC151" s="20">
        <f t="shared" si="104"/>
        <v>475200000</v>
      </c>
      <c r="AE151" s="21">
        <f>SUM(I133:I151)</f>
        <v>398975000</v>
      </c>
      <c r="AF151" s="21">
        <f>SUM(AB133:AB151)</f>
        <v>4331370000</v>
      </c>
      <c r="AG151" s="21">
        <f t="shared" si="105"/>
        <v>129025000</v>
      </c>
    </row>
    <row r="152" spans="1:33" x14ac:dyDescent="0.2">
      <c r="A152">
        <v>20</v>
      </c>
      <c r="B152" t="s">
        <v>179</v>
      </c>
      <c r="C152" s="18" t="s">
        <v>160</v>
      </c>
      <c r="D152" s="22">
        <f>$D141</f>
        <v>3924000000</v>
      </c>
      <c r="E152" s="22">
        <f>$E141</f>
        <v>5268000000</v>
      </c>
      <c r="F152" s="22">
        <f>$F141</f>
        <v>7339000000</v>
      </c>
      <c r="G152" s="23">
        <f t="shared" si="107"/>
        <v>20</v>
      </c>
      <c r="H152" s="4">
        <v>511000000</v>
      </c>
      <c r="I152" s="20">
        <f t="shared" si="106"/>
        <v>25550000</v>
      </c>
      <c r="J152" s="20"/>
      <c r="K152" s="20"/>
      <c r="L152" s="20"/>
      <c r="M152" s="20"/>
      <c r="N152" s="20"/>
      <c r="O152" s="20"/>
      <c r="P152" s="20"/>
      <c r="Q152" s="20"/>
      <c r="R152" s="20"/>
      <c r="S152" s="20"/>
      <c r="T152" s="20"/>
      <c r="U152" s="20"/>
      <c r="V152" s="20"/>
      <c r="W152" s="20"/>
      <c r="X152" s="20"/>
      <c r="Y152" s="20"/>
      <c r="Z152" s="20"/>
      <c r="AA152" s="20"/>
      <c r="AB152" s="20"/>
      <c r="AC152" s="20">
        <f>+H152-I152</f>
        <v>485450000</v>
      </c>
      <c r="AE152" s="21">
        <f>SUM(I133:I152)</f>
        <v>424525000</v>
      </c>
      <c r="AF152" s="21">
        <f>SUM(AC133:AC152)</f>
        <v>4417845000</v>
      </c>
      <c r="AG152" s="21">
        <f t="shared" si="105"/>
        <v>86475000</v>
      </c>
    </row>
    <row r="155" spans="1:33" x14ac:dyDescent="0.2">
      <c r="I155" s="3"/>
    </row>
    <row r="156" spans="1:33" x14ac:dyDescent="0.2">
      <c r="C156" t="s">
        <v>303</v>
      </c>
    </row>
    <row r="157" spans="1:33" x14ac:dyDescent="0.2">
      <c r="C157" s="6" t="s">
        <v>107</v>
      </c>
      <c r="D157" s="6" t="s">
        <v>438</v>
      </c>
      <c r="E157" s="6" t="s">
        <v>439</v>
      </c>
      <c r="F157" s="6" t="s">
        <v>440</v>
      </c>
      <c r="G157" s="6" t="s">
        <v>441</v>
      </c>
      <c r="H157" s="6" t="s">
        <v>442</v>
      </c>
      <c r="I157" s="15"/>
      <c r="J157" s="6" t="s">
        <v>443</v>
      </c>
      <c r="K157" s="6" t="s">
        <v>444</v>
      </c>
      <c r="L157" s="6" t="s">
        <v>445</v>
      </c>
      <c r="M157" s="6" t="s">
        <v>446</v>
      </c>
      <c r="N157" s="6" t="s">
        <v>447</v>
      </c>
      <c r="O157" s="6" t="s">
        <v>448</v>
      </c>
      <c r="P157" s="6" t="s">
        <v>449</v>
      </c>
      <c r="Q157" s="6" t="s">
        <v>450</v>
      </c>
      <c r="R157" s="6" t="s">
        <v>451</v>
      </c>
      <c r="S157" s="6" t="s">
        <v>452</v>
      </c>
      <c r="T157" s="6" t="s">
        <v>453</v>
      </c>
      <c r="U157" s="6" t="s">
        <v>454</v>
      </c>
      <c r="V157" s="6" t="s">
        <v>455</v>
      </c>
      <c r="W157" s="6" t="s">
        <v>456</v>
      </c>
      <c r="X157" s="6" t="s">
        <v>457</v>
      </c>
      <c r="Y157" s="6" t="s">
        <v>458</v>
      </c>
      <c r="Z157" s="6" t="s">
        <v>459</v>
      </c>
      <c r="AA157" s="6" t="s">
        <v>460</v>
      </c>
      <c r="AB157" s="6" t="s">
        <v>461</v>
      </c>
      <c r="AC157" s="6" t="s">
        <v>462</v>
      </c>
      <c r="AD157" s="15"/>
      <c r="AE157" s="6" t="s">
        <v>106</v>
      </c>
      <c r="AF157" s="6" t="s">
        <v>105</v>
      </c>
      <c r="AG157" s="6" t="s">
        <v>463</v>
      </c>
    </row>
    <row r="158" spans="1:33" x14ac:dyDescent="0.2">
      <c r="C158" s="16" t="s">
        <v>464</v>
      </c>
      <c r="J158" s="17">
        <v>20</v>
      </c>
      <c r="K158" s="17">
        <v>19</v>
      </c>
      <c r="L158" s="17">
        <v>18</v>
      </c>
      <c r="M158" s="17">
        <v>17</v>
      </c>
      <c r="N158" s="17">
        <v>16</v>
      </c>
      <c r="O158" s="17">
        <v>15</v>
      </c>
      <c r="P158" s="17">
        <v>14</v>
      </c>
      <c r="Q158" s="17">
        <v>13</v>
      </c>
      <c r="R158" s="17">
        <v>12</v>
      </c>
      <c r="S158" s="17">
        <v>11</v>
      </c>
      <c r="T158" s="17">
        <v>10</v>
      </c>
      <c r="U158" s="17">
        <v>9</v>
      </c>
      <c r="V158" s="17">
        <v>8</v>
      </c>
      <c r="W158" s="17">
        <v>7</v>
      </c>
      <c r="X158" s="17">
        <v>6</v>
      </c>
      <c r="Y158" s="17">
        <v>5</v>
      </c>
      <c r="Z158" s="17">
        <v>4</v>
      </c>
      <c r="AA158" s="17">
        <v>3</v>
      </c>
      <c r="AB158" s="17">
        <v>2</v>
      </c>
      <c r="AC158" s="17">
        <v>1</v>
      </c>
    </row>
    <row r="159" spans="1:33" x14ac:dyDescent="0.2">
      <c r="B159" t="s">
        <v>303</v>
      </c>
      <c r="C159" s="18" t="s">
        <v>104</v>
      </c>
      <c r="D159" s="4">
        <v>0</v>
      </c>
      <c r="E159" s="4">
        <v>0</v>
      </c>
      <c r="F159" s="4">
        <v>0</v>
      </c>
      <c r="G159" s="19">
        <v>20</v>
      </c>
      <c r="H159" s="4">
        <v>0</v>
      </c>
      <c r="J159" s="20">
        <f t="shared" ref="J159:J170" si="108">H159</f>
        <v>0</v>
      </c>
      <c r="K159" s="20">
        <f>$F159/4</f>
        <v>0</v>
      </c>
      <c r="L159" s="20">
        <f>$F159/4</f>
        <v>0</v>
      </c>
      <c r="M159" s="20">
        <f>$F159/4</f>
        <v>0</v>
      </c>
      <c r="N159" s="20">
        <f>$F159/4</f>
        <v>0</v>
      </c>
      <c r="O159" s="20">
        <f>$E159/4</f>
        <v>0</v>
      </c>
      <c r="P159" s="20">
        <f>$E159/4</f>
        <v>0</v>
      </c>
      <c r="Q159" s="20">
        <f>$E159/4</f>
        <v>0</v>
      </c>
      <c r="R159" s="20">
        <f>$E159/4</f>
        <v>0</v>
      </c>
      <c r="S159" s="20">
        <f>$D159/4</f>
        <v>0</v>
      </c>
      <c r="T159" s="20">
        <f>$D159/4</f>
        <v>0</v>
      </c>
      <c r="U159" s="20">
        <f>$D159/4</f>
        <v>0</v>
      </c>
      <c r="V159" s="20">
        <f>$D159/4</f>
        <v>0</v>
      </c>
      <c r="W159" s="20">
        <v>0</v>
      </c>
      <c r="X159" s="20">
        <v>0</v>
      </c>
      <c r="Y159" s="20">
        <v>0</v>
      </c>
      <c r="Z159" s="20">
        <v>0</v>
      </c>
      <c r="AA159" s="20">
        <v>0</v>
      </c>
      <c r="AB159" s="20">
        <v>0</v>
      </c>
      <c r="AC159" s="20">
        <v>0</v>
      </c>
      <c r="AE159" s="21">
        <f>SUM(J159:AC159)/$G159</f>
        <v>0</v>
      </c>
      <c r="AF159" s="21">
        <f>SUMPRODUCT($J$158:$AC$158,J159:AC159)/$G159</f>
        <v>0</v>
      </c>
      <c r="AG159" s="21">
        <f t="shared" ref="AG159:AG170" si="109">H159-AE159</f>
        <v>0</v>
      </c>
    </row>
    <row r="160" spans="1:33" x14ac:dyDescent="0.2">
      <c r="B160" t="s">
        <v>303</v>
      </c>
      <c r="C160" s="18" t="s">
        <v>103</v>
      </c>
      <c r="D160" s="22">
        <f>$D159</f>
        <v>0</v>
      </c>
      <c r="E160" s="22">
        <f>$E159</f>
        <v>0</v>
      </c>
      <c r="F160" s="22">
        <f>$F159</f>
        <v>0</v>
      </c>
      <c r="G160" s="23">
        <f>$G$159</f>
        <v>20</v>
      </c>
      <c r="H160" s="4">
        <v>0</v>
      </c>
      <c r="J160" s="20">
        <f t="shared" si="108"/>
        <v>0</v>
      </c>
      <c r="K160" s="20">
        <f t="shared" ref="K160:K170" si="110">H159</f>
        <v>0</v>
      </c>
      <c r="L160" s="20">
        <f>$F159/4</f>
        <v>0</v>
      </c>
      <c r="M160" s="20">
        <f>$F159/4</f>
        <v>0</v>
      </c>
      <c r="N160" s="20">
        <f>$F159/4</f>
        <v>0</v>
      </c>
      <c r="O160" s="20">
        <f>$F159/4</f>
        <v>0</v>
      </c>
      <c r="P160" s="20">
        <f>$E159/4</f>
        <v>0</v>
      </c>
      <c r="Q160" s="20">
        <f>$E159/4</f>
        <v>0</v>
      </c>
      <c r="R160" s="20">
        <f>$E159/4</f>
        <v>0</v>
      </c>
      <c r="S160" s="20">
        <f>$E159/4</f>
        <v>0</v>
      </c>
      <c r="T160" s="20">
        <f>$D159/4</f>
        <v>0</v>
      </c>
      <c r="U160" s="20">
        <f>$D159/4</f>
        <v>0</v>
      </c>
      <c r="V160" s="20">
        <f>$D159/4</f>
        <v>0</v>
      </c>
      <c r="W160" s="20">
        <f>$D159/4</f>
        <v>0</v>
      </c>
      <c r="X160" s="20">
        <v>0</v>
      </c>
      <c r="Y160" s="20">
        <v>0</v>
      </c>
      <c r="Z160" s="20">
        <v>0</v>
      </c>
      <c r="AA160" s="20">
        <v>0</v>
      </c>
      <c r="AB160" s="20">
        <v>0</v>
      </c>
      <c r="AC160" s="20">
        <v>0</v>
      </c>
      <c r="AE160" s="21">
        <f t="shared" ref="AE160:AE170" si="111">SUM(J160:AC160)/$G160</f>
        <v>0</v>
      </c>
      <c r="AF160" s="21">
        <f t="shared" ref="AF160:AF170" si="112">SUMPRODUCT($J$158:$AC$158,J160:AC160)/$G160</f>
        <v>0</v>
      </c>
      <c r="AG160" s="21">
        <f t="shared" si="109"/>
        <v>0</v>
      </c>
    </row>
    <row r="161" spans="2:33" x14ac:dyDescent="0.2">
      <c r="B161" t="s">
        <v>303</v>
      </c>
      <c r="C161" s="18" t="s">
        <v>102</v>
      </c>
      <c r="D161" s="22">
        <f>$D159</f>
        <v>0</v>
      </c>
      <c r="E161" s="22">
        <f>$E159</f>
        <v>0</v>
      </c>
      <c r="F161" s="22">
        <f>$F159</f>
        <v>0</v>
      </c>
      <c r="G161" s="23">
        <f t="shared" ref="G161:G170" si="113">$G$159</f>
        <v>20</v>
      </c>
      <c r="H161" s="4">
        <v>0</v>
      </c>
      <c r="J161" s="20">
        <f t="shared" si="108"/>
        <v>0</v>
      </c>
      <c r="K161" s="20">
        <f t="shared" si="110"/>
        <v>0</v>
      </c>
      <c r="L161" s="20">
        <f t="shared" ref="L161:L170" si="114">H159</f>
        <v>0</v>
      </c>
      <c r="M161" s="20">
        <f>$F159/4</f>
        <v>0</v>
      </c>
      <c r="N161" s="20">
        <f>$F159/4</f>
        <v>0</v>
      </c>
      <c r="O161" s="20">
        <f>$F159/4</f>
        <v>0</v>
      </c>
      <c r="P161" s="20">
        <f>$F159/4</f>
        <v>0</v>
      </c>
      <c r="Q161" s="20">
        <f>$E159/4</f>
        <v>0</v>
      </c>
      <c r="R161" s="20">
        <f>$E159/4</f>
        <v>0</v>
      </c>
      <c r="S161" s="20">
        <f>$E159/4</f>
        <v>0</v>
      </c>
      <c r="T161" s="20">
        <f>$E159/4</f>
        <v>0</v>
      </c>
      <c r="U161" s="20">
        <f>$D159/4</f>
        <v>0</v>
      </c>
      <c r="V161" s="20">
        <f>$D159/4</f>
        <v>0</v>
      </c>
      <c r="W161" s="20">
        <f>$D159/4</f>
        <v>0</v>
      </c>
      <c r="X161" s="20">
        <f>$D159/4</f>
        <v>0</v>
      </c>
      <c r="Y161" s="20">
        <v>0</v>
      </c>
      <c r="Z161" s="20">
        <v>0</v>
      </c>
      <c r="AA161" s="20">
        <v>0</v>
      </c>
      <c r="AB161" s="20">
        <v>0</v>
      </c>
      <c r="AC161" s="20">
        <v>0</v>
      </c>
      <c r="AE161" s="21">
        <f t="shared" si="111"/>
        <v>0</v>
      </c>
      <c r="AF161" s="21">
        <f t="shared" si="112"/>
        <v>0</v>
      </c>
      <c r="AG161" s="21">
        <f t="shared" si="109"/>
        <v>0</v>
      </c>
    </row>
    <row r="162" spans="2:33" x14ac:dyDescent="0.2">
      <c r="B162" t="s">
        <v>303</v>
      </c>
      <c r="C162" s="18" t="s">
        <v>101</v>
      </c>
      <c r="D162" s="22">
        <f>$D159</f>
        <v>0</v>
      </c>
      <c r="E162" s="22">
        <f>$E159</f>
        <v>0</v>
      </c>
      <c r="F162" s="22">
        <f>$F159</f>
        <v>0</v>
      </c>
      <c r="G162" s="23">
        <f t="shared" si="113"/>
        <v>20</v>
      </c>
      <c r="H162" s="4">
        <v>0</v>
      </c>
      <c r="J162" s="20">
        <f t="shared" si="108"/>
        <v>0</v>
      </c>
      <c r="K162" s="20">
        <f t="shared" si="110"/>
        <v>0</v>
      </c>
      <c r="L162" s="20">
        <f t="shared" si="114"/>
        <v>0</v>
      </c>
      <c r="M162" s="20">
        <f t="shared" ref="M162:M170" si="115">H159</f>
        <v>0</v>
      </c>
      <c r="N162" s="20">
        <f>$F159/4</f>
        <v>0</v>
      </c>
      <c r="O162" s="20">
        <f>$F159/4</f>
        <v>0</v>
      </c>
      <c r="P162" s="20">
        <f>$F159/4</f>
        <v>0</v>
      </c>
      <c r="Q162" s="20">
        <f>$F159/4</f>
        <v>0</v>
      </c>
      <c r="R162" s="20">
        <f>$E159/4</f>
        <v>0</v>
      </c>
      <c r="S162" s="20">
        <f>$E159/4</f>
        <v>0</v>
      </c>
      <c r="T162" s="20">
        <f>$E159/4</f>
        <v>0</v>
      </c>
      <c r="U162" s="20">
        <f>$E159/4</f>
        <v>0</v>
      </c>
      <c r="V162" s="20">
        <f>$D159/4</f>
        <v>0</v>
      </c>
      <c r="W162" s="20">
        <f>$D159/4</f>
        <v>0</v>
      </c>
      <c r="X162" s="20">
        <f>$D159/4</f>
        <v>0</v>
      </c>
      <c r="Y162" s="20">
        <f>$D159/4</f>
        <v>0</v>
      </c>
      <c r="Z162" s="20">
        <v>0</v>
      </c>
      <c r="AA162" s="20">
        <v>0</v>
      </c>
      <c r="AB162" s="20">
        <v>0</v>
      </c>
      <c r="AC162" s="20">
        <v>0</v>
      </c>
      <c r="AE162" s="21">
        <f t="shared" si="111"/>
        <v>0</v>
      </c>
      <c r="AF162" s="21">
        <f t="shared" si="112"/>
        <v>0</v>
      </c>
      <c r="AG162" s="21">
        <f t="shared" si="109"/>
        <v>0</v>
      </c>
    </row>
    <row r="163" spans="2:33" x14ac:dyDescent="0.2">
      <c r="B163" t="s">
        <v>303</v>
      </c>
      <c r="C163" s="18" t="s">
        <v>100</v>
      </c>
      <c r="D163" s="22">
        <f>$D159</f>
        <v>0</v>
      </c>
      <c r="E163" s="22">
        <f>$E159</f>
        <v>0</v>
      </c>
      <c r="F163" s="22">
        <f>$F159</f>
        <v>0</v>
      </c>
      <c r="G163" s="23">
        <f t="shared" si="113"/>
        <v>20</v>
      </c>
      <c r="H163" s="4">
        <v>0</v>
      </c>
      <c r="J163" s="20">
        <f t="shared" si="108"/>
        <v>0</v>
      </c>
      <c r="K163" s="20">
        <f t="shared" si="110"/>
        <v>0</v>
      </c>
      <c r="L163" s="20">
        <f t="shared" si="114"/>
        <v>0</v>
      </c>
      <c r="M163" s="20">
        <f t="shared" si="115"/>
        <v>0</v>
      </c>
      <c r="N163" s="20">
        <f t="shared" ref="N163:N170" si="116">H159</f>
        <v>0</v>
      </c>
      <c r="O163" s="20">
        <f>$F159/4</f>
        <v>0</v>
      </c>
      <c r="P163" s="20">
        <f>$F159/4</f>
        <v>0</v>
      </c>
      <c r="Q163" s="20">
        <f>$F159/4</f>
        <v>0</v>
      </c>
      <c r="R163" s="20">
        <f>$F159/4</f>
        <v>0</v>
      </c>
      <c r="S163" s="20">
        <f>$E159/4</f>
        <v>0</v>
      </c>
      <c r="T163" s="20">
        <f>$E159/4</f>
        <v>0</v>
      </c>
      <c r="U163" s="20">
        <f>$E159/4</f>
        <v>0</v>
      </c>
      <c r="V163" s="20">
        <f>$E159/4</f>
        <v>0</v>
      </c>
      <c r="W163" s="20">
        <f>$D159/4</f>
        <v>0</v>
      </c>
      <c r="X163" s="20">
        <f>$D159/4</f>
        <v>0</v>
      </c>
      <c r="Y163" s="20">
        <f>$D159/4</f>
        <v>0</v>
      </c>
      <c r="Z163" s="20">
        <f>$D159/4</f>
        <v>0</v>
      </c>
      <c r="AA163" s="20">
        <v>0</v>
      </c>
      <c r="AB163" s="20">
        <v>0</v>
      </c>
      <c r="AC163" s="20">
        <v>0</v>
      </c>
      <c r="AE163" s="21">
        <f t="shared" si="111"/>
        <v>0</v>
      </c>
      <c r="AF163" s="21">
        <f t="shared" si="112"/>
        <v>0</v>
      </c>
      <c r="AG163" s="21">
        <f t="shared" si="109"/>
        <v>0</v>
      </c>
    </row>
    <row r="164" spans="2:33" x14ac:dyDescent="0.2">
      <c r="B164" t="s">
        <v>303</v>
      </c>
      <c r="C164" s="18" t="s">
        <v>99</v>
      </c>
      <c r="D164" s="22">
        <f>$D159</f>
        <v>0</v>
      </c>
      <c r="E164" s="22">
        <f>$E159</f>
        <v>0</v>
      </c>
      <c r="F164" s="22">
        <f>$F159</f>
        <v>0</v>
      </c>
      <c r="G164" s="23">
        <f t="shared" si="113"/>
        <v>20</v>
      </c>
      <c r="H164" s="4">
        <v>10719142</v>
      </c>
      <c r="J164" s="20">
        <f t="shared" si="108"/>
        <v>10719142</v>
      </c>
      <c r="K164" s="20">
        <f t="shared" si="110"/>
        <v>0</v>
      </c>
      <c r="L164" s="20">
        <f t="shared" si="114"/>
        <v>0</v>
      </c>
      <c r="M164" s="20">
        <f t="shared" si="115"/>
        <v>0</v>
      </c>
      <c r="N164" s="20">
        <f t="shared" si="116"/>
        <v>0</v>
      </c>
      <c r="O164" s="20">
        <f t="shared" ref="O164:O170" si="117">H159</f>
        <v>0</v>
      </c>
      <c r="P164" s="20">
        <f>$F159/4</f>
        <v>0</v>
      </c>
      <c r="Q164" s="20">
        <f>$F159/4</f>
        <v>0</v>
      </c>
      <c r="R164" s="20">
        <f>$F159/4</f>
        <v>0</v>
      </c>
      <c r="S164" s="20">
        <f>$F159/4</f>
        <v>0</v>
      </c>
      <c r="T164" s="20">
        <f>$E159/4</f>
        <v>0</v>
      </c>
      <c r="U164" s="20">
        <f>$E159/4</f>
        <v>0</v>
      </c>
      <c r="V164" s="20">
        <f>$E159/4</f>
        <v>0</v>
      </c>
      <c r="W164" s="20">
        <f>$E159/4</f>
        <v>0</v>
      </c>
      <c r="X164" s="20">
        <f>$D159/4</f>
        <v>0</v>
      </c>
      <c r="Y164" s="20">
        <f>$D159/4</f>
        <v>0</v>
      </c>
      <c r="Z164" s="20">
        <f>$D159/4</f>
        <v>0</v>
      </c>
      <c r="AA164" s="20">
        <f>$D159/4</f>
        <v>0</v>
      </c>
      <c r="AB164" s="20">
        <v>0</v>
      </c>
      <c r="AC164" s="20">
        <v>0</v>
      </c>
      <c r="AE164" s="21">
        <f t="shared" si="111"/>
        <v>535957.1</v>
      </c>
      <c r="AF164" s="21">
        <f t="shared" si="112"/>
        <v>10719142</v>
      </c>
      <c r="AG164" s="21">
        <f t="shared" si="109"/>
        <v>10183184.9</v>
      </c>
    </row>
    <row r="165" spans="2:33" x14ac:dyDescent="0.2">
      <c r="B165" t="s">
        <v>303</v>
      </c>
      <c r="C165" s="18" t="s">
        <v>98</v>
      </c>
      <c r="D165" s="22">
        <f>$D159</f>
        <v>0</v>
      </c>
      <c r="E165" s="22">
        <f>$E159</f>
        <v>0</v>
      </c>
      <c r="F165" s="22">
        <f>$F159</f>
        <v>0</v>
      </c>
      <c r="G165" s="23">
        <f t="shared" si="113"/>
        <v>20</v>
      </c>
      <c r="H165" s="4">
        <v>5049070</v>
      </c>
      <c r="J165" s="20">
        <f t="shared" si="108"/>
        <v>5049070</v>
      </c>
      <c r="K165" s="20">
        <f t="shared" si="110"/>
        <v>10719142</v>
      </c>
      <c r="L165" s="20">
        <f t="shared" si="114"/>
        <v>0</v>
      </c>
      <c r="M165" s="20">
        <f t="shared" si="115"/>
        <v>0</v>
      </c>
      <c r="N165" s="20">
        <f t="shared" si="116"/>
        <v>0</v>
      </c>
      <c r="O165" s="20">
        <f t="shared" si="117"/>
        <v>0</v>
      </c>
      <c r="P165" s="20">
        <f t="shared" ref="P165:P170" si="118">H159</f>
        <v>0</v>
      </c>
      <c r="Q165" s="20">
        <f>$F159/4</f>
        <v>0</v>
      </c>
      <c r="R165" s="20">
        <f>$F159/4</f>
        <v>0</v>
      </c>
      <c r="S165" s="20">
        <f>$F159/4</f>
        <v>0</v>
      </c>
      <c r="T165" s="20">
        <f>$F159/4</f>
        <v>0</v>
      </c>
      <c r="U165" s="20">
        <f>$E159/4</f>
        <v>0</v>
      </c>
      <c r="V165" s="20">
        <f>$E159/4</f>
        <v>0</v>
      </c>
      <c r="W165" s="20">
        <f>$E159/4</f>
        <v>0</v>
      </c>
      <c r="X165" s="20">
        <f>$E159/4</f>
        <v>0</v>
      </c>
      <c r="Y165" s="20">
        <f>$D159/4</f>
        <v>0</v>
      </c>
      <c r="Z165" s="20">
        <f>$D159/4</f>
        <v>0</v>
      </c>
      <c r="AA165" s="20">
        <f>$D159/4</f>
        <v>0</v>
      </c>
      <c r="AB165" s="20">
        <f>$D159/4</f>
        <v>0</v>
      </c>
      <c r="AC165" s="20">
        <v>0</v>
      </c>
      <c r="AE165" s="21">
        <f t="shared" si="111"/>
        <v>788410.6</v>
      </c>
      <c r="AF165" s="21">
        <f t="shared" si="112"/>
        <v>15232254.9</v>
      </c>
      <c r="AG165" s="21">
        <f t="shared" si="109"/>
        <v>4260659.4000000004</v>
      </c>
    </row>
    <row r="166" spans="2:33" x14ac:dyDescent="0.2">
      <c r="B166" t="s">
        <v>303</v>
      </c>
      <c r="C166" s="18" t="s">
        <v>97</v>
      </c>
      <c r="D166" s="22">
        <f>$D159</f>
        <v>0</v>
      </c>
      <c r="E166" s="22">
        <f>$E159</f>
        <v>0</v>
      </c>
      <c r="F166" s="22">
        <f>$F159</f>
        <v>0</v>
      </c>
      <c r="G166" s="23">
        <f t="shared" si="113"/>
        <v>20</v>
      </c>
      <c r="H166" s="4">
        <v>10942788</v>
      </c>
      <c r="J166" s="20">
        <f t="shared" si="108"/>
        <v>10942788</v>
      </c>
      <c r="K166" s="20">
        <f t="shared" si="110"/>
        <v>5049070</v>
      </c>
      <c r="L166" s="20">
        <f t="shared" si="114"/>
        <v>10719142</v>
      </c>
      <c r="M166" s="20">
        <f t="shared" si="115"/>
        <v>0</v>
      </c>
      <c r="N166" s="20">
        <f t="shared" si="116"/>
        <v>0</v>
      </c>
      <c r="O166" s="20">
        <f t="shared" si="117"/>
        <v>0</v>
      </c>
      <c r="P166" s="20">
        <f t="shared" si="118"/>
        <v>0</v>
      </c>
      <c r="Q166" s="20">
        <f>H159</f>
        <v>0</v>
      </c>
      <c r="R166" s="20">
        <f>$F159/4</f>
        <v>0</v>
      </c>
      <c r="S166" s="20">
        <f>$F159/4</f>
        <v>0</v>
      </c>
      <c r="T166" s="20">
        <f>$F159/4</f>
        <v>0</v>
      </c>
      <c r="U166" s="20">
        <f>$F159/4</f>
        <v>0</v>
      </c>
      <c r="V166" s="20">
        <f>$E159/4</f>
        <v>0</v>
      </c>
      <c r="W166" s="20">
        <f>$E159/4</f>
        <v>0</v>
      </c>
      <c r="X166" s="20">
        <f>$E159/4</f>
        <v>0</v>
      </c>
      <c r="Y166" s="20">
        <f>$E159/4</f>
        <v>0</v>
      </c>
      <c r="Z166" s="20">
        <f>$D159/4</f>
        <v>0</v>
      </c>
      <c r="AA166" s="20">
        <f>$D159/4</f>
        <v>0</v>
      </c>
      <c r="AB166" s="20">
        <f>$D159/4</f>
        <v>0</v>
      </c>
      <c r="AC166" s="20">
        <f>$D159/4</f>
        <v>0</v>
      </c>
      <c r="AE166" s="21">
        <f t="shared" si="111"/>
        <v>1335550</v>
      </c>
      <c r="AF166" s="21">
        <f t="shared" si="112"/>
        <v>25386632.300000001</v>
      </c>
      <c r="AG166" s="21">
        <f t="shared" si="109"/>
        <v>9607238</v>
      </c>
    </row>
    <row r="167" spans="2:33" x14ac:dyDescent="0.2">
      <c r="B167" t="s">
        <v>303</v>
      </c>
      <c r="C167" s="18" t="s">
        <v>96</v>
      </c>
      <c r="D167" s="22">
        <f>$D159</f>
        <v>0</v>
      </c>
      <c r="E167" s="22">
        <f>$E159</f>
        <v>0</v>
      </c>
      <c r="F167" s="22">
        <f>$F159</f>
        <v>0</v>
      </c>
      <c r="G167" s="23">
        <f t="shared" si="113"/>
        <v>20</v>
      </c>
      <c r="H167" s="4">
        <v>7846000</v>
      </c>
      <c r="J167" s="20">
        <f t="shared" si="108"/>
        <v>7846000</v>
      </c>
      <c r="K167" s="20">
        <f t="shared" si="110"/>
        <v>10942788</v>
      </c>
      <c r="L167" s="20">
        <f t="shared" si="114"/>
        <v>5049070</v>
      </c>
      <c r="M167" s="20">
        <f t="shared" si="115"/>
        <v>10719142</v>
      </c>
      <c r="N167" s="20">
        <f t="shared" si="116"/>
        <v>0</v>
      </c>
      <c r="O167" s="20">
        <f t="shared" si="117"/>
        <v>0</v>
      </c>
      <c r="P167" s="20">
        <f t="shared" si="118"/>
        <v>0</v>
      </c>
      <c r="Q167" s="20">
        <f>H160</f>
        <v>0</v>
      </c>
      <c r="R167" s="20">
        <f>H159</f>
        <v>0</v>
      </c>
      <c r="S167" s="20">
        <f>$F159/4</f>
        <v>0</v>
      </c>
      <c r="T167" s="20">
        <f>$F159/4</f>
        <v>0</v>
      </c>
      <c r="U167" s="20">
        <f>$F159/4</f>
        <v>0</v>
      </c>
      <c r="V167" s="20">
        <f>$F159/4</f>
        <v>0</v>
      </c>
      <c r="W167" s="20">
        <f>$E159/4</f>
        <v>0</v>
      </c>
      <c r="X167" s="20">
        <f>$E159/4</f>
        <v>0</v>
      </c>
      <c r="Y167" s="20">
        <f>$E159/4</f>
        <v>0</v>
      </c>
      <c r="Z167" s="20">
        <f>$E159/4</f>
        <v>0</v>
      </c>
      <c r="AA167" s="20">
        <f>$D159/4</f>
        <v>0</v>
      </c>
      <c r="AB167" s="20">
        <f>$D159/4</f>
        <v>0</v>
      </c>
      <c r="AC167" s="20">
        <f>$D159/4</f>
        <v>0</v>
      </c>
      <c r="AE167" s="21">
        <f t="shared" si="111"/>
        <v>1727850</v>
      </c>
      <c r="AF167" s="21">
        <f t="shared" si="112"/>
        <v>31897082.300000001</v>
      </c>
      <c r="AG167" s="21">
        <f t="shared" si="109"/>
        <v>6118150</v>
      </c>
    </row>
    <row r="168" spans="2:33" x14ac:dyDescent="0.2">
      <c r="B168" t="s">
        <v>303</v>
      </c>
      <c r="C168" s="18" t="s">
        <v>95</v>
      </c>
      <c r="D168" s="22">
        <f>$D159</f>
        <v>0</v>
      </c>
      <c r="E168" s="22">
        <f>$E159</f>
        <v>0</v>
      </c>
      <c r="F168" s="22">
        <f>$F159</f>
        <v>0</v>
      </c>
      <c r="G168" s="23">
        <f t="shared" si="113"/>
        <v>20</v>
      </c>
      <c r="H168" s="4">
        <v>11468000</v>
      </c>
      <c r="J168" s="20">
        <f t="shared" si="108"/>
        <v>11468000</v>
      </c>
      <c r="K168" s="20">
        <f t="shared" si="110"/>
        <v>7846000</v>
      </c>
      <c r="L168" s="20">
        <f t="shared" si="114"/>
        <v>10942788</v>
      </c>
      <c r="M168" s="20">
        <f t="shared" si="115"/>
        <v>5049070</v>
      </c>
      <c r="N168" s="20">
        <f t="shared" si="116"/>
        <v>10719142</v>
      </c>
      <c r="O168" s="20">
        <f t="shared" si="117"/>
        <v>0</v>
      </c>
      <c r="P168" s="20">
        <f t="shared" si="118"/>
        <v>0</v>
      </c>
      <c r="Q168" s="20">
        <f>H161</f>
        <v>0</v>
      </c>
      <c r="R168" s="20">
        <f>H160</f>
        <v>0</v>
      </c>
      <c r="S168" s="20">
        <f>H159</f>
        <v>0</v>
      </c>
      <c r="T168" s="20">
        <f>$F159/4</f>
        <v>0</v>
      </c>
      <c r="U168" s="20">
        <f>$F159/4</f>
        <v>0</v>
      </c>
      <c r="V168" s="20">
        <f>$F159/4</f>
        <v>0</v>
      </c>
      <c r="W168" s="20">
        <f>$F159/4</f>
        <v>0</v>
      </c>
      <c r="X168" s="20">
        <f>$E159/4</f>
        <v>0</v>
      </c>
      <c r="Y168" s="20">
        <f>$E159/4</f>
        <v>0</v>
      </c>
      <c r="Z168" s="20">
        <f>$E159/4</f>
        <v>0</v>
      </c>
      <c r="AA168" s="20">
        <f>$E159/4</f>
        <v>0</v>
      </c>
      <c r="AB168" s="20">
        <f>$D159/4</f>
        <v>0</v>
      </c>
      <c r="AC168" s="20">
        <f>$D159/4</f>
        <v>0</v>
      </c>
      <c r="AE168" s="21">
        <f t="shared" si="111"/>
        <v>2301250</v>
      </c>
      <c r="AF168" s="21">
        <f t="shared" si="112"/>
        <v>41637232.299999997</v>
      </c>
      <c r="AG168" s="21">
        <f t="shared" si="109"/>
        <v>9166750</v>
      </c>
    </row>
    <row r="169" spans="2:33" x14ac:dyDescent="0.2">
      <c r="B169" t="s">
        <v>303</v>
      </c>
      <c r="C169" s="18" t="s">
        <v>94</v>
      </c>
      <c r="D169" s="22">
        <f>$D159</f>
        <v>0</v>
      </c>
      <c r="E169" s="22">
        <f>$E159</f>
        <v>0</v>
      </c>
      <c r="F169" s="22">
        <f>$F159</f>
        <v>0</v>
      </c>
      <c r="G169" s="23">
        <f t="shared" si="113"/>
        <v>20</v>
      </c>
      <c r="H169" s="4">
        <v>14945000</v>
      </c>
      <c r="J169" s="20">
        <f t="shared" si="108"/>
        <v>14945000</v>
      </c>
      <c r="K169" s="20">
        <f t="shared" si="110"/>
        <v>11468000</v>
      </c>
      <c r="L169" s="20">
        <f t="shared" si="114"/>
        <v>7846000</v>
      </c>
      <c r="M169" s="20">
        <f t="shared" si="115"/>
        <v>10942788</v>
      </c>
      <c r="N169" s="20">
        <f t="shared" si="116"/>
        <v>5049070</v>
      </c>
      <c r="O169" s="20">
        <f t="shared" si="117"/>
        <v>10719142</v>
      </c>
      <c r="P169" s="20">
        <f t="shared" si="118"/>
        <v>0</v>
      </c>
      <c r="Q169" s="20">
        <f>H162</f>
        <v>0</v>
      </c>
      <c r="R169" s="20">
        <f>H161</f>
        <v>0</v>
      </c>
      <c r="S169" s="20">
        <f>H160</f>
        <v>0</v>
      </c>
      <c r="T169" s="20">
        <f>H159</f>
        <v>0</v>
      </c>
      <c r="U169" s="20">
        <f>$F159/4</f>
        <v>0</v>
      </c>
      <c r="V169" s="20">
        <f>$F159/4</f>
        <v>0</v>
      </c>
      <c r="W169" s="20">
        <f>$F159/4</f>
        <v>0</v>
      </c>
      <c r="X169" s="20">
        <f>$F159/4</f>
        <v>0</v>
      </c>
      <c r="Y169" s="20">
        <f>$E159/4</f>
        <v>0</v>
      </c>
      <c r="Z169" s="20">
        <f>$E159/4</f>
        <v>0</v>
      </c>
      <c r="AA169" s="20">
        <f>$E159/4</f>
        <v>0</v>
      </c>
      <c r="AB169" s="20">
        <f>$E159/4</f>
        <v>0</v>
      </c>
      <c r="AC169" s="20">
        <f>$D159/4</f>
        <v>0</v>
      </c>
      <c r="AE169" s="21">
        <f t="shared" si="111"/>
        <v>3048500</v>
      </c>
      <c r="AF169" s="21">
        <f t="shared" si="112"/>
        <v>54280982.299999997</v>
      </c>
      <c r="AG169" s="21">
        <f t="shared" si="109"/>
        <v>11896500</v>
      </c>
    </row>
    <row r="170" spans="2:33" x14ac:dyDescent="0.2">
      <c r="B170" t="s">
        <v>303</v>
      </c>
      <c r="C170" s="18" t="s">
        <v>93</v>
      </c>
      <c r="D170" s="22">
        <f>$D159</f>
        <v>0</v>
      </c>
      <c r="E170" s="22">
        <f>$E159</f>
        <v>0</v>
      </c>
      <c r="F170" s="22">
        <f>$F159</f>
        <v>0</v>
      </c>
      <c r="G170" s="23">
        <f t="shared" si="113"/>
        <v>20</v>
      </c>
      <c r="H170" s="4">
        <v>24593000</v>
      </c>
      <c r="J170" s="20">
        <f t="shared" si="108"/>
        <v>24593000</v>
      </c>
      <c r="K170" s="20">
        <f t="shared" si="110"/>
        <v>14945000</v>
      </c>
      <c r="L170" s="20">
        <f t="shared" si="114"/>
        <v>11468000</v>
      </c>
      <c r="M170" s="20">
        <f t="shared" si="115"/>
        <v>7846000</v>
      </c>
      <c r="N170" s="20">
        <f t="shared" si="116"/>
        <v>10942788</v>
      </c>
      <c r="O170" s="20">
        <f t="shared" si="117"/>
        <v>5049070</v>
      </c>
      <c r="P170" s="20">
        <f t="shared" si="118"/>
        <v>10719142</v>
      </c>
      <c r="Q170" s="20">
        <f>H163</f>
        <v>0</v>
      </c>
      <c r="R170" s="20">
        <f>H162</f>
        <v>0</v>
      </c>
      <c r="S170" s="20">
        <f>H161</f>
        <v>0</v>
      </c>
      <c r="T170" s="20">
        <f>H160</f>
        <v>0</v>
      </c>
      <c r="U170" s="20">
        <f>H159</f>
        <v>0</v>
      </c>
      <c r="V170" s="20">
        <f>$F159/4</f>
        <v>0</v>
      </c>
      <c r="W170" s="20">
        <f>$F159/4</f>
        <v>0</v>
      </c>
      <c r="X170" s="20">
        <f>$F159/4</f>
        <v>0</v>
      </c>
      <c r="Y170" s="20">
        <f>$F159/4</f>
        <v>0</v>
      </c>
      <c r="Z170" s="20">
        <f>$E159/4</f>
        <v>0</v>
      </c>
      <c r="AA170" s="20">
        <f>$E159/4</f>
        <v>0</v>
      </c>
      <c r="AB170" s="20">
        <f>$E159/4</f>
        <v>0</v>
      </c>
      <c r="AC170" s="20">
        <f>$E159/4</f>
        <v>0</v>
      </c>
      <c r="AE170" s="21">
        <f t="shared" si="111"/>
        <v>4278150</v>
      </c>
      <c r="AF170" s="21">
        <f t="shared" si="112"/>
        <v>75825482.299999997</v>
      </c>
      <c r="AG170" s="21">
        <f t="shared" si="109"/>
        <v>20314850</v>
      </c>
    </row>
    <row r="171" spans="2:33" x14ac:dyDescent="0.2">
      <c r="I171" s="3"/>
    </row>
    <row r="172" spans="2:33" x14ac:dyDescent="0.2">
      <c r="I172" s="3"/>
    </row>
    <row r="173" spans="2:33" x14ac:dyDescent="0.2">
      <c r="C173" t="s">
        <v>342</v>
      </c>
    </row>
    <row r="174" spans="2:33" x14ac:dyDescent="0.2">
      <c r="C174" s="6" t="s">
        <v>107</v>
      </c>
      <c r="D174" s="6" t="s">
        <v>439</v>
      </c>
      <c r="E174" s="6" t="s">
        <v>440</v>
      </c>
      <c r="F174" s="6" t="s">
        <v>471</v>
      </c>
      <c r="G174" s="6" t="s">
        <v>441</v>
      </c>
      <c r="H174" s="6" t="s">
        <v>442</v>
      </c>
      <c r="I174" s="15"/>
      <c r="J174" s="6" t="s">
        <v>443</v>
      </c>
      <c r="K174" s="6" t="s">
        <v>444</v>
      </c>
      <c r="L174" s="6" t="s">
        <v>445</v>
      </c>
      <c r="M174" s="6" t="s">
        <v>446</v>
      </c>
      <c r="N174" s="6" t="s">
        <v>447</v>
      </c>
      <c r="O174" s="6" t="s">
        <v>448</v>
      </c>
      <c r="P174" s="6" t="s">
        <v>449</v>
      </c>
      <c r="Q174" s="6" t="s">
        <v>450</v>
      </c>
      <c r="R174" s="6" t="s">
        <v>451</v>
      </c>
      <c r="S174" s="6" t="s">
        <v>452</v>
      </c>
      <c r="T174" s="6" t="s">
        <v>453</v>
      </c>
      <c r="U174" s="6" t="s">
        <v>454</v>
      </c>
      <c r="V174" s="6" t="s">
        <v>455</v>
      </c>
      <c r="W174" s="6" t="s">
        <v>456</v>
      </c>
      <c r="X174" s="6" t="s">
        <v>457</v>
      </c>
      <c r="Y174" s="6" t="s">
        <v>458</v>
      </c>
      <c r="Z174" s="6" t="s">
        <v>459</v>
      </c>
      <c r="AA174" s="6" t="s">
        <v>460</v>
      </c>
      <c r="AB174" s="6" t="s">
        <v>461</v>
      </c>
      <c r="AC174" s="6" t="s">
        <v>462</v>
      </c>
      <c r="AD174" s="15"/>
      <c r="AE174" s="6" t="s">
        <v>106</v>
      </c>
      <c r="AF174" s="6" t="s">
        <v>105</v>
      </c>
      <c r="AG174" s="6" t="s">
        <v>463</v>
      </c>
    </row>
    <row r="175" spans="2:33" x14ac:dyDescent="0.2">
      <c r="C175" s="16" t="s">
        <v>464</v>
      </c>
      <c r="J175" s="17">
        <v>20</v>
      </c>
      <c r="K175" s="17">
        <v>19</v>
      </c>
      <c r="L175" s="17">
        <v>18</v>
      </c>
      <c r="M175" s="17">
        <v>17</v>
      </c>
      <c r="N175" s="17">
        <v>16</v>
      </c>
      <c r="O175" s="17">
        <v>15</v>
      </c>
      <c r="P175" s="17">
        <v>14</v>
      </c>
      <c r="Q175" s="17">
        <v>13</v>
      </c>
      <c r="R175" s="17">
        <v>12</v>
      </c>
      <c r="S175" s="17">
        <v>11</v>
      </c>
      <c r="T175" s="17">
        <v>10</v>
      </c>
      <c r="U175" s="17">
        <v>9</v>
      </c>
      <c r="V175" s="17">
        <v>8</v>
      </c>
      <c r="W175" s="17">
        <v>7</v>
      </c>
      <c r="X175" s="17">
        <v>6</v>
      </c>
      <c r="Y175" s="17">
        <v>5</v>
      </c>
      <c r="Z175" s="17">
        <v>4</v>
      </c>
      <c r="AA175" s="17">
        <v>3</v>
      </c>
      <c r="AB175" s="17">
        <v>2</v>
      </c>
      <c r="AC175" s="17">
        <v>1</v>
      </c>
    </row>
    <row r="176" spans="2:33" x14ac:dyDescent="0.2">
      <c r="B176" t="s">
        <v>342</v>
      </c>
      <c r="C176" s="5" t="s">
        <v>100</v>
      </c>
      <c r="D176" s="4">
        <v>77740000</v>
      </c>
      <c r="E176" s="4">
        <v>136274000</v>
      </c>
      <c r="F176" s="4">
        <v>207008000</v>
      </c>
      <c r="G176" s="19">
        <v>20</v>
      </c>
      <c r="H176" s="4">
        <v>55263000</v>
      </c>
      <c r="J176" s="20">
        <f t="shared" ref="J176:J187" si="119">H176</f>
        <v>55263000</v>
      </c>
      <c r="K176" s="20">
        <f>$F176/4</f>
        <v>51752000</v>
      </c>
      <c r="L176" s="20">
        <f>$F176/4</f>
        <v>51752000</v>
      </c>
      <c r="M176" s="20">
        <f>$F176/4</f>
        <v>51752000</v>
      </c>
      <c r="N176" s="20">
        <f>$F176/4</f>
        <v>51752000</v>
      </c>
      <c r="O176" s="20">
        <f>$E176/4</f>
        <v>34068500</v>
      </c>
      <c r="P176" s="20">
        <f>$E176/4</f>
        <v>34068500</v>
      </c>
      <c r="Q176" s="20">
        <f>$E176/4</f>
        <v>34068500</v>
      </c>
      <c r="R176" s="20">
        <f>$E176/4</f>
        <v>34068500</v>
      </c>
      <c r="S176" s="20">
        <f>$D176/4</f>
        <v>19435000</v>
      </c>
      <c r="T176" s="20">
        <f>$D176/4</f>
        <v>19435000</v>
      </c>
      <c r="U176" s="20">
        <f>$D176/4</f>
        <v>19435000</v>
      </c>
      <c r="V176" s="20">
        <f>$D176/4</f>
        <v>19435000</v>
      </c>
      <c r="W176" s="20">
        <v>0</v>
      </c>
      <c r="X176" s="20">
        <v>0</v>
      </c>
      <c r="Y176" s="20">
        <v>0</v>
      </c>
      <c r="Z176" s="20">
        <v>0</v>
      </c>
      <c r="AA176" s="20">
        <v>0</v>
      </c>
      <c r="AB176" s="20">
        <v>0</v>
      </c>
      <c r="AC176" s="20">
        <v>0</v>
      </c>
      <c r="AE176" s="21">
        <f>SUM(J176:AC176)/$G176</f>
        <v>23814250</v>
      </c>
      <c r="AF176" s="21">
        <f>SUMPRODUCT($J$175:$AC$175,J176:AC176)/$G176</f>
        <v>365306450</v>
      </c>
      <c r="AG176" s="21">
        <f t="shared" ref="AG176:AG187" si="120">H176-AE176</f>
        <v>31448750</v>
      </c>
    </row>
    <row r="177" spans="1:33" x14ac:dyDescent="0.2">
      <c r="B177" t="s">
        <v>342</v>
      </c>
      <c r="C177" s="5" t="s">
        <v>99</v>
      </c>
      <c r="D177" s="22">
        <f>$D176</f>
        <v>77740000</v>
      </c>
      <c r="E177" s="22">
        <f>$E176</f>
        <v>136274000</v>
      </c>
      <c r="F177" s="22">
        <f>$F176</f>
        <v>207008000</v>
      </c>
      <c r="G177" s="23">
        <f>$G$176</f>
        <v>20</v>
      </c>
      <c r="H177" s="4">
        <v>54161000</v>
      </c>
      <c r="J177" s="20">
        <f t="shared" si="119"/>
        <v>54161000</v>
      </c>
      <c r="K177" s="20">
        <f t="shared" ref="K177:K187" si="121">H176</f>
        <v>55263000</v>
      </c>
      <c r="L177" s="20">
        <f>$F176/4</f>
        <v>51752000</v>
      </c>
      <c r="M177" s="20">
        <f>$F176/4</f>
        <v>51752000</v>
      </c>
      <c r="N177" s="20">
        <f>$F176/4</f>
        <v>51752000</v>
      </c>
      <c r="O177" s="20">
        <f>$F176/4</f>
        <v>51752000</v>
      </c>
      <c r="P177" s="20">
        <f>$E176/4</f>
        <v>34068500</v>
      </c>
      <c r="Q177" s="20">
        <f>$E176/4</f>
        <v>34068500</v>
      </c>
      <c r="R177" s="20">
        <f>$E176/4</f>
        <v>34068500</v>
      </c>
      <c r="S177" s="20">
        <f>$E176/4</f>
        <v>34068500</v>
      </c>
      <c r="T177" s="20">
        <f>$D176/4</f>
        <v>19435000</v>
      </c>
      <c r="U177" s="20">
        <f>$D176/4</f>
        <v>19435000</v>
      </c>
      <c r="V177" s="20">
        <f>$D176/4</f>
        <v>19435000</v>
      </c>
      <c r="W177" s="20">
        <f>$D176/4</f>
        <v>19435000</v>
      </c>
      <c r="X177" s="20">
        <v>0</v>
      </c>
      <c r="Y177" s="20">
        <v>0</v>
      </c>
      <c r="Z177" s="20">
        <v>0</v>
      </c>
      <c r="AA177" s="20">
        <v>0</v>
      </c>
      <c r="AB177" s="20">
        <v>0</v>
      </c>
      <c r="AC177" s="20">
        <v>0</v>
      </c>
      <c r="AE177" s="21">
        <f t="shared" ref="AE177:AE187" si="122">SUM(J177:AC177)/$G177</f>
        <v>26522300</v>
      </c>
      <c r="AF177" s="21">
        <f t="shared" ref="AF177:AF187" si="123">SUMPRODUCT($J$175:$AC$175,J177:AC177)/$G177</f>
        <v>395653200</v>
      </c>
      <c r="AG177" s="21">
        <f t="shared" si="120"/>
        <v>27638700</v>
      </c>
    </row>
    <row r="178" spans="1:33" x14ac:dyDescent="0.2">
      <c r="B178" t="s">
        <v>342</v>
      </c>
      <c r="C178" s="5" t="s">
        <v>98</v>
      </c>
      <c r="D178" s="22">
        <f>$D176</f>
        <v>77740000</v>
      </c>
      <c r="E178" s="22">
        <f>$E176</f>
        <v>136274000</v>
      </c>
      <c r="F178" s="22">
        <f>$F176</f>
        <v>207008000</v>
      </c>
      <c r="G178" s="23">
        <f t="shared" ref="G178:G187" si="124">$G$176</f>
        <v>20</v>
      </c>
      <c r="H178" s="4">
        <v>52306000</v>
      </c>
      <c r="J178" s="20">
        <f t="shared" si="119"/>
        <v>52306000</v>
      </c>
      <c r="K178" s="20">
        <f t="shared" si="121"/>
        <v>54161000</v>
      </c>
      <c r="L178" s="20">
        <f t="shared" ref="L178:L187" si="125">H176</f>
        <v>55263000</v>
      </c>
      <c r="M178" s="20">
        <f>$F176/4</f>
        <v>51752000</v>
      </c>
      <c r="N178" s="20">
        <f>$F176/4</f>
        <v>51752000</v>
      </c>
      <c r="O178" s="20">
        <f>$F176/4</f>
        <v>51752000</v>
      </c>
      <c r="P178" s="20">
        <f>$F176/4</f>
        <v>51752000</v>
      </c>
      <c r="Q178" s="20">
        <f>$E176/4</f>
        <v>34068500</v>
      </c>
      <c r="R178" s="20">
        <f>$E176/4</f>
        <v>34068500</v>
      </c>
      <c r="S178" s="20">
        <f>$E176/4</f>
        <v>34068500</v>
      </c>
      <c r="T178" s="20">
        <f>$E176/4</f>
        <v>34068500</v>
      </c>
      <c r="U178" s="20">
        <f>$D176/4</f>
        <v>19435000</v>
      </c>
      <c r="V178" s="20">
        <f>$D176/4</f>
        <v>19435000</v>
      </c>
      <c r="W178" s="20">
        <f>$D176/4</f>
        <v>19435000</v>
      </c>
      <c r="X178" s="20">
        <f>$D176/4</f>
        <v>19435000</v>
      </c>
      <c r="Y178" s="20">
        <v>0</v>
      </c>
      <c r="Z178" s="20">
        <v>0</v>
      </c>
      <c r="AA178" s="20">
        <v>0</v>
      </c>
      <c r="AB178" s="20">
        <v>0</v>
      </c>
      <c r="AC178" s="20">
        <v>0</v>
      </c>
      <c r="AE178" s="21">
        <f t="shared" si="122"/>
        <v>29137600</v>
      </c>
      <c r="AF178" s="21">
        <f t="shared" si="123"/>
        <v>421436900</v>
      </c>
      <c r="AG178" s="21">
        <f t="shared" si="120"/>
        <v>23168400</v>
      </c>
    </row>
    <row r="179" spans="1:33" x14ac:dyDescent="0.2">
      <c r="B179" t="s">
        <v>342</v>
      </c>
      <c r="C179" s="5" t="s">
        <v>97</v>
      </c>
      <c r="D179" s="22">
        <f>$D176</f>
        <v>77740000</v>
      </c>
      <c r="E179" s="22">
        <f>$E176</f>
        <v>136274000</v>
      </c>
      <c r="F179" s="22">
        <f>$F176</f>
        <v>207008000</v>
      </c>
      <c r="G179" s="23">
        <f t="shared" si="124"/>
        <v>20</v>
      </c>
      <c r="H179" s="4">
        <v>56446000</v>
      </c>
      <c r="J179" s="20">
        <f t="shared" si="119"/>
        <v>56446000</v>
      </c>
      <c r="K179" s="20">
        <f t="shared" si="121"/>
        <v>52306000</v>
      </c>
      <c r="L179" s="20">
        <f t="shared" si="125"/>
        <v>54161000</v>
      </c>
      <c r="M179" s="20">
        <f t="shared" ref="M179:M187" si="126">H176</f>
        <v>55263000</v>
      </c>
      <c r="N179" s="20">
        <f>$F176/4</f>
        <v>51752000</v>
      </c>
      <c r="O179" s="20">
        <f>$F176/4</f>
        <v>51752000</v>
      </c>
      <c r="P179" s="20">
        <f>$F176/4</f>
        <v>51752000</v>
      </c>
      <c r="Q179" s="20">
        <f>$F176/4</f>
        <v>51752000</v>
      </c>
      <c r="R179" s="20">
        <f>$E176/4</f>
        <v>34068500</v>
      </c>
      <c r="S179" s="20">
        <f>$E176/4</f>
        <v>34068500</v>
      </c>
      <c r="T179" s="20">
        <f>$E176/4</f>
        <v>34068500</v>
      </c>
      <c r="U179" s="20">
        <f>$E176/4</f>
        <v>34068500</v>
      </c>
      <c r="V179" s="20">
        <f>$D176/4</f>
        <v>19435000</v>
      </c>
      <c r="W179" s="20">
        <f>$D176/4</f>
        <v>19435000</v>
      </c>
      <c r="X179" s="20">
        <f>$D176/4</f>
        <v>19435000</v>
      </c>
      <c r="Y179" s="20">
        <f>$D176/4</f>
        <v>19435000</v>
      </c>
      <c r="Z179" s="20">
        <v>0</v>
      </c>
      <c r="AA179" s="20">
        <v>0</v>
      </c>
      <c r="AB179" s="20">
        <v>0</v>
      </c>
      <c r="AC179" s="20">
        <v>0</v>
      </c>
      <c r="AE179" s="21">
        <f t="shared" si="122"/>
        <v>31959900</v>
      </c>
      <c r="AF179" s="21">
        <f t="shared" si="123"/>
        <v>448745300</v>
      </c>
      <c r="AG179" s="21">
        <f t="shared" si="120"/>
        <v>24486100</v>
      </c>
    </row>
    <row r="180" spans="1:33" x14ac:dyDescent="0.2">
      <c r="B180" t="s">
        <v>342</v>
      </c>
      <c r="C180" s="5" t="s">
        <v>96</v>
      </c>
      <c r="D180" s="22">
        <f>$D176</f>
        <v>77740000</v>
      </c>
      <c r="E180" s="22">
        <f>$E176</f>
        <v>136274000</v>
      </c>
      <c r="F180" s="22">
        <f>$F176</f>
        <v>207008000</v>
      </c>
      <c r="G180" s="23">
        <f t="shared" si="124"/>
        <v>20</v>
      </c>
      <c r="H180" s="4">
        <v>58321000</v>
      </c>
      <c r="J180" s="20">
        <f t="shared" si="119"/>
        <v>58321000</v>
      </c>
      <c r="K180" s="20">
        <f t="shared" si="121"/>
        <v>56446000</v>
      </c>
      <c r="L180" s="20">
        <f t="shared" si="125"/>
        <v>52306000</v>
      </c>
      <c r="M180" s="20">
        <f t="shared" si="126"/>
        <v>54161000</v>
      </c>
      <c r="N180" s="20">
        <f t="shared" ref="N180:N187" si="127">H176</f>
        <v>55263000</v>
      </c>
      <c r="O180" s="20">
        <f>$F176/4</f>
        <v>51752000</v>
      </c>
      <c r="P180" s="20">
        <f>$F176/4</f>
        <v>51752000</v>
      </c>
      <c r="Q180" s="20">
        <f>$F176/4</f>
        <v>51752000</v>
      </c>
      <c r="R180" s="20">
        <f>$F176/4</f>
        <v>51752000</v>
      </c>
      <c r="S180" s="20">
        <f>$E176/4</f>
        <v>34068500</v>
      </c>
      <c r="T180" s="20">
        <f>$E176/4</f>
        <v>34068500</v>
      </c>
      <c r="U180" s="20">
        <f>$E176/4</f>
        <v>34068500</v>
      </c>
      <c r="V180" s="20">
        <f>$E176/4</f>
        <v>34068500</v>
      </c>
      <c r="W180" s="20">
        <f>$D176/4</f>
        <v>19435000</v>
      </c>
      <c r="X180" s="20">
        <f>$D176/4</f>
        <v>19435000</v>
      </c>
      <c r="Y180" s="20">
        <f>$D176/4</f>
        <v>19435000</v>
      </c>
      <c r="Z180" s="20">
        <f>$D176/4</f>
        <v>19435000</v>
      </c>
      <c r="AA180" s="20">
        <v>0</v>
      </c>
      <c r="AB180" s="20">
        <v>0</v>
      </c>
      <c r="AC180" s="20">
        <v>0</v>
      </c>
      <c r="AE180" s="21">
        <f t="shared" si="122"/>
        <v>34875950</v>
      </c>
      <c r="AF180" s="21">
        <f t="shared" si="123"/>
        <v>475106400</v>
      </c>
      <c r="AG180" s="21">
        <f t="shared" si="120"/>
        <v>23445050</v>
      </c>
    </row>
    <row r="181" spans="1:33" x14ac:dyDescent="0.2">
      <c r="B181" t="s">
        <v>342</v>
      </c>
      <c r="C181" s="5" t="s">
        <v>95</v>
      </c>
      <c r="D181" s="22">
        <f>$D176</f>
        <v>77740000</v>
      </c>
      <c r="E181" s="22">
        <f>$E176</f>
        <v>136274000</v>
      </c>
      <c r="F181" s="22">
        <f>$F176</f>
        <v>207008000</v>
      </c>
      <c r="G181" s="23">
        <f t="shared" si="124"/>
        <v>20</v>
      </c>
      <c r="H181" s="4">
        <v>63602000</v>
      </c>
      <c r="J181" s="20">
        <f t="shared" si="119"/>
        <v>63602000</v>
      </c>
      <c r="K181" s="20">
        <f t="shared" si="121"/>
        <v>58321000</v>
      </c>
      <c r="L181" s="20">
        <f t="shared" si="125"/>
        <v>56446000</v>
      </c>
      <c r="M181" s="20">
        <f t="shared" si="126"/>
        <v>52306000</v>
      </c>
      <c r="N181" s="20">
        <f t="shared" si="127"/>
        <v>54161000</v>
      </c>
      <c r="O181" s="20">
        <f t="shared" ref="O181:O187" si="128">H176</f>
        <v>55263000</v>
      </c>
      <c r="P181" s="20">
        <f>$F176/4</f>
        <v>51752000</v>
      </c>
      <c r="Q181" s="20">
        <f>$F176/4</f>
        <v>51752000</v>
      </c>
      <c r="R181" s="20">
        <f>$F176/4</f>
        <v>51752000</v>
      </c>
      <c r="S181" s="20">
        <f>$F176/4</f>
        <v>51752000</v>
      </c>
      <c r="T181" s="20">
        <f>$E176/4</f>
        <v>34068500</v>
      </c>
      <c r="U181" s="20">
        <f>$E176/4</f>
        <v>34068500</v>
      </c>
      <c r="V181" s="20">
        <f>$E176/4</f>
        <v>34068500</v>
      </c>
      <c r="W181" s="20">
        <f>$E176/4</f>
        <v>34068500</v>
      </c>
      <c r="X181" s="20">
        <f>$D176/4</f>
        <v>19435000</v>
      </c>
      <c r="Y181" s="20">
        <f>$D176/4</f>
        <v>19435000</v>
      </c>
      <c r="Z181" s="20">
        <f>$D176/4</f>
        <v>19435000</v>
      </c>
      <c r="AA181" s="20">
        <f>$D176/4</f>
        <v>19435000</v>
      </c>
      <c r="AB181" s="20">
        <v>0</v>
      </c>
      <c r="AC181" s="20">
        <v>0</v>
      </c>
      <c r="AE181" s="21">
        <f t="shared" si="122"/>
        <v>38056050</v>
      </c>
      <c r="AF181" s="21">
        <f t="shared" si="123"/>
        <v>503832450</v>
      </c>
      <c r="AG181" s="21">
        <f t="shared" si="120"/>
        <v>25545950</v>
      </c>
    </row>
    <row r="182" spans="1:33" x14ac:dyDescent="0.2">
      <c r="B182" t="s">
        <v>342</v>
      </c>
      <c r="C182" s="5" t="s">
        <v>94</v>
      </c>
      <c r="D182" s="22">
        <f>$D176</f>
        <v>77740000</v>
      </c>
      <c r="E182" s="22">
        <f>$E176</f>
        <v>136274000</v>
      </c>
      <c r="F182" s="22">
        <f>$F176</f>
        <v>207008000</v>
      </c>
      <c r="G182" s="23">
        <f t="shared" si="124"/>
        <v>20</v>
      </c>
      <c r="H182" s="4">
        <v>70453000</v>
      </c>
      <c r="J182" s="20">
        <f t="shared" si="119"/>
        <v>70453000</v>
      </c>
      <c r="K182" s="20">
        <f t="shared" si="121"/>
        <v>63602000</v>
      </c>
      <c r="L182" s="20">
        <f t="shared" si="125"/>
        <v>58321000</v>
      </c>
      <c r="M182" s="20">
        <f t="shared" si="126"/>
        <v>56446000</v>
      </c>
      <c r="N182" s="20">
        <f t="shared" si="127"/>
        <v>52306000</v>
      </c>
      <c r="O182" s="20">
        <f t="shared" si="128"/>
        <v>54161000</v>
      </c>
      <c r="P182" s="20">
        <f t="shared" ref="P182:P187" si="129">H176</f>
        <v>55263000</v>
      </c>
      <c r="Q182" s="20">
        <f>$F176/4</f>
        <v>51752000</v>
      </c>
      <c r="R182" s="20">
        <f>$F176/4</f>
        <v>51752000</v>
      </c>
      <c r="S182" s="20">
        <f>$F176/4</f>
        <v>51752000</v>
      </c>
      <c r="T182" s="20">
        <f>$F176/4</f>
        <v>51752000</v>
      </c>
      <c r="U182" s="20">
        <f>$E176/4</f>
        <v>34068500</v>
      </c>
      <c r="V182" s="20">
        <f>$E176/4</f>
        <v>34068500</v>
      </c>
      <c r="W182" s="20">
        <f>$E176/4</f>
        <v>34068500</v>
      </c>
      <c r="X182" s="20">
        <f>$E176/4</f>
        <v>34068500</v>
      </c>
      <c r="Y182" s="20">
        <f>$D176/4</f>
        <v>19435000</v>
      </c>
      <c r="Z182" s="20">
        <f>$D176/4</f>
        <v>19435000</v>
      </c>
      <c r="AA182" s="20">
        <f>$D176/4</f>
        <v>19435000</v>
      </c>
      <c r="AB182" s="20">
        <f>$D176/4</f>
        <v>19435000</v>
      </c>
      <c r="AC182" s="20">
        <v>0</v>
      </c>
      <c r="AE182" s="21">
        <f t="shared" si="122"/>
        <v>41578700</v>
      </c>
      <c r="AF182" s="21">
        <f t="shared" si="123"/>
        <v>536229400</v>
      </c>
      <c r="AG182" s="21">
        <f t="shared" si="120"/>
        <v>28874300</v>
      </c>
    </row>
    <row r="183" spans="1:33" x14ac:dyDescent="0.2">
      <c r="B183" t="s">
        <v>342</v>
      </c>
      <c r="C183" s="5" t="s">
        <v>93</v>
      </c>
      <c r="D183" s="22">
        <f>$D176</f>
        <v>77740000</v>
      </c>
      <c r="E183" s="22">
        <f>$E176</f>
        <v>136274000</v>
      </c>
      <c r="F183" s="22">
        <f>$F176</f>
        <v>207008000</v>
      </c>
      <c r="G183" s="23">
        <f t="shared" si="124"/>
        <v>20</v>
      </c>
      <c r="H183" s="4">
        <v>74626000</v>
      </c>
      <c r="J183" s="20">
        <f t="shared" si="119"/>
        <v>74626000</v>
      </c>
      <c r="K183" s="20">
        <f t="shared" si="121"/>
        <v>70453000</v>
      </c>
      <c r="L183" s="20">
        <f t="shared" si="125"/>
        <v>63602000</v>
      </c>
      <c r="M183" s="20">
        <f t="shared" si="126"/>
        <v>58321000</v>
      </c>
      <c r="N183" s="20">
        <f t="shared" si="127"/>
        <v>56446000</v>
      </c>
      <c r="O183" s="20">
        <f t="shared" si="128"/>
        <v>52306000</v>
      </c>
      <c r="P183" s="20">
        <f t="shared" si="129"/>
        <v>54161000</v>
      </c>
      <c r="Q183" s="20">
        <f>H176</f>
        <v>55263000</v>
      </c>
      <c r="R183" s="20">
        <f>$F176/4</f>
        <v>51752000</v>
      </c>
      <c r="S183" s="20">
        <f>$F176/4</f>
        <v>51752000</v>
      </c>
      <c r="T183" s="20">
        <f>$F176/4</f>
        <v>51752000</v>
      </c>
      <c r="U183" s="20">
        <f>$F176/4</f>
        <v>51752000</v>
      </c>
      <c r="V183" s="20">
        <f>$E176/4</f>
        <v>34068500</v>
      </c>
      <c r="W183" s="20">
        <f>$E176/4</f>
        <v>34068500</v>
      </c>
      <c r="X183" s="20">
        <f>$E176/4</f>
        <v>34068500</v>
      </c>
      <c r="Y183" s="20">
        <f>$E176/4</f>
        <v>34068500</v>
      </c>
      <c r="Z183" s="20">
        <f>$D176/4</f>
        <v>19435000</v>
      </c>
      <c r="AA183" s="20">
        <f>$D176/4</f>
        <v>19435000</v>
      </c>
      <c r="AB183" s="20">
        <f>$D176/4</f>
        <v>19435000</v>
      </c>
      <c r="AC183" s="20">
        <f>$D176/4</f>
        <v>19435000</v>
      </c>
      <c r="AE183" s="21">
        <f t="shared" si="122"/>
        <v>45310000</v>
      </c>
      <c r="AF183" s="21">
        <f t="shared" si="123"/>
        <v>569276700</v>
      </c>
      <c r="AG183" s="21">
        <f t="shared" si="120"/>
        <v>29316000</v>
      </c>
    </row>
    <row r="184" spans="1:33" x14ac:dyDescent="0.2">
      <c r="B184" t="s">
        <v>342</v>
      </c>
      <c r="C184" s="5" t="s">
        <v>141</v>
      </c>
      <c r="D184" s="22">
        <f>$D176</f>
        <v>77740000</v>
      </c>
      <c r="E184" s="22">
        <f>$E176</f>
        <v>136274000</v>
      </c>
      <c r="F184" s="22">
        <f>$F176</f>
        <v>207008000</v>
      </c>
      <c r="G184" s="23">
        <f t="shared" si="124"/>
        <v>20</v>
      </c>
      <c r="H184" s="4">
        <v>72253000</v>
      </c>
      <c r="J184" s="20">
        <f t="shared" si="119"/>
        <v>72253000</v>
      </c>
      <c r="K184" s="20">
        <f t="shared" si="121"/>
        <v>74626000</v>
      </c>
      <c r="L184" s="20">
        <f t="shared" si="125"/>
        <v>70453000</v>
      </c>
      <c r="M184" s="20">
        <f t="shared" si="126"/>
        <v>63602000</v>
      </c>
      <c r="N184" s="20">
        <f t="shared" si="127"/>
        <v>58321000</v>
      </c>
      <c r="O184" s="20">
        <f t="shared" si="128"/>
        <v>56446000</v>
      </c>
      <c r="P184" s="20">
        <f t="shared" si="129"/>
        <v>52306000</v>
      </c>
      <c r="Q184" s="20">
        <f>H177</f>
        <v>54161000</v>
      </c>
      <c r="R184" s="20">
        <f>H176</f>
        <v>55263000</v>
      </c>
      <c r="S184" s="20">
        <f>$F176/4</f>
        <v>51752000</v>
      </c>
      <c r="T184" s="20">
        <f>$F176/4</f>
        <v>51752000</v>
      </c>
      <c r="U184" s="20">
        <f>$F176/4</f>
        <v>51752000</v>
      </c>
      <c r="V184" s="20">
        <f>$F176/4</f>
        <v>51752000</v>
      </c>
      <c r="W184" s="20">
        <f>$E176/4</f>
        <v>34068500</v>
      </c>
      <c r="X184" s="20">
        <f>$E176/4</f>
        <v>34068500</v>
      </c>
      <c r="Y184" s="20">
        <f>$E176/4</f>
        <v>34068500</v>
      </c>
      <c r="Z184" s="20">
        <f>$E176/4</f>
        <v>34068500</v>
      </c>
      <c r="AA184" s="20">
        <f>$D176/4</f>
        <v>19435000</v>
      </c>
      <c r="AB184" s="20">
        <f>$D176/4</f>
        <v>19435000</v>
      </c>
      <c r="AC184" s="20">
        <f>$D176/4</f>
        <v>19435000</v>
      </c>
      <c r="AE184" s="21">
        <f t="shared" si="122"/>
        <v>47950900</v>
      </c>
      <c r="AF184" s="21">
        <f t="shared" si="123"/>
        <v>596219700</v>
      </c>
      <c r="AG184" s="21">
        <f t="shared" si="120"/>
        <v>24302100</v>
      </c>
    </row>
    <row r="185" spans="1:33" x14ac:dyDescent="0.2">
      <c r="B185" t="s">
        <v>342</v>
      </c>
      <c r="C185" s="5" t="s">
        <v>160</v>
      </c>
      <c r="D185" s="22">
        <f>$D176</f>
        <v>77740000</v>
      </c>
      <c r="E185" s="22">
        <f>$E176</f>
        <v>136274000</v>
      </c>
      <c r="F185" s="22">
        <f>$F176</f>
        <v>207008000</v>
      </c>
      <c r="G185" s="23">
        <f t="shared" si="124"/>
        <v>20</v>
      </c>
      <c r="H185" s="4">
        <v>79091000</v>
      </c>
      <c r="J185" s="20">
        <f t="shared" si="119"/>
        <v>79091000</v>
      </c>
      <c r="K185" s="20">
        <f t="shared" si="121"/>
        <v>72253000</v>
      </c>
      <c r="L185" s="20">
        <f t="shared" si="125"/>
        <v>74626000</v>
      </c>
      <c r="M185" s="20">
        <f t="shared" si="126"/>
        <v>70453000</v>
      </c>
      <c r="N185" s="20">
        <f t="shared" si="127"/>
        <v>63602000</v>
      </c>
      <c r="O185" s="20">
        <f t="shared" si="128"/>
        <v>58321000</v>
      </c>
      <c r="P185" s="20">
        <f t="shared" si="129"/>
        <v>56446000</v>
      </c>
      <c r="Q185" s="20">
        <f>H178</f>
        <v>52306000</v>
      </c>
      <c r="R185" s="20">
        <f>H177</f>
        <v>54161000</v>
      </c>
      <c r="S185" s="20">
        <f>H176</f>
        <v>55263000</v>
      </c>
      <c r="T185" s="20">
        <f>$F176/4</f>
        <v>51752000</v>
      </c>
      <c r="U185" s="20">
        <f>$F176/4</f>
        <v>51752000</v>
      </c>
      <c r="V185" s="20">
        <f>$F176/4</f>
        <v>51752000</v>
      </c>
      <c r="W185" s="20">
        <f>$F176/4</f>
        <v>51752000</v>
      </c>
      <c r="X185" s="20">
        <f>$E176/4</f>
        <v>34068500</v>
      </c>
      <c r="Y185" s="20">
        <f>$E176/4</f>
        <v>34068500</v>
      </c>
      <c r="Z185" s="20">
        <f>$E176/4</f>
        <v>34068500</v>
      </c>
      <c r="AA185" s="20">
        <f>$E176/4</f>
        <v>34068500</v>
      </c>
      <c r="AB185" s="20">
        <f>$D176/4</f>
        <v>19435000</v>
      </c>
      <c r="AC185" s="20">
        <f>$D176/4</f>
        <v>19435000</v>
      </c>
      <c r="AE185" s="21">
        <f t="shared" si="122"/>
        <v>50933700</v>
      </c>
      <c r="AF185" s="21">
        <f t="shared" si="123"/>
        <v>627359800</v>
      </c>
      <c r="AG185" s="21">
        <f t="shared" si="120"/>
        <v>28157300</v>
      </c>
    </row>
    <row r="186" spans="1:33" x14ac:dyDescent="0.2">
      <c r="B186" t="s">
        <v>342</v>
      </c>
      <c r="C186" s="5" t="s">
        <v>161</v>
      </c>
      <c r="D186" s="22">
        <f>$D176</f>
        <v>77740000</v>
      </c>
      <c r="E186" s="22">
        <f>$E176</f>
        <v>136274000</v>
      </c>
      <c r="F186" s="22">
        <f>$F176</f>
        <v>207008000</v>
      </c>
      <c r="G186" s="23">
        <f t="shared" si="124"/>
        <v>20</v>
      </c>
      <c r="H186" s="4">
        <v>83146000</v>
      </c>
      <c r="J186" s="20">
        <f t="shared" si="119"/>
        <v>83146000</v>
      </c>
      <c r="K186" s="20">
        <f t="shared" si="121"/>
        <v>79091000</v>
      </c>
      <c r="L186" s="20">
        <f t="shared" si="125"/>
        <v>72253000</v>
      </c>
      <c r="M186" s="20">
        <f t="shared" si="126"/>
        <v>74626000</v>
      </c>
      <c r="N186" s="20">
        <f t="shared" si="127"/>
        <v>70453000</v>
      </c>
      <c r="O186" s="20">
        <f t="shared" si="128"/>
        <v>63602000</v>
      </c>
      <c r="P186" s="20">
        <f t="shared" si="129"/>
        <v>58321000</v>
      </c>
      <c r="Q186" s="20">
        <f>H179</f>
        <v>56446000</v>
      </c>
      <c r="R186" s="20">
        <f>H178</f>
        <v>52306000</v>
      </c>
      <c r="S186" s="20">
        <f>H177</f>
        <v>54161000</v>
      </c>
      <c r="T186" s="20">
        <f>H176</f>
        <v>55263000</v>
      </c>
      <c r="U186" s="20">
        <f>$F176/4</f>
        <v>51752000</v>
      </c>
      <c r="V186" s="20">
        <f>$F176/4</f>
        <v>51752000</v>
      </c>
      <c r="W186" s="20">
        <f>$F176/4</f>
        <v>51752000</v>
      </c>
      <c r="X186" s="20">
        <f>$F176/4</f>
        <v>51752000</v>
      </c>
      <c r="Y186" s="20">
        <f>$E176/4</f>
        <v>34068500</v>
      </c>
      <c r="Z186" s="20">
        <f>$E176/4</f>
        <v>34068500</v>
      </c>
      <c r="AA186" s="20">
        <f>$E176/4</f>
        <v>34068500</v>
      </c>
      <c r="AB186" s="20">
        <f>$E176/4</f>
        <v>34068500</v>
      </c>
      <c r="AC186" s="20">
        <f>$D176/4</f>
        <v>19435000</v>
      </c>
      <c r="AE186" s="21">
        <f t="shared" si="122"/>
        <v>54119250</v>
      </c>
      <c r="AF186" s="21">
        <f t="shared" si="123"/>
        <v>659572100</v>
      </c>
      <c r="AG186" s="21">
        <f t="shared" si="120"/>
        <v>29026750</v>
      </c>
    </row>
    <row r="187" spans="1:33" x14ac:dyDescent="0.2">
      <c r="B187" t="s">
        <v>342</v>
      </c>
      <c r="C187" s="5" t="s">
        <v>162</v>
      </c>
      <c r="D187" s="22">
        <f>$D176</f>
        <v>77740000</v>
      </c>
      <c r="E187" s="22">
        <f>$E176</f>
        <v>136274000</v>
      </c>
      <c r="F187" s="22">
        <f>$F176</f>
        <v>207008000</v>
      </c>
      <c r="G187" s="23">
        <f t="shared" si="124"/>
        <v>20</v>
      </c>
      <c r="H187" s="4">
        <v>89363000</v>
      </c>
      <c r="J187" s="20">
        <f t="shared" si="119"/>
        <v>89363000</v>
      </c>
      <c r="K187" s="20">
        <f t="shared" si="121"/>
        <v>83146000</v>
      </c>
      <c r="L187" s="20">
        <f t="shared" si="125"/>
        <v>79091000</v>
      </c>
      <c r="M187" s="20">
        <f t="shared" si="126"/>
        <v>72253000</v>
      </c>
      <c r="N187" s="20">
        <f t="shared" si="127"/>
        <v>74626000</v>
      </c>
      <c r="O187" s="20">
        <f t="shared" si="128"/>
        <v>70453000</v>
      </c>
      <c r="P187" s="20">
        <f t="shared" si="129"/>
        <v>63602000</v>
      </c>
      <c r="Q187" s="20">
        <f>H180</f>
        <v>58321000</v>
      </c>
      <c r="R187" s="20">
        <f>H179</f>
        <v>56446000</v>
      </c>
      <c r="S187" s="20">
        <f>H178</f>
        <v>52306000</v>
      </c>
      <c r="T187" s="20">
        <f>H177</f>
        <v>54161000</v>
      </c>
      <c r="U187" s="20">
        <f>H176</f>
        <v>55263000</v>
      </c>
      <c r="V187" s="20">
        <f>$F176/4</f>
        <v>51752000</v>
      </c>
      <c r="W187" s="20">
        <f>$F176/4</f>
        <v>51752000</v>
      </c>
      <c r="X187" s="20">
        <f>$F176/4</f>
        <v>51752000</v>
      </c>
      <c r="Y187" s="20">
        <f>$F176/4</f>
        <v>51752000</v>
      </c>
      <c r="Z187" s="20">
        <f>$E176/4</f>
        <v>34068500</v>
      </c>
      <c r="AA187" s="20">
        <f>$E176/4</f>
        <v>34068500</v>
      </c>
      <c r="AB187" s="20">
        <f>$E176/4</f>
        <v>34068500</v>
      </c>
      <c r="AC187" s="20">
        <f>$E176/4</f>
        <v>34068500</v>
      </c>
      <c r="AE187" s="21">
        <f t="shared" si="122"/>
        <v>57615650</v>
      </c>
      <c r="AF187" s="21">
        <f t="shared" si="123"/>
        <v>694815850</v>
      </c>
      <c r="AG187" s="21">
        <f t="shared" si="120"/>
        <v>31747350</v>
      </c>
    </row>
    <row r="188" spans="1:33" x14ac:dyDescent="0.2">
      <c r="I188" s="3"/>
    </row>
    <row r="189" spans="1:33" x14ac:dyDescent="0.2">
      <c r="C189" t="s">
        <v>338</v>
      </c>
    </row>
    <row r="190" spans="1:33" x14ac:dyDescent="0.2">
      <c r="C190" s="6" t="s">
        <v>107</v>
      </c>
      <c r="D190" s="6" t="s">
        <v>439</v>
      </c>
      <c r="E190" s="6" t="s">
        <v>440</v>
      </c>
      <c r="F190" s="6" t="s">
        <v>471</v>
      </c>
      <c r="G190" s="6" t="s">
        <v>441</v>
      </c>
      <c r="H190" s="6" t="s">
        <v>442</v>
      </c>
      <c r="I190" s="15"/>
      <c r="J190" s="6" t="s">
        <v>443</v>
      </c>
      <c r="K190" s="6" t="s">
        <v>444</v>
      </c>
      <c r="L190" s="6" t="s">
        <v>445</v>
      </c>
      <c r="M190" s="6" t="s">
        <v>446</v>
      </c>
      <c r="N190" s="6" t="s">
        <v>447</v>
      </c>
      <c r="O190" s="6" t="s">
        <v>448</v>
      </c>
      <c r="P190" s="6" t="s">
        <v>449</v>
      </c>
      <c r="Q190" s="6" t="s">
        <v>450</v>
      </c>
      <c r="R190" s="6" t="s">
        <v>451</v>
      </c>
      <c r="S190" s="6" t="s">
        <v>452</v>
      </c>
      <c r="T190" s="6" t="s">
        <v>453</v>
      </c>
      <c r="U190" s="6" t="s">
        <v>454</v>
      </c>
      <c r="V190" s="6" t="s">
        <v>455</v>
      </c>
      <c r="W190" s="6" t="s">
        <v>456</v>
      </c>
      <c r="X190" s="6" t="s">
        <v>457</v>
      </c>
      <c r="Y190" s="6" t="s">
        <v>458</v>
      </c>
      <c r="Z190" s="6" t="s">
        <v>459</v>
      </c>
      <c r="AA190" s="6" t="s">
        <v>460</v>
      </c>
      <c r="AB190" s="6" t="s">
        <v>461</v>
      </c>
      <c r="AC190" s="6" t="s">
        <v>462</v>
      </c>
      <c r="AD190" s="15"/>
      <c r="AE190" s="6" t="s">
        <v>106</v>
      </c>
      <c r="AF190" s="6" t="s">
        <v>105</v>
      </c>
      <c r="AG190" s="6" t="s">
        <v>463</v>
      </c>
    </row>
    <row r="191" spans="1:33" x14ac:dyDescent="0.2">
      <c r="C191" s="16" t="s">
        <v>464</v>
      </c>
      <c r="J191" s="17">
        <v>20</v>
      </c>
      <c r="K191" s="17">
        <v>19</v>
      </c>
      <c r="L191" s="17">
        <v>18</v>
      </c>
      <c r="M191" s="17">
        <v>17</v>
      </c>
      <c r="N191" s="17">
        <v>16</v>
      </c>
      <c r="O191" s="17">
        <v>15</v>
      </c>
      <c r="P191" s="17">
        <v>14</v>
      </c>
      <c r="Q191" s="17">
        <v>13</v>
      </c>
      <c r="R191" s="17">
        <v>12</v>
      </c>
      <c r="S191" s="17">
        <v>11</v>
      </c>
      <c r="T191" s="17">
        <v>10</v>
      </c>
      <c r="U191" s="17">
        <v>9</v>
      </c>
      <c r="V191" s="17">
        <v>8</v>
      </c>
      <c r="W191" s="17">
        <v>7</v>
      </c>
      <c r="X191" s="17">
        <v>6</v>
      </c>
      <c r="Y191" s="17">
        <v>5</v>
      </c>
      <c r="Z191" s="17">
        <v>4</v>
      </c>
      <c r="AA191" s="17">
        <v>3</v>
      </c>
      <c r="AB191" s="17">
        <v>2</v>
      </c>
      <c r="AC191" s="17">
        <v>1</v>
      </c>
    </row>
    <row r="192" spans="1:33" x14ac:dyDescent="0.2">
      <c r="A192">
        <v>1</v>
      </c>
      <c r="B192" t="s">
        <v>338</v>
      </c>
      <c r="C192" s="18" t="s">
        <v>488</v>
      </c>
      <c r="G192" s="23">
        <f t="shared" ref="G192:G199" si="130">$G$13</f>
        <v>20</v>
      </c>
      <c r="H192" s="4">
        <v>96871750</v>
      </c>
      <c r="I192" s="20">
        <f>+H192/20</f>
        <v>4843587.5</v>
      </c>
      <c r="J192" s="20">
        <f>+H192-$I192</f>
        <v>92028162.5</v>
      </c>
      <c r="K192" s="20">
        <f>+J192-$I192</f>
        <v>87184575</v>
      </c>
      <c r="L192" s="20">
        <f t="shared" ref="L192" si="131">+K192-$I192</f>
        <v>82340987.5</v>
      </c>
      <c r="M192" s="20">
        <f t="shared" ref="M192:M193" si="132">+L192-$I192</f>
        <v>77497400</v>
      </c>
      <c r="N192" s="20">
        <f t="shared" ref="N192:N194" si="133">+M192-$I192</f>
        <v>72653812.5</v>
      </c>
      <c r="O192" s="20">
        <f t="shared" ref="O192:O196" si="134">+N192-$I192</f>
        <v>67810225</v>
      </c>
      <c r="P192" s="20">
        <f t="shared" ref="P192:P197" si="135">+O192-$I192</f>
        <v>62966637.5</v>
      </c>
      <c r="Q192" s="20">
        <f t="shared" ref="Q192:Q198" si="136">+P192-$I192</f>
        <v>58123050</v>
      </c>
      <c r="R192" s="20">
        <f t="shared" ref="R192:R199" si="137">+Q192-$I192</f>
        <v>53279462.5</v>
      </c>
      <c r="S192" s="20">
        <f t="shared" ref="S192:S200" si="138">+R192-$I192</f>
        <v>48435875</v>
      </c>
      <c r="T192" s="20">
        <f t="shared" ref="T192:T201" si="139">+S192-$I192</f>
        <v>43592287.5</v>
      </c>
      <c r="U192" s="20">
        <f t="shared" ref="U192:U202" si="140">+T192-$I192</f>
        <v>38748700</v>
      </c>
      <c r="V192" s="20">
        <f t="shared" ref="V192:V203" si="141">+U192-$I192</f>
        <v>33905112.5</v>
      </c>
      <c r="W192" s="20">
        <f t="shared" ref="W192:W204" si="142">+V192-$I192</f>
        <v>29061525</v>
      </c>
      <c r="X192" s="20">
        <f t="shared" ref="X192:X205" si="143">+W192-$I192</f>
        <v>24217937.5</v>
      </c>
      <c r="Y192" s="20">
        <f t="shared" ref="Y192:Y206" si="144">+X192-$I192</f>
        <v>19374350</v>
      </c>
      <c r="Z192" s="20">
        <f t="shared" ref="Z192:Z207" si="145">+Y192-$I192</f>
        <v>14530762.5</v>
      </c>
      <c r="AA192" s="20">
        <f t="shared" ref="AA192:AA208" si="146">+Z192-$I192</f>
        <v>9687175</v>
      </c>
      <c r="AB192" s="20">
        <f t="shared" ref="AB192:AB209" si="147">+AA192-$I192</f>
        <v>4843587.5</v>
      </c>
      <c r="AC192" s="20">
        <f t="shared" ref="AC192:AC210" si="148">+AB192-$I192</f>
        <v>0</v>
      </c>
      <c r="AE192" s="21">
        <f>SUM(I192)</f>
        <v>4843587.5</v>
      </c>
      <c r="AF192" s="21">
        <f>SUM(J192:J192)</f>
        <v>92028162.5</v>
      </c>
      <c r="AG192" s="21">
        <f t="shared" ref="AG192:AG211" si="149">H192-AE192</f>
        <v>92028162.5</v>
      </c>
    </row>
    <row r="193" spans="1:33" x14ac:dyDescent="0.2">
      <c r="A193">
        <v>2</v>
      </c>
      <c r="B193" t="s">
        <v>338</v>
      </c>
      <c r="C193" s="18" t="s">
        <v>489</v>
      </c>
      <c r="G193" s="23">
        <f t="shared" si="130"/>
        <v>20</v>
      </c>
      <c r="H193" s="4">
        <v>110524000</v>
      </c>
      <c r="I193" s="20">
        <f t="shared" ref="I193:I211" si="150">+H193/20</f>
        <v>5526200</v>
      </c>
      <c r="J193" s="20"/>
      <c r="K193" s="20">
        <f>+H193-I193</f>
        <v>104997800</v>
      </c>
      <c r="L193" s="20">
        <f>+K193-$I193</f>
        <v>99471600</v>
      </c>
      <c r="M193" s="20">
        <f t="shared" si="132"/>
        <v>93945400</v>
      </c>
      <c r="N193" s="20">
        <f t="shared" si="133"/>
        <v>88419200</v>
      </c>
      <c r="O193" s="20">
        <f t="shared" si="134"/>
        <v>82893000</v>
      </c>
      <c r="P193" s="20">
        <f t="shared" si="135"/>
        <v>77366800</v>
      </c>
      <c r="Q193" s="20">
        <f t="shared" si="136"/>
        <v>71840600</v>
      </c>
      <c r="R193" s="20">
        <f t="shared" si="137"/>
        <v>66314400</v>
      </c>
      <c r="S193" s="20">
        <f t="shared" si="138"/>
        <v>60788200</v>
      </c>
      <c r="T193" s="20">
        <f t="shared" si="139"/>
        <v>55262000</v>
      </c>
      <c r="U193" s="20">
        <f t="shared" si="140"/>
        <v>49735800</v>
      </c>
      <c r="V193" s="20">
        <f t="shared" si="141"/>
        <v>44209600</v>
      </c>
      <c r="W193" s="20">
        <f t="shared" si="142"/>
        <v>38683400</v>
      </c>
      <c r="X193" s="20">
        <f t="shared" si="143"/>
        <v>33157200</v>
      </c>
      <c r="Y193" s="20">
        <f t="shared" si="144"/>
        <v>27631000</v>
      </c>
      <c r="Z193" s="20">
        <f t="shared" si="145"/>
        <v>22104800</v>
      </c>
      <c r="AA193" s="20">
        <f t="shared" si="146"/>
        <v>16578600</v>
      </c>
      <c r="AB193" s="20">
        <f t="shared" si="147"/>
        <v>11052400</v>
      </c>
      <c r="AC193" s="20">
        <f t="shared" si="148"/>
        <v>5526200</v>
      </c>
      <c r="AE193" s="21">
        <f>SUM(I192:I193)</f>
        <v>10369787.5</v>
      </c>
      <c r="AF193" s="21">
        <f>SUM(K192:K193)</f>
        <v>192182375</v>
      </c>
      <c r="AG193" s="21">
        <f t="shared" si="149"/>
        <v>100154212.5</v>
      </c>
    </row>
    <row r="194" spans="1:33" x14ac:dyDescent="0.2">
      <c r="A194">
        <v>3</v>
      </c>
      <c r="B194" t="s">
        <v>338</v>
      </c>
      <c r="C194" s="18" t="s">
        <v>490</v>
      </c>
      <c r="G194" s="23">
        <f t="shared" si="130"/>
        <v>20</v>
      </c>
      <c r="H194" s="4">
        <v>94316000</v>
      </c>
      <c r="I194" s="20">
        <f t="shared" si="150"/>
        <v>4715800</v>
      </c>
      <c r="J194" s="20"/>
      <c r="K194" s="20"/>
      <c r="L194" s="20">
        <f>+H194-I194</f>
        <v>89600200</v>
      </c>
      <c r="M194" s="20">
        <f>+L194-$I194</f>
        <v>84884400</v>
      </c>
      <c r="N194" s="20">
        <f t="shared" si="133"/>
        <v>80168600</v>
      </c>
      <c r="O194" s="20">
        <f t="shared" si="134"/>
        <v>75452800</v>
      </c>
      <c r="P194" s="20">
        <f t="shared" si="135"/>
        <v>70737000</v>
      </c>
      <c r="Q194" s="20">
        <f t="shared" si="136"/>
        <v>66021200</v>
      </c>
      <c r="R194" s="20">
        <f t="shared" si="137"/>
        <v>61305400</v>
      </c>
      <c r="S194" s="20">
        <f t="shared" si="138"/>
        <v>56589600</v>
      </c>
      <c r="T194" s="20">
        <f t="shared" si="139"/>
        <v>51873800</v>
      </c>
      <c r="U194" s="20">
        <f t="shared" si="140"/>
        <v>47158000</v>
      </c>
      <c r="V194" s="20">
        <f t="shared" si="141"/>
        <v>42442200</v>
      </c>
      <c r="W194" s="20">
        <f t="shared" si="142"/>
        <v>37726400</v>
      </c>
      <c r="X194" s="20">
        <f t="shared" si="143"/>
        <v>33010600</v>
      </c>
      <c r="Y194" s="20">
        <f t="shared" si="144"/>
        <v>28294800</v>
      </c>
      <c r="Z194" s="20">
        <f t="shared" si="145"/>
        <v>23579000</v>
      </c>
      <c r="AA194" s="20">
        <f t="shared" si="146"/>
        <v>18863200</v>
      </c>
      <c r="AB194" s="20">
        <f t="shared" si="147"/>
        <v>14147400</v>
      </c>
      <c r="AC194" s="20">
        <f t="shared" si="148"/>
        <v>9431600</v>
      </c>
      <c r="AE194" s="21">
        <f>SUM(I192:I194)</f>
        <v>15085587.5</v>
      </c>
      <c r="AF194" s="21">
        <f>SUM(L192:L194)</f>
        <v>271412787.5</v>
      </c>
      <c r="AG194" s="21">
        <f t="shared" si="149"/>
        <v>79230412.5</v>
      </c>
    </row>
    <row r="195" spans="1:33" x14ac:dyDescent="0.2">
      <c r="A195">
        <v>4</v>
      </c>
      <c r="B195" t="s">
        <v>338</v>
      </c>
      <c r="C195" s="18" t="s">
        <v>491</v>
      </c>
      <c r="G195" s="23">
        <f t="shared" si="130"/>
        <v>20</v>
      </c>
      <c r="H195" s="4">
        <v>84176000</v>
      </c>
      <c r="I195" s="20">
        <f t="shared" si="150"/>
        <v>4208800</v>
      </c>
      <c r="J195" s="20"/>
      <c r="K195" s="20"/>
      <c r="L195" s="20"/>
      <c r="M195" s="20">
        <f>+H195-I195</f>
        <v>79967200</v>
      </c>
      <c r="N195" s="20">
        <f>+M195-$I195</f>
        <v>75758400</v>
      </c>
      <c r="O195" s="20">
        <f t="shared" si="134"/>
        <v>71549600</v>
      </c>
      <c r="P195" s="20">
        <f t="shared" si="135"/>
        <v>67340800</v>
      </c>
      <c r="Q195" s="20">
        <f t="shared" si="136"/>
        <v>63132000</v>
      </c>
      <c r="R195" s="20">
        <f t="shared" si="137"/>
        <v>58923200</v>
      </c>
      <c r="S195" s="20">
        <f t="shared" si="138"/>
        <v>54714400</v>
      </c>
      <c r="T195" s="20">
        <f t="shared" si="139"/>
        <v>50505600</v>
      </c>
      <c r="U195" s="20">
        <f t="shared" si="140"/>
        <v>46296800</v>
      </c>
      <c r="V195" s="20">
        <f t="shared" si="141"/>
        <v>42088000</v>
      </c>
      <c r="W195" s="20">
        <f t="shared" si="142"/>
        <v>37879200</v>
      </c>
      <c r="X195" s="20">
        <f t="shared" si="143"/>
        <v>33670400</v>
      </c>
      <c r="Y195" s="20">
        <f t="shared" si="144"/>
        <v>29461600</v>
      </c>
      <c r="Z195" s="20">
        <f t="shared" si="145"/>
        <v>25252800</v>
      </c>
      <c r="AA195" s="20">
        <f t="shared" si="146"/>
        <v>21044000</v>
      </c>
      <c r="AB195" s="20">
        <f t="shared" si="147"/>
        <v>16835200</v>
      </c>
      <c r="AC195" s="20">
        <f t="shared" si="148"/>
        <v>12626400</v>
      </c>
      <c r="AE195" s="21">
        <f>SUM(I192:I195)</f>
        <v>19294387.5</v>
      </c>
      <c r="AF195" s="21">
        <f>SUM(M192:M195)</f>
        <v>336294400</v>
      </c>
      <c r="AG195" s="21">
        <f t="shared" si="149"/>
        <v>64881612.5</v>
      </c>
    </row>
    <row r="196" spans="1:33" x14ac:dyDescent="0.2">
      <c r="A196">
        <v>5</v>
      </c>
      <c r="B196" t="s">
        <v>338</v>
      </c>
      <c r="C196" s="18" t="s">
        <v>484</v>
      </c>
      <c r="G196" s="23">
        <f t="shared" si="130"/>
        <v>20</v>
      </c>
      <c r="H196" s="4">
        <v>88601000</v>
      </c>
      <c r="I196" s="20">
        <f t="shared" si="150"/>
        <v>4430050</v>
      </c>
      <c r="J196" s="20"/>
      <c r="K196" s="20"/>
      <c r="L196" s="20"/>
      <c r="M196" s="20"/>
      <c r="N196" s="20">
        <f>+H196-I196</f>
        <v>84170950</v>
      </c>
      <c r="O196" s="20">
        <f t="shared" si="134"/>
        <v>79740900</v>
      </c>
      <c r="P196" s="20">
        <f t="shared" si="135"/>
        <v>75310850</v>
      </c>
      <c r="Q196" s="20">
        <f t="shared" si="136"/>
        <v>70880800</v>
      </c>
      <c r="R196" s="20">
        <f t="shared" si="137"/>
        <v>66450750</v>
      </c>
      <c r="S196" s="20">
        <f t="shared" si="138"/>
        <v>62020700</v>
      </c>
      <c r="T196" s="20">
        <f t="shared" si="139"/>
        <v>57590650</v>
      </c>
      <c r="U196" s="20">
        <f t="shared" si="140"/>
        <v>53160600</v>
      </c>
      <c r="V196" s="20">
        <f t="shared" si="141"/>
        <v>48730550</v>
      </c>
      <c r="W196" s="20">
        <f t="shared" si="142"/>
        <v>44300500</v>
      </c>
      <c r="X196" s="20">
        <f t="shared" si="143"/>
        <v>39870450</v>
      </c>
      <c r="Y196" s="20">
        <f t="shared" si="144"/>
        <v>35440400</v>
      </c>
      <c r="Z196" s="20">
        <f t="shared" si="145"/>
        <v>31010350</v>
      </c>
      <c r="AA196" s="20">
        <f t="shared" si="146"/>
        <v>26580300</v>
      </c>
      <c r="AB196" s="20">
        <f t="shared" si="147"/>
        <v>22150250</v>
      </c>
      <c r="AC196" s="20">
        <f t="shared" si="148"/>
        <v>17720200</v>
      </c>
      <c r="AE196" s="21">
        <f>SUM(I192:I196)</f>
        <v>23724437.5</v>
      </c>
      <c r="AF196" s="21">
        <f>SUM(N192:N196)</f>
        <v>401170962.5</v>
      </c>
      <c r="AG196" s="21">
        <f t="shared" si="149"/>
        <v>64876562.5</v>
      </c>
    </row>
    <row r="197" spans="1:33" x14ac:dyDescent="0.2">
      <c r="A197">
        <v>6</v>
      </c>
      <c r="B197" t="s">
        <v>338</v>
      </c>
      <c r="C197" s="18" t="s">
        <v>485</v>
      </c>
      <c r="G197" s="23">
        <f t="shared" si="130"/>
        <v>20</v>
      </c>
      <c r="H197" s="4">
        <v>88171000</v>
      </c>
      <c r="I197" s="20">
        <f t="shared" si="150"/>
        <v>4408550</v>
      </c>
      <c r="J197" s="20"/>
      <c r="K197" s="20"/>
      <c r="L197" s="20"/>
      <c r="M197" s="20"/>
      <c r="N197" s="20"/>
      <c r="O197" s="20">
        <f>+H197-I197</f>
        <v>83762450</v>
      </c>
      <c r="P197" s="20">
        <f t="shared" si="135"/>
        <v>79353900</v>
      </c>
      <c r="Q197" s="20">
        <f t="shared" si="136"/>
        <v>74945350</v>
      </c>
      <c r="R197" s="20">
        <f t="shared" si="137"/>
        <v>70536800</v>
      </c>
      <c r="S197" s="20">
        <f t="shared" si="138"/>
        <v>66128250</v>
      </c>
      <c r="T197" s="20">
        <f t="shared" si="139"/>
        <v>61719700</v>
      </c>
      <c r="U197" s="20">
        <f t="shared" si="140"/>
        <v>57311150</v>
      </c>
      <c r="V197" s="20">
        <f t="shared" si="141"/>
        <v>52902600</v>
      </c>
      <c r="W197" s="20">
        <f t="shared" si="142"/>
        <v>48494050</v>
      </c>
      <c r="X197" s="20">
        <f t="shared" si="143"/>
        <v>44085500</v>
      </c>
      <c r="Y197" s="20">
        <f t="shared" si="144"/>
        <v>39676950</v>
      </c>
      <c r="Z197" s="20">
        <f t="shared" si="145"/>
        <v>35268400</v>
      </c>
      <c r="AA197" s="20">
        <f t="shared" si="146"/>
        <v>30859850</v>
      </c>
      <c r="AB197" s="20">
        <f t="shared" si="147"/>
        <v>26451300</v>
      </c>
      <c r="AC197" s="20">
        <f t="shared" si="148"/>
        <v>22042750</v>
      </c>
      <c r="AE197" s="21">
        <f>SUM(I192:I197)</f>
        <v>28132987.5</v>
      </c>
      <c r="AF197" s="21">
        <f>SUM(O192:O197)</f>
        <v>461208975</v>
      </c>
      <c r="AG197" s="21">
        <f t="shared" si="149"/>
        <v>60038012.5</v>
      </c>
    </row>
    <row r="198" spans="1:33" x14ac:dyDescent="0.2">
      <c r="A198">
        <v>7</v>
      </c>
      <c r="B198" t="s">
        <v>338</v>
      </c>
      <c r="C198" s="18" t="s">
        <v>486</v>
      </c>
      <c r="G198" s="23">
        <f t="shared" si="130"/>
        <v>20</v>
      </c>
      <c r="H198" s="4">
        <v>100863000</v>
      </c>
      <c r="I198" s="20">
        <f t="shared" si="150"/>
        <v>5043150</v>
      </c>
      <c r="J198" s="20"/>
      <c r="K198" s="20"/>
      <c r="L198" s="20"/>
      <c r="M198" s="20"/>
      <c r="N198" s="20"/>
      <c r="O198" s="20"/>
      <c r="P198" s="20">
        <f>+H198-I198</f>
        <v>95819850</v>
      </c>
      <c r="Q198" s="20">
        <f t="shared" si="136"/>
        <v>90776700</v>
      </c>
      <c r="R198" s="20">
        <f t="shared" si="137"/>
        <v>85733550</v>
      </c>
      <c r="S198" s="20">
        <f t="shared" si="138"/>
        <v>80690400</v>
      </c>
      <c r="T198" s="20">
        <f t="shared" si="139"/>
        <v>75647250</v>
      </c>
      <c r="U198" s="20">
        <f t="shared" si="140"/>
        <v>70604100</v>
      </c>
      <c r="V198" s="20">
        <f t="shared" si="141"/>
        <v>65560950</v>
      </c>
      <c r="W198" s="20">
        <f t="shared" si="142"/>
        <v>60517800</v>
      </c>
      <c r="X198" s="20">
        <f t="shared" si="143"/>
        <v>55474650</v>
      </c>
      <c r="Y198" s="20">
        <f t="shared" si="144"/>
        <v>50431500</v>
      </c>
      <c r="Z198" s="20">
        <f t="shared" si="145"/>
        <v>45388350</v>
      </c>
      <c r="AA198" s="20">
        <f t="shared" si="146"/>
        <v>40345200</v>
      </c>
      <c r="AB198" s="20">
        <f t="shared" si="147"/>
        <v>35302050</v>
      </c>
      <c r="AC198" s="20">
        <f t="shared" si="148"/>
        <v>30258900</v>
      </c>
      <c r="AE198" s="21">
        <f>SUM(I192:I198)</f>
        <v>33176137.5</v>
      </c>
      <c r="AF198" s="21">
        <f>SUM(P192:P198)</f>
        <v>528895837.5</v>
      </c>
      <c r="AG198" s="21">
        <f t="shared" si="149"/>
        <v>67686862.5</v>
      </c>
    </row>
    <row r="199" spans="1:33" x14ac:dyDescent="0.2">
      <c r="A199">
        <v>8</v>
      </c>
      <c r="B199" t="s">
        <v>338</v>
      </c>
      <c r="C199" s="18" t="s">
        <v>487</v>
      </c>
      <c r="G199" s="23">
        <f t="shared" si="130"/>
        <v>20</v>
      </c>
      <c r="H199" s="4">
        <v>82044000</v>
      </c>
      <c r="I199" s="20">
        <f t="shared" si="150"/>
        <v>4102200</v>
      </c>
      <c r="J199" s="20"/>
      <c r="K199" s="20"/>
      <c r="L199" s="20"/>
      <c r="M199" s="20"/>
      <c r="N199" s="20"/>
      <c r="O199" s="20"/>
      <c r="P199" s="20"/>
      <c r="Q199" s="20">
        <f>+H199-I199</f>
        <v>77941800</v>
      </c>
      <c r="R199" s="20">
        <f t="shared" si="137"/>
        <v>73839600</v>
      </c>
      <c r="S199" s="20">
        <f t="shared" si="138"/>
        <v>69737400</v>
      </c>
      <c r="T199" s="20">
        <f t="shared" si="139"/>
        <v>65635200</v>
      </c>
      <c r="U199" s="20">
        <f t="shared" si="140"/>
        <v>61533000</v>
      </c>
      <c r="V199" s="20">
        <f t="shared" si="141"/>
        <v>57430800</v>
      </c>
      <c r="W199" s="20">
        <f t="shared" si="142"/>
        <v>53328600</v>
      </c>
      <c r="X199" s="20">
        <f t="shared" si="143"/>
        <v>49226400</v>
      </c>
      <c r="Y199" s="20">
        <f t="shared" si="144"/>
        <v>45124200</v>
      </c>
      <c r="Z199" s="20">
        <f t="shared" si="145"/>
        <v>41022000</v>
      </c>
      <c r="AA199" s="20">
        <f t="shared" si="146"/>
        <v>36919800</v>
      </c>
      <c r="AB199" s="20">
        <f t="shared" si="147"/>
        <v>32817600</v>
      </c>
      <c r="AC199" s="20">
        <f t="shared" si="148"/>
        <v>28715400</v>
      </c>
      <c r="AE199" s="21">
        <f>SUM(I192:I199)</f>
        <v>37278337.5</v>
      </c>
      <c r="AF199" s="21">
        <f>SUM(Q192:Q199)</f>
        <v>573661500</v>
      </c>
      <c r="AG199" s="21">
        <f t="shared" si="149"/>
        <v>44765662.5</v>
      </c>
    </row>
    <row r="200" spans="1:33" x14ac:dyDescent="0.2">
      <c r="A200">
        <v>9</v>
      </c>
      <c r="B200" t="s">
        <v>338</v>
      </c>
      <c r="C200" s="18" t="s">
        <v>104</v>
      </c>
      <c r="D200" s="4">
        <v>3924000000</v>
      </c>
      <c r="E200" s="4">
        <v>5268000000</v>
      </c>
      <c r="F200" s="4">
        <v>7339000000</v>
      </c>
      <c r="G200" s="19">
        <v>20</v>
      </c>
      <c r="H200" s="4">
        <v>90100000</v>
      </c>
      <c r="I200" s="20">
        <f t="shared" si="150"/>
        <v>4505000</v>
      </c>
      <c r="J200" s="20"/>
      <c r="K200" s="20"/>
      <c r="L200" s="20"/>
      <c r="M200" s="20"/>
      <c r="N200" s="20"/>
      <c r="O200" s="20"/>
      <c r="P200" s="20"/>
      <c r="Q200" s="20"/>
      <c r="R200" s="20">
        <f>+H200-I200</f>
        <v>85595000</v>
      </c>
      <c r="S200" s="20">
        <f t="shared" si="138"/>
        <v>81090000</v>
      </c>
      <c r="T200" s="20">
        <f t="shared" si="139"/>
        <v>76585000</v>
      </c>
      <c r="U200" s="20">
        <f t="shared" si="140"/>
        <v>72080000</v>
      </c>
      <c r="V200" s="20">
        <f t="shared" si="141"/>
        <v>67575000</v>
      </c>
      <c r="W200" s="20">
        <f t="shared" si="142"/>
        <v>63070000</v>
      </c>
      <c r="X200" s="20">
        <f t="shared" si="143"/>
        <v>58565000</v>
      </c>
      <c r="Y200" s="20">
        <f t="shared" si="144"/>
        <v>54060000</v>
      </c>
      <c r="Z200" s="20">
        <f t="shared" si="145"/>
        <v>49555000</v>
      </c>
      <c r="AA200" s="20">
        <f t="shared" si="146"/>
        <v>45050000</v>
      </c>
      <c r="AB200" s="20">
        <f t="shared" si="147"/>
        <v>40545000</v>
      </c>
      <c r="AC200" s="20">
        <f t="shared" si="148"/>
        <v>36040000</v>
      </c>
      <c r="AE200" s="21">
        <f>SUM(I192:I200)</f>
        <v>41783337.5</v>
      </c>
      <c r="AF200" s="21">
        <f>SUM(R192:R200)</f>
        <v>621978162.5</v>
      </c>
      <c r="AG200" s="21">
        <f t="shared" si="149"/>
        <v>48316662.5</v>
      </c>
    </row>
    <row r="201" spans="1:33" x14ac:dyDescent="0.2">
      <c r="A201">
        <v>10</v>
      </c>
      <c r="B201" t="s">
        <v>338</v>
      </c>
      <c r="C201" s="18" t="s">
        <v>103</v>
      </c>
      <c r="D201" s="22">
        <f>$D200</f>
        <v>3924000000</v>
      </c>
      <c r="E201" s="22">
        <f>$E200</f>
        <v>5268000000</v>
      </c>
      <c r="F201" s="22">
        <f>$F200</f>
        <v>7339000000</v>
      </c>
      <c r="G201" s="23">
        <f>$G$13</f>
        <v>20</v>
      </c>
      <c r="H201" s="4">
        <v>99533000</v>
      </c>
      <c r="I201" s="20">
        <f t="shared" si="150"/>
        <v>4976650</v>
      </c>
      <c r="J201" s="20"/>
      <c r="K201" s="20"/>
      <c r="L201" s="20"/>
      <c r="M201" s="20"/>
      <c r="N201" s="20"/>
      <c r="O201" s="20"/>
      <c r="P201" s="20"/>
      <c r="Q201" s="20"/>
      <c r="R201" s="20"/>
      <c r="S201" s="20">
        <f>+H201-I201</f>
        <v>94556350</v>
      </c>
      <c r="T201" s="20">
        <f t="shared" si="139"/>
        <v>89579700</v>
      </c>
      <c r="U201" s="20">
        <f t="shared" si="140"/>
        <v>84603050</v>
      </c>
      <c r="V201" s="20">
        <f t="shared" si="141"/>
        <v>79626400</v>
      </c>
      <c r="W201" s="20">
        <f t="shared" si="142"/>
        <v>74649750</v>
      </c>
      <c r="X201" s="20">
        <f t="shared" si="143"/>
        <v>69673100</v>
      </c>
      <c r="Y201" s="20">
        <f t="shared" si="144"/>
        <v>64696450</v>
      </c>
      <c r="Z201" s="20">
        <f t="shared" si="145"/>
        <v>59719800</v>
      </c>
      <c r="AA201" s="20">
        <f t="shared" si="146"/>
        <v>54743150</v>
      </c>
      <c r="AB201" s="20">
        <f t="shared" si="147"/>
        <v>49766500</v>
      </c>
      <c r="AC201" s="20">
        <f t="shared" si="148"/>
        <v>44789850</v>
      </c>
      <c r="AE201" s="21">
        <f>SUM(I192:I201)</f>
        <v>46759987.5</v>
      </c>
      <c r="AF201" s="21">
        <f>SUM(S192:S201)</f>
        <v>674751175</v>
      </c>
      <c r="AG201" s="21">
        <f t="shared" si="149"/>
        <v>52773012.5</v>
      </c>
    </row>
    <row r="202" spans="1:33" x14ac:dyDescent="0.2">
      <c r="A202">
        <v>11</v>
      </c>
      <c r="B202" t="s">
        <v>338</v>
      </c>
      <c r="C202" s="18" t="s">
        <v>102</v>
      </c>
      <c r="D202" s="22">
        <f>$D200</f>
        <v>3924000000</v>
      </c>
      <c r="E202" s="22">
        <f>$E200</f>
        <v>5268000000</v>
      </c>
      <c r="F202" s="22">
        <f>$F200</f>
        <v>7339000000</v>
      </c>
      <c r="G202" s="23">
        <f t="shared" ref="G202:G211" si="151">$G$13</f>
        <v>20</v>
      </c>
      <c r="H202" s="4">
        <v>105708000</v>
      </c>
      <c r="I202" s="20">
        <f t="shared" si="150"/>
        <v>5285400</v>
      </c>
      <c r="J202" s="20"/>
      <c r="K202" s="20"/>
      <c r="L202" s="20"/>
      <c r="M202" s="20"/>
      <c r="N202" s="20"/>
      <c r="O202" s="20"/>
      <c r="P202" s="20"/>
      <c r="Q202" s="20"/>
      <c r="R202" s="20"/>
      <c r="S202" s="20"/>
      <c r="T202" s="20">
        <f>+H202-I202</f>
        <v>100422600</v>
      </c>
      <c r="U202" s="20">
        <f t="shared" si="140"/>
        <v>95137200</v>
      </c>
      <c r="V202" s="20">
        <f t="shared" si="141"/>
        <v>89851800</v>
      </c>
      <c r="W202" s="20">
        <f t="shared" si="142"/>
        <v>84566400</v>
      </c>
      <c r="X202" s="20">
        <f t="shared" si="143"/>
        <v>79281000</v>
      </c>
      <c r="Y202" s="20">
        <f t="shared" si="144"/>
        <v>73995600</v>
      </c>
      <c r="Z202" s="20">
        <f t="shared" si="145"/>
        <v>68710200</v>
      </c>
      <c r="AA202" s="20">
        <f t="shared" si="146"/>
        <v>63424800</v>
      </c>
      <c r="AB202" s="20">
        <f t="shared" si="147"/>
        <v>58139400</v>
      </c>
      <c r="AC202" s="20">
        <f t="shared" si="148"/>
        <v>52854000</v>
      </c>
      <c r="AE202" s="21">
        <f>SUM(I192:I202)</f>
        <v>52045387.5</v>
      </c>
      <c r="AF202" s="21">
        <f>SUM(T192:T202)</f>
        <v>728413787.5</v>
      </c>
      <c r="AG202" s="21">
        <f t="shared" si="149"/>
        <v>53662612.5</v>
      </c>
    </row>
    <row r="203" spans="1:33" x14ac:dyDescent="0.2">
      <c r="A203">
        <v>12</v>
      </c>
      <c r="B203" t="s">
        <v>338</v>
      </c>
      <c r="C203" s="18" t="s">
        <v>101</v>
      </c>
      <c r="D203" s="22">
        <f>$D200</f>
        <v>3924000000</v>
      </c>
      <c r="E203" s="22">
        <f>$E200</f>
        <v>5268000000</v>
      </c>
      <c r="F203" s="22">
        <f>$F200</f>
        <v>7339000000</v>
      </c>
      <c r="G203" s="23">
        <f t="shared" si="151"/>
        <v>20</v>
      </c>
      <c r="H203" s="4">
        <v>109283000</v>
      </c>
      <c r="I203" s="20">
        <f t="shared" si="150"/>
        <v>5464150</v>
      </c>
      <c r="J203" s="20"/>
      <c r="K203" s="20"/>
      <c r="L203" s="20"/>
      <c r="M203" s="20"/>
      <c r="N203" s="20"/>
      <c r="O203" s="20"/>
      <c r="P203" s="20"/>
      <c r="Q203" s="20"/>
      <c r="R203" s="20"/>
      <c r="S203" s="20"/>
      <c r="T203" s="20"/>
      <c r="U203" s="20">
        <f>+H203-I203</f>
        <v>103818850</v>
      </c>
      <c r="V203" s="20">
        <f t="shared" si="141"/>
        <v>98354700</v>
      </c>
      <c r="W203" s="20">
        <f t="shared" si="142"/>
        <v>92890550</v>
      </c>
      <c r="X203" s="20">
        <f t="shared" si="143"/>
        <v>87426400</v>
      </c>
      <c r="Y203" s="20">
        <f t="shared" si="144"/>
        <v>81962250</v>
      </c>
      <c r="Z203" s="20">
        <f t="shared" si="145"/>
        <v>76498100</v>
      </c>
      <c r="AA203" s="20">
        <f t="shared" si="146"/>
        <v>71033950</v>
      </c>
      <c r="AB203" s="20">
        <f t="shared" si="147"/>
        <v>65569800</v>
      </c>
      <c r="AC203" s="20">
        <f t="shared" si="148"/>
        <v>60105650</v>
      </c>
      <c r="AE203" s="21">
        <f>SUM(I192:I203)</f>
        <v>57509537.5</v>
      </c>
      <c r="AF203" s="21">
        <f>SUM(U192:U203)</f>
        <v>780187250</v>
      </c>
      <c r="AG203" s="21">
        <f t="shared" si="149"/>
        <v>51773462.5</v>
      </c>
    </row>
    <row r="204" spans="1:33" x14ac:dyDescent="0.2">
      <c r="A204">
        <v>13</v>
      </c>
      <c r="B204" t="s">
        <v>338</v>
      </c>
      <c r="C204" s="18" t="s">
        <v>100</v>
      </c>
      <c r="D204" s="22">
        <f>$D200</f>
        <v>3924000000</v>
      </c>
      <c r="E204" s="22">
        <f>$E200</f>
        <v>5268000000</v>
      </c>
      <c r="F204" s="22">
        <f>$F200</f>
        <v>7339000000</v>
      </c>
      <c r="G204" s="23">
        <f t="shared" si="151"/>
        <v>20</v>
      </c>
      <c r="H204" s="4">
        <v>110040000</v>
      </c>
      <c r="I204" s="20">
        <f t="shared" si="150"/>
        <v>5502000</v>
      </c>
      <c r="J204" s="20"/>
      <c r="K204" s="20"/>
      <c r="L204" s="20"/>
      <c r="M204" s="20"/>
      <c r="N204" s="20"/>
      <c r="O204" s="20"/>
      <c r="P204" s="20"/>
      <c r="Q204" s="20"/>
      <c r="R204" s="20"/>
      <c r="S204" s="20"/>
      <c r="T204" s="20"/>
      <c r="U204" s="20"/>
      <c r="V204" s="20">
        <f>+H204-I204</f>
        <v>104538000</v>
      </c>
      <c r="W204" s="20">
        <f t="shared" si="142"/>
        <v>99036000</v>
      </c>
      <c r="X204" s="20">
        <f t="shared" si="143"/>
        <v>93534000</v>
      </c>
      <c r="Y204" s="20">
        <f t="shared" si="144"/>
        <v>88032000</v>
      </c>
      <c r="Z204" s="20">
        <f t="shared" si="145"/>
        <v>82530000</v>
      </c>
      <c r="AA204" s="20">
        <f t="shared" si="146"/>
        <v>77028000</v>
      </c>
      <c r="AB204" s="20">
        <f t="shared" si="147"/>
        <v>71526000</v>
      </c>
      <c r="AC204" s="20">
        <f t="shared" si="148"/>
        <v>66024000</v>
      </c>
      <c r="AE204" s="21">
        <f>SUM(I192:I204)</f>
        <v>63011537.5</v>
      </c>
      <c r="AF204" s="21">
        <f>SUM(V192:V204)</f>
        <v>827215712.5</v>
      </c>
      <c r="AG204" s="21">
        <f t="shared" si="149"/>
        <v>47028462.5</v>
      </c>
    </row>
    <row r="205" spans="1:33" x14ac:dyDescent="0.2">
      <c r="A205">
        <v>14</v>
      </c>
      <c r="B205" t="s">
        <v>338</v>
      </c>
      <c r="C205" s="18" t="s">
        <v>99</v>
      </c>
      <c r="D205" s="22">
        <f>$D200</f>
        <v>3924000000</v>
      </c>
      <c r="E205" s="22">
        <f>$E200</f>
        <v>5268000000</v>
      </c>
      <c r="F205" s="22">
        <f>$F200</f>
        <v>7339000000</v>
      </c>
      <c r="G205" s="23">
        <f t="shared" si="151"/>
        <v>20</v>
      </c>
      <c r="H205" s="4">
        <v>108781000</v>
      </c>
      <c r="I205" s="20">
        <f t="shared" si="150"/>
        <v>5439050</v>
      </c>
      <c r="J205" s="20"/>
      <c r="K205" s="20"/>
      <c r="L205" s="20"/>
      <c r="M205" s="20"/>
      <c r="N205" s="20"/>
      <c r="O205" s="20"/>
      <c r="P205" s="20"/>
      <c r="Q205" s="20"/>
      <c r="R205" s="20"/>
      <c r="S205" s="20"/>
      <c r="T205" s="20"/>
      <c r="U205" s="20"/>
      <c r="V205" s="20"/>
      <c r="W205" s="20">
        <f>+H205-I205</f>
        <v>103341950</v>
      </c>
      <c r="X205" s="20">
        <f t="shared" si="143"/>
        <v>97902900</v>
      </c>
      <c r="Y205" s="20">
        <f t="shared" si="144"/>
        <v>92463850</v>
      </c>
      <c r="Z205" s="20">
        <f t="shared" si="145"/>
        <v>87024800</v>
      </c>
      <c r="AA205" s="20">
        <f t="shared" si="146"/>
        <v>81585750</v>
      </c>
      <c r="AB205" s="20">
        <f t="shared" si="147"/>
        <v>76146700</v>
      </c>
      <c r="AC205" s="20">
        <f t="shared" si="148"/>
        <v>70707650</v>
      </c>
      <c r="AE205" s="21">
        <f>SUM(I192:I205)</f>
        <v>68450587.5</v>
      </c>
      <c r="AF205" s="21">
        <f>SUM(W192:W205)</f>
        <v>867546125</v>
      </c>
      <c r="AG205" s="21">
        <f t="shared" si="149"/>
        <v>40330412.5</v>
      </c>
    </row>
    <row r="206" spans="1:33" x14ac:dyDescent="0.2">
      <c r="A206">
        <v>15</v>
      </c>
      <c r="B206" t="s">
        <v>338</v>
      </c>
      <c r="C206" s="18" t="s">
        <v>98</v>
      </c>
      <c r="D206" s="22">
        <f>$D200</f>
        <v>3924000000</v>
      </c>
      <c r="E206" s="22">
        <f>$E200</f>
        <v>5268000000</v>
      </c>
      <c r="F206" s="22">
        <f>$F200</f>
        <v>7339000000</v>
      </c>
      <c r="G206" s="23">
        <f t="shared" si="151"/>
        <v>20</v>
      </c>
      <c r="H206" s="4">
        <v>117555000</v>
      </c>
      <c r="I206" s="20">
        <f t="shared" si="150"/>
        <v>5877750</v>
      </c>
      <c r="J206" s="20"/>
      <c r="K206" s="20"/>
      <c r="L206" s="20"/>
      <c r="M206" s="20"/>
      <c r="N206" s="20"/>
      <c r="O206" s="20"/>
      <c r="P206" s="20"/>
      <c r="Q206" s="20"/>
      <c r="R206" s="20"/>
      <c r="S206" s="20"/>
      <c r="T206" s="20"/>
      <c r="U206" s="20"/>
      <c r="V206" s="20"/>
      <c r="W206" s="20"/>
      <c r="X206" s="20">
        <f>+H206-I206</f>
        <v>111677250</v>
      </c>
      <c r="Y206" s="20">
        <f t="shared" si="144"/>
        <v>105799500</v>
      </c>
      <c r="Z206" s="20">
        <f t="shared" si="145"/>
        <v>99921750</v>
      </c>
      <c r="AA206" s="20">
        <f t="shared" si="146"/>
        <v>94044000</v>
      </c>
      <c r="AB206" s="20">
        <f t="shared" si="147"/>
        <v>88166250</v>
      </c>
      <c r="AC206" s="20">
        <f t="shared" si="148"/>
        <v>82288500</v>
      </c>
      <c r="AE206" s="21">
        <f>SUM(I192:I206)</f>
        <v>74328337.5</v>
      </c>
      <c r="AF206" s="21">
        <f>SUM(X192:X206)</f>
        <v>910772787.5</v>
      </c>
      <c r="AG206" s="21">
        <f t="shared" si="149"/>
        <v>43226662.5</v>
      </c>
    </row>
    <row r="207" spans="1:33" x14ac:dyDescent="0.2">
      <c r="A207">
        <v>16</v>
      </c>
      <c r="B207" t="s">
        <v>338</v>
      </c>
      <c r="C207" s="18" t="s">
        <v>97</v>
      </c>
      <c r="D207" s="22">
        <f>$D200</f>
        <v>3924000000</v>
      </c>
      <c r="E207" s="22">
        <f>$E200</f>
        <v>5268000000</v>
      </c>
      <c r="F207" s="22">
        <f>$F200</f>
        <v>7339000000</v>
      </c>
      <c r="G207" s="23">
        <f t="shared" si="151"/>
        <v>20</v>
      </c>
      <c r="H207" s="4">
        <v>171502000</v>
      </c>
      <c r="I207" s="20">
        <f t="shared" si="150"/>
        <v>8575100</v>
      </c>
      <c r="J207" s="20"/>
      <c r="K207" s="20"/>
      <c r="L207" s="20"/>
      <c r="M207" s="20"/>
      <c r="N207" s="20"/>
      <c r="O207" s="20"/>
      <c r="P207" s="20"/>
      <c r="Q207" s="20"/>
      <c r="R207" s="20"/>
      <c r="S207" s="20"/>
      <c r="T207" s="20"/>
      <c r="U207" s="20"/>
      <c r="V207" s="20"/>
      <c r="W207" s="20"/>
      <c r="X207" s="20"/>
      <c r="Y207" s="20">
        <f>+H207-I207</f>
        <v>162926900</v>
      </c>
      <c r="Z207" s="20">
        <f t="shared" si="145"/>
        <v>154351800</v>
      </c>
      <c r="AA207" s="20">
        <f t="shared" si="146"/>
        <v>145776700</v>
      </c>
      <c r="AB207" s="20">
        <f t="shared" si="147"/>
        <v>137201600</v>
      </c>
      <c r="AC207" s="20">
        <f t="shared" si="148"/>
        <v>128626500</v>
      </c>
      <c r="AE207" s="21">
        <f>SUM(I192:I207)</f>
        <v>82903437.5</v>
      </c>
      <c r="AF207" s="21">
        <f>SUM(Y192:Y207)</f>
        <v>999371350</v>
      </c>
      <c r="AG207" s="21">
        <f t="shared" si="149"/>
        <v>88598562.5</v>
      </c>
    </row>
    <row r="208" spans="1:33" x14ac:dyDescent="0.2">
      <c r="A208">
        <v>17</v>
      </c>
      <c r="B208" t="s">
        <v>338</v>
      </c>
      <c r="C208" s="18" t="s">
        <v>96</v>
      </c>
      <c r="D208" s="22">
        <f>$D200</f>
        <v>3924000000</v>
      </c>
      <c r="E208" s="22">
        <f>$E200</f>
        <v>5268000000</v>
      </c>
      <c r="F208" s="22">
        <f>$F200</f>
        <v>7339000000</v>
      </c>
      <c r="G208" s="23">
        <f t="shared" si="151"/>
        <v>20</v>
      </c>
      <c r="H208" s="4">
        <v>134889000</v>
      </c>
      <c r="I208" s="20">
        <f t="shared" si="150"/>
        <v>6744450</v>
      </c>
      <c r="J208" s="20"/>
      <c r="K208" s="20"/>
      <c r="L208" s="20"/>
      <c r="M208" s="20"/>
      <c r="N208" s="20"/>
      <c r="O208" s="20"/>
      <c r="P208" s="20"/>
      <c r="Q208" s="20"/>
      <c r="R208" s="20"/>
      <c r="S208" s="20"/>
      <c r="T208" s="20"/>
      <c r="U208" s="20"/>
      <c r="V208" s="20"/>
      <c r="W208" s="20"/>
      <c r="X208" s="20"/>
      <c r="Y208" s="20"/>
      <c r="Z208" s="20">
        <f>+H208-I208</f>
        <v>128144550</v>
      </c>
      <c r="AA208" s="20">
        <f t="shared" si="146"/>
        <v>121400100</v>
      </c>
      <c r="AB208" s="20">
        <f t="shared" si="147"/>
        <v>114655650</v>
      </c>
      <c r="AC208" s="20">
        <f t="shared" si="148"/>
        <v>107911200</v>
      </c>
      <c r="AE208" s="21">
        <f>SUM(I192:I208)</f>
        <v>89647887.5</v>
      </c>
      <c r="AF208" s="21">
        <f>SUM(Z192:Z208)</f>
        <v>1044612462.5</v>
      </c>
      <c r="AG208" s="21">
        <f t="shared" si="149"/>
        <v>45241112.5</v>
      </c>
    </row>
    <row r="209" spans="1:33" x14ac:dyDescent="0.2">
      <c r="A209">
        <v>18</v>
      </c>
      <c r="B209" t="s">
        <v>338</v>
      </c>
      <c r="C209" s="18" t="s">
        <v>95</v>
      </c>
      <c r="D209" s="22">
        <f>$D200</f>
        <v>3924000000</v>
      </c>
      <c r="E209" s="22">
        <f>$E200</f>
        <v>5268000000</v>
      </c>
      <c r="F209" s="22">
        <f>$F200</f>
        <v>7339000000</v>
      </c>
      <c r="G209" s="23">
        <f t="shared" si="151"/>
        <v>20</v>
      </c>
      <c r="H209" s="4">
        <v>135043000</v>
      </c>
      <c r="I209" s="20">
        <f t="shared" si="150"/>
        <v>6752150</v>
      </c>
      <c r="J209" s="20"/>
      <c r="K209" s="20"/>
      <c r="L209" s="20"/>
      <c r="M209" s="20"/>
      <c r="N209" s="20"/>
      <c r="O209" s="20"/>
      <c r="P209" s="20"/>
      <c r="Q209" s="20"/>
      <c r="R209" s="20"/>
      <c r="S209" s="20"/>
      <c r="T209" s="20"/>
      <c r="U209" s="20"/>
      <c r="V209" s="20"/>
      <c r="W209" s="20"/>
      <c r="X209" s="20"/>
      <c r="Y209" s="20"/>
      <c r="Z209" s="20"/>
      <c r="AA209" s="20">
        <f>+H209-I209</f>
        <v>128290850</v>
      </c>
      <c r="AB209" s="20">
        <f t="shared" si="147"/>
        <v>121538700</v>
      </c>
      <c r="AC209" s="20">
        <f t="shared" si="148"/>
        <v>114786550</v>
      </c>
      <c r="AE209" s="21">
        <f>SUM(I192:I209)</f>
        <v>96400037.5</v>
      </c>
      <c r="AF209" s="21">
        <f>SUM(AA192:AA209)</f>
        <v>1083255425</v>
      </c>
      <c r="AG209" s="21">
        <f t="shared" si="149"/>
        <v>38642962.5</v>
      </c>
    </row>
    <row r="210" spans="1:33" x14ac:dyDescent="0.2">
      <c r="A210">
        <v>19</v>
      </c>
      <c r="B210" t="s">
        <v>338</v>
      </c>
      <c r="C210" s="18" t="s">
        <v>94</v>
      </c>
      <c r="D210" s="22">
        <f>$D200</f>
        <v>3924000000</v>
      </c>
      <c r="E210" s="22">
        <f>$E200</f>
        <v>5268000000</v>
      </c>
      <c r="F210" s="22">
        <f>$F200</f>
        <v>7339000000</v>
      </c>
      <c r="G210" s="23">
        <f t="shared" si="151"/>
        <v>20</v>
      </c>
      <c r="H210" s="4">
        <v>144191000</v>
      </c>
      <c r="I210" s="20">
        <f t="shared" si="150"/>
        <v>7209550</v>
      </c>
      <c r="J210" s="20"/>
      <c r="K210" s="20"/>
      <c r="L210" s="20"/>
      <c r="M210" s="20"/>
      <c r="N210" s="20"/>
      <c r="O210" s="20"/>
      <c r="P210" s="20"/>
      <c r="Q210" s="20"/>
      <c r="R210" s="20"/>
      <c r="S210" s="20"/>
      <c r="T210" s="20"/>
      <c r="U210" s="20"/>
      <c r="V210" s="20"/>
      <c r="W210" s="20"/>
      <c r="X210" s="20"/>
      <c r="Y210" s="20"/>
      <c r="Z210" s="20"/>
      <c r="AA210" s="20"/>
      <c r="AB210" s="20">
        <f>+H210-I210</f>
        <v>136981450</v>
      </c>
      <c r="AC210" s="20">
        <f t="shared" si="148"/>
        <v>129771900</v>
      </c>
      <c r="AE210" s="21">
        <f>SUM(I192:I210)</f>
        <v>103609587.5</v>
      </c>
      <c r="AF210" s="21">
        <f>SUM(AB192:AB210)</f>
        <v>1123836837.5</v>
      </c>
      <c r="AG210" s="21">
        <f t="shared" si="149"/>
        <v>40581412.5</v>
      </c>
    </row>
    <row r="211" spans="1:33" x14ac:dyDescent="0.2">
      <c r="A211">
        <v>20</v>
      </c>
      <c r="B211" t="s">
        <v>338</v>
      </c>
      <c r="C211" s="18" t="s">
        <v>93</v>
      </c>
      <c r="D211" s="22">
        <f>$D200</f>
        <v>3924000000</v>
      </c>
      <c r="E211" s="22">
        <f>$E200</f>
        <v>5268000000</v>
      </c>
      <c r="F211" s="22">
        <f>$F200</f>
        <v>7339000000</v>
      </c>
      <c r="G211" s="23">
        <f t="shared" si="151"/>
        <v>20</v>
      </c>
      <c r="H211" s="4">
        <v>143554000</v>
      </c>
      <c r="I211" s="20">
        <f t="shared" si="150"/>
        <v>7177700</v>
      </c>
      <c r="J211" s="20"/>
      <c r="K211" s="20"/>
      <c r="L211" s="20"/>
      <c r="M211" s="20"/>
      <c r="N211" s="20"/>
      <c r="O211" s="20"/>
      <c r="P211" s="20"/>
      <c r="Q211" s="20"/>
      <c r="R211" s="20"/>
      <c r="S211" s="20"/>
      <c r="T211" s="20"/>
      <c r="U211" s="20"/>
      <c r="V211" s="20"/>
      <c r="W211" s="20"/>
      <c r="X211" s="20"/>
      <c r="Y211" s="20"/>
      <c r="Z211" s="20"/>
      <c r="AA211" s="20"/>
      <c r="AB211" s="20"/>
      <c r="AC211" s="20">
        <f>+H211-I211</f>
        <v>136376300</v>
      </c>
      <c r="AE211" s="21">
        <f>SUM(I192:I211)</f>
        <v>110787287.5</v>
      </c>
      <c r="AF211" s="21">
        <f>SUM(AC192:AC211)</f>
        <v>1156603550</v>
      </c>
      <c r="AG211" s="21">
        <f t="shared" si="149"/>
        <v>32766712.5</v>
      </c>
    </row>
    <row r="214" spans="1:33" x14ac:dyDescent="0.2">
      <c r="C214" t="s">
        <v>338</v>
      </c>
    </row>
    <row r="215" spans="1:33" x14ac:dyDescent="0.2">
      <c r="C215" s="6" t="s">
        <v>107</v>
      </c>
      <c r="D215" s="6" t="s">
        <v>438</v>
      </c>
      <c r="E215" s="6" t="s">
        <v>439</v>
      </c>
      <c r="F215" s="6" t="s">
        <v>440</v>
      </c>
      <c r="G215" s="6" t="s">
        <v>441</v>
      </c>
      <c r="H215" s="6" t="s">
        <v>442</v>
      </c>
      <c r="I215" s="15"/>
      <c r="J215" s="6" t="s">
        <v>443</v>
      </c>
      <c r="K215" s="6" t="s">
        <v>444</v>
      </c>
      <c r="L215" s="6" t="s">
        <v>445</v>
      </c>
      <c r="M215" s="6" t="s">
        <v>446</v>
      </c>
      <c r="N215" s="6" t="s">
        <v>447</v>
      </c>
      <c r="O215" s="6" t="s">
        <v>448</v>
      </c>
      <c r="P215" s="6" t="s">
        <v>449</v>
      </c>
      <c r="Q215" s="6" t="s">
        <v>450</v>
      </c>
      <c r="R215" s="6" t="s">
        <v>451</v>
      </c>
      <c r="S215" s="6" t="s">
        <v>452</v>
      </c>
      <c r="T215" s="6" t="s">
        <v>453</v>
      </c>
      <c r="U215" s="6" t="s">
        <v>454</v>
      </c>
      <c r="V215" s="6" t="s">
        <v>455</v>
      </c>
      <c r="W215" s="6" t="s">
        <v>456</v>
      </c>
      <c r="X215" s="6" t="s">
        <v>457</v>
      </c>
      <c r="Y215" s="6" t="s">
        <v>458</v>
      </c>
      <c r="Z215" s="6" t="s">
        <v>459</v>
      </c>
      <c r="AA215" s="6" t="s">
        <v>460</v>
      </c>
      <c r="AB215" s="6" t="s">
        <v>461</v>
      </c>
      <c r="AC215" s="6" t="s">
        <v>462</v>
      </c>
      <c r="AD215" s="15"/>
      <c r="AE215" s="6" t="s">
        <v>106</v>
      </c>
      <c r="AF215" s="6" t="s">
        <v>105</v>
      </c>
      <c r="AG215" s="6" t="s">
        <v>463</v>
      </c>
    </row>
    <row r="216" spans="1:33" x14ac:dyDescent="0.2">
      <c r="C216" s="16" t="s">
        <v>464</v>
      </c>
      <c r="J216" s="17">
        <v>20</v>
      </c>
      <c r="K216" s="17">
        <v>19</v>
      </c>
      <c r="L216" s="17">
        <v>18</v>
      </c>
      <c r="M216" s="17">
        <v>17</v>
      </c>
      <c r="N216" s="17">
        <v>16</v>
      </c>
      <c r="O216" s="17">
        <v>15</v>
      </c>
      <c r="P216" s="17">
        <v>14</v>
      </c>
      <c r="Q216" s="17">
        <v>13</v>
      </c>
      <c r="R216" s="17">
        <v>12</v>
      </c>
      <c r="S216" s="17">
        <v>11</v>
      </c>
      <c r="T216" s="17">
        <v>10</v>
      </c>
      <c r="U216" s="17">
        <v>9</v>
      </c>
      <c r="V216" s="17">
        <v>8</v>
      </c>
      <c r="W216" s="17">
        <v>7</v>
      </c>
      <c r="X216" s="17">
        <v>6</v>
      </c>
      <c r="Y216" s="17">
        <v>5</v>
      </c>
      <c r="Z216" s="17">
        <v>4</v>
      </c>
      <c r="AA216" s="17">
        <v>3</v>
      </c>
      <c r="AB216" s="17">
        <v>2</v>
      </c>
      <c r="AC216" s="17">
        <v>1</v>
      </c>
    </row>
    <row r="217" spans="1:33" x14ac:dyDescent="0.2">
      <c r="B217" t="s">
        <v>338</v>
      </c>
      <c r="C217" s="5" t="s">
        <v>104</v>
      </c>
      <c r="D217" s="4">
        <v>560660000</v>
      </c>
      <c r="E217" s="4">
        <v>387487000</v>
      </c>
      <c r="F217" s="4">
        <v>359679000</v>
      </c>
      <c r="G217" s="19">
        <v>20</v>
      </c>
      <c r="H217" s="4">
        <v>90100000</v>
      </c>
      <c r="J217" s="20">
        <f t="shared" ref="J217:J228" si="152">H217</f>
        <v>90100000</v>
      </c>
      <c r="K217" s="20">
        <f>$F217/4</f>
        <v>89919750</v>
      </c>
      <c r="L217" s="20">
        <f>$F217/4</f>
        <v>89919750</v>
      </c>
      <c r="M217" s="20">
        <f>$F217/4</f>
        <v>89919750</v>
      </c>
      <c r="N217" s="20">
        <f>$F217/4</f>
        <v>89919750</v>
      </c>
      <c r="O217" s="20">
        <f>$E217/4</f>
        <v>96871750</v>
      </c>
      <c r="P217" s="20">
        <f>$E217/4</f>
        <v>96871750</v>
      </c>
      <c r="Q217" s="20">
        <f>$E217/4</f>
        <v>96871750</v>
      </c>
      <c r="R217" s="20">
        <f>$E217/4</f>
        <v>96871750</v>
      </c>
      <c r="S217" s="20">
        <f>$D217/4</f>
        <v>140165000</v>
      </c>
      <c r="T217" s="20">
        <f>$D217/4</f>
        <v>140165000</v>
      </c>
      <c r="U217" s="20">
        <f>$D217/4</f>
        <v>140165000</v>
      </c>
      <c r="V217" s="20">
        <f>$D217/4</f>
        <v>140165000</v>
      </c>
      <c r="W217" s="20">
        <v>0</v>
      </c>
      <c r="X217" s="20">
        <v>0</v>
      </c>
      <c r="Y217" s="20">
        <v>0</v>
      </c>
      <c r="Z217" s="20">
        <v>0</v>
      </c>
      <c r="AA217" s="20">
        <v>0</v>
      </c>
      <c r="AB217" s="20">
        <v>0</v>
      </c>
      <c r="AC217" s="20">
        <v>0</v>
      </c>
      <c r="AE217" s="21">
        <f>SUM(J217:AC217)/$G217</f>
        <v>69896300</v>
      </c>
      <c r="AF217" s="21">
        <f>SUMPRODUCT($J$216:$AC$216,J217:AC217)/$G217</f>
        <v>932686350</v>
      </c>
      <c r="AG217" s="21">
        <f t="shared" ref="AG217:AG228" si="153">H217-AE217</f>
        <v>20203700</v>
      </c>
    </row>
    <row r="218" spans="1:33" x14ac:dyDescent="0.2">
      <c r="B218" t="s">
        <v>338</v>
      </c>
      <c r="C218" s="5" t="s">
        <v>103</v>
      </c>
      <c r="D218" s="22">
        <f>$D217</f>
        <v>560660000</v>
      </c>
      <c r="E218" s="22">
        <f>$E217</f>
        <v>387487000</v>
      </c>
      <c r="F218" s="22">
        <f>$F217</f>
        <v>359679000</v>
      </c>
      <c r="G218" s="23">
        <f>$G$217</f>
        <v>20</v>
      </c>
      <c r="H218" s="4">
        <v>99533000</v>
      </c>
      <c r="J218" s="20">
        <f t="shared" si="152"/>
        <v>99533000</v>
      </c>
      <c r="K218" s="20">
        <f t="shared" ref="K218:K228" si="154">H217</f>
        <v>90100000</v>
      </c>
      <c r="L218" s="20">
        <f>$F217/4</f>
        <v>89919750</v>
      </c>
      <c r="M218" s="20">
        <f>$F217/4</f>
        <v>89919750</v>
      </c>
      <c r="N218" s="20">
        <f>$F217/4</f>
        <v>89919750</v>
      </c>
      <c r="O218" s="20">
        <f>$F217/4</f>
        <v>89919750</v>
      </c>
      <c r="P218" s="20">
        <f>$E217/4</f>
        <v>96871750</v>
      </c>
      <c r="Q218" s="20">
        <f>$E217/4</f>
        <v>96871750</v>
      </c>
      <c r="R218" s="20">
        <f>$E217/4</f>
        <v>96871750</v>
      </c>
      <c r="S218" s="20">
        <f>$E217/4</f>
        <v>96871750</v>
      </c>
      <c r="T218" s="20">
        <f>$D217/4</f>
        <v>140165000</v>
      </c>
      <c r="U218" s="20">
        <f>$D217/4</f>
        <v>140165000</v>
      </c>
      <c r="V218" s="20">
        <f>$D217/4</f>
        <v>140165000</v>
      </c>
      <c r="W218" s="20">
        <f>$D217/4</f>
        <v>140165000</v>
      </c>
      <c r="X218" s="20">
        <v>0</v>
      </c>
      <c r="Y218" s="20">
        <v>0</v>
      </c>
      <c r="Z218" s="20">
        <v>0</v>
      </c>
      <c r="AA218" s="20">
        <v>0</v>
      </c>
      <c r="AB218" s="20">
        <v>0</v>
      </c>
      <c r="AC218" s="20">
        <v>0</v>
      </c>
      <c r="AE218" s="21">
        <f t="shared" ref="AE218:AE228" si="155">SUM(J218:AC218)/$G218</f>
        <v>74872950</v>
      </c>
      <c r="AF218" s="21">
        <f t="shared" ref="AF218:AF228" si="156">SUMPRODUCT($J$216:$AC$216,J218:AC218)/$G218</f>
        <v>962323050</v>
      </c>
      <c r="AG218" s="21">
        <f t="shared" si="153"/>
        <v>24660050</v>
      </c>
    </row>
    <row r="219" spans="1:33" x14ac:dyDescent="0.2">
      <c r="B219" t="s">
        <v>338</v>
      </c>
      <c r="C219" s="5" t="s">
        <v>102</v>
      </c>
      <c r="D219" s="22">
        <f>$D217</f>
        <v>560660000</v>
      </c>
      <c r="E219" s="22">
        <f>$E217</f>
        <v>387487000</v>
      </c>
      <c r="F219" s="22">
        <f>$F217</f>
        <v>359679000</v>
      </c>
      <c r="G219" s="23">
        <f t="shared" ref="G219:G228" si="157">$G$217</f>
        <v>20</v>
      </c>
      <c r="H219" s="4">
        <v>105708000</v>
      </c>
      <c r="J219" s="20">
        <f t="shared" si="152"/>
        <v>105708000</v>
      </c>
      <c r="K219" s="20">
        <f t="shared" si="154"/>
        <v>99533000</v>
      </c>
      <c r="L219" s="20">
        <f t="shared" ref="L219:L228" si="158">H217</f>
        <v>90100000</v>
      </c>
      <c r="M219" s="20">
        <f>$F217/4</f>
        <v>89919750</v>
      </c>
      <c r="N219" s="20">
        <f>$F217/4</f>
        <v>89919750</v>
      </c>
      <c r="O219" s="20">
        <f>$F217/4</f>
        <v>89919750</v>
      </c>
      <c r="P219" s="20">
        <f>$F217/4</f>
        <v>89919750</v>
      </c>
      <c r="Q219" s="20">
        <f>$E217/4</f>
        <v>96871750</v>
      </c>
      <c r="R219" s="20">
        <f>$E217/4</f>
        <v>96871750</v>
      </c>
      <c r="S219" s="20">
        <f>$E217/4</f>
        <v>96871750</v>
      </c>
      <c r="T219" s="20">
        <f>$E217/4</f>
        <v>96871750</v>
      </c>
      <c r="U219" s="20">
        <f>$D217/4</f>
        <v>140165000</v>
      </c>
      <c r="V219" s="20">
        <f>$D217/4</f>
        <v>140165000</v>
      </c>
      <c r="W219" s="20">
        <f>$D217/4</f>
        <v>140165000</v>
      </c>
      <c r="X219" s="20">
        <f>$D217/4</f>
        <v>140165000</v>
      </c>
      <c r="Y219" s="20">
        <v>0</v>
      </c>
      <c r="Z219" s="20">
        <v>0</v>
      </c>
      <c r="AA219" s="20">
        <v>0</v>
      </c>
      <c r="AB219" s="20">
        <v>0</v>
      </c>
      <c r="AC219" s="20">
        <v>0</v>
      </c>
      <c r="AE219" s="21">
        <f t="shared" si="155"/>
        <v>80158350</v>
      </c>
      <c r="AF219" s="21">
        <f t="shared" si="156"/>
        <v>993158100</v>
      </c>
      <c r="AG219" s="21">
        <f t="shared" si="153"/>
        <v>25549650</v>
      </c>
    </row>
    <row r="220" spans="1:33" x14ac:dyDescent="0.2">
      <c r="B220" t="s">
        <v>338</v>
      </c>
      <c r="C220" s="5" t="s">
        <v>101</v>
      </c>
      <c r="D220" s="22">
        <f>$D217</f>
        <v>560660000</v>
      </c>
      <c r="E220" s="22">
        <f>$E217</f>
        <v>387487000</v>
      </c>
      <c r="F220" s="22">
        <f>$F217</f>
        <v>359679000</v>
      </c>
      <c r="G220" s="23">
        <f t="shared" si="157"/>
        <v>20</v>
      </c>
      <c r="H220" s="4">
        <v>109283000</v>
      </c>
      <c r="J220" s="20">
        <f t="shared" si="152"/>
        <v>109283000</v>
      </c>
      <c r="K220" s="20">
        <f t="shared" si="154"/>
        <v>105708000</v>
      </c>
      <c r="L220" s="20">
        <f t="shared" si="158"/>
        <v>99533000</v>
      </c>
      <c r="M220" s="20">
        <f t="shared" ref="M220:M228" si="159">H217</f>
        <v>90100000</v>
      </c>
      <c r="N220" s="20">
        <f>$F217/4</f>
        <v>89919750</v>
      </c>
      <c r="O220" s="20">
        <f>$F217/4</f>
        <v>89919750</v>
      </c>
      <c r="P220" s="20">
        <f>$F217/4</f>
        <v>89919750</v>
      </c>
      <c r="Q220" s="20">
        <f>$F217/4</f>
        <v>89919750</v>
      </c>
      <c r="R220" s="20">
        <f>$E217/4</f>
        <v>96871750</v>
      </c>
      <c r="S220" s="20">
        <f>$E217/4</f>
        <v>96871750</v>
      </c>
      <c r="T220" s="20">
        <f>$E217/4</f>
        <v>96871750</v>
      </c>
      <c r="U220" s="20">
        <f>$E217/4</f>
        <v>96871750</v>
      </c>
      <c r="V220" s="20">
        <f>$D217/4</f>
        <v>140165000</v>
      </c>
      <c r="W220" s="20">
        <f>$D217/4</f>
        <v>140165000</v>
      </c>
      <c r="X220" s="20">
        <f>$D217/4</f>
        <v>140165000</v>
      </c>
      <c r="Y220" s="20">
        <f>$D217/4</f>
        <v>140165000</v>
      </c>
      <c r="Z220" s="20">
        <v>0</v>
      </c>
      <c r="AA220" s="20">
        <v>0</v>
      </c>
      <c r="AB220" s="20">
        <v>0</v>
      </c>
      <c r="AC220" s="20">
        <v>0</v>
      </c>
      <c r="AE220" s="21">
        <f t="shared" si="155"/>
        <v>85622500</v>
      </c>
      <c r="AF220" s="21">
        <f t="shared" si="156"/>
        <v>1022282750</v>
      </c>
      <c r="AG220" s="21">
        <f t="shared" si="153"/>
        <v>23660500</v>
      </c>
    </row>
    <row r="221" spans="1:33" x14ac:dyDescent="0.2">
      <c r="B221" t="s">
        <v>338</v>
      </c>
      <c r="C221" s="5" t="s">
        <v>100</v>
      </c>
      <c r="D221" s="22">
        <f>$D217</f>
        <v>560660000</v>
      </c>
      <c r="E221" s="22">
        <f>$E217</f>
        <v>387487000</v>
      </c>
      <c r="F221" s="22">
        <f>$F217</f>
        <v>359679000</v>
      </c>
      <c r="G221" s="23">
        <f t="shared" si="157"/>
        <v>20</v>
      </c>
      <c r="H221" s="4">
        <v>110040000</v>
      </c>
      <c r="J221" s="20">
        <f t="shared" si="152"/>
        <v>110040000</v>
      </c>
      <c r="K221" s="20">
        <f t="shared" si="154"/>
        <v>109283000</v>
      </c>
      <c r="L221" s="20">
        <f t="shared" si="158"/>
        <v>105708000</v>
      </c>
      <c r="M221" s="20">
        <f t="shared" si="159"/>
        <v>99533000</v>
      </c>
      <c r="N221" s="20">
        <f t="shared" ref="N221:N228" si="160">H217</f>
        <v>90100000</v>
      </c>
      <c r="O221" s="20">
        <f>$F217/4</f>
        <v>89919750</v>
      </c>
      <c r="P221" s="20">
        <f>$F217/4</f>
        <v>89919750</v>
      </c>
      <c r="Q221" s="20">
        <f>$F217/4</f>
        <v>89919750</v>
      </c>
      <c r="R221" s="20">
        <f>$F217/4</f>
        <v>89919750</v>
      </c>
      <c r="S221" s="20">
        <f>$E217/4</f>
        <v>96871750</v>
      </c>
      <c r="T221" s="20">
        <f>$E217/4</f>
        <v>96871750</v>
      </c>
      <c r="U221" s="20">
        <f>$E217/4</f>
        <v>96871750</v>
      </c>
      <c r="V221" s="20">
        <f>$E217/4</f>
        <v>96871750</v>
      </c>
      <c r="W221" s="20">
        <f>$D217/4</f>
        <v>140165000</v>
      </c>
      <c r="X221" s="20">
        <f>$D217/4</f>
        <v>140165000</v>
      </c>
      <c r="Y221" s="20">
        <f>$D217/4</f>
        <v>140165000</v>
      </c>
      <c r="Z221" s="20">
        <f>$D217/4</f>
        <v>140165000</v>
      </c>
      <c r="AA221" s="20">
        <v>0</v>
      </c>
      <c r="AB221" s="20">
        <v>0</v>
      </c>
      <c r="AC221" s="20">
        <v>0</v>
      </c>
      <c r="AE221" s="21">
        <f t="shared" si="155"/>
        <v>91124500</v>
      </c>
      <c r="AF221" s="21">
        <f t="shared" si="156"/>
        <v>1046700250</v>
      </c>
      <c r="AG221" s="21">
        <f t="shared" si="153"/>
        <v>18915500</v>
      </c>
    </row>
    <row r="222" spans="1:33" x14ac:dyDescent="0.2">
      <c r="B222" t="s">
        <v>338</v>
      </c>
      <c r="C222" s="5" t="s">
        <v>99</v>
      </c>
      <c r="D222" s="22">
        <f>$D217</f>
        <v>560660000</v>
      </c>
      <c r="E222" s="22">
        <f>$E217</f>
        <v>387487000</v>
      </c>
      <c r="F222" s="22">
        <f>$F217</f>
        <v>359679000</v>
      </c>
      <c r="G222" s="23">
        <f t="shared" si="157"/>
        <v>20</v>
      </c>
      <c r="H222" s="4">
        <v>108781000</v>
      </c>
      <c r="J222" s="20">
        <f t="shared" si="152"/>
        <v>108781000</v>
      </c>
      <c r="K222" s="20">
        <f t="shared" si="154"/>
        <v>110040000</v>
      </c>
      <c r="L222" s="20">
        <f t="shared" si="158"/>
        <v>109283000</v>
      </c>
      <c r="M222" s="20">
        <f t="shared" si="159"/>
        <v>105708000</v>
      </c>
      <c r="N222" s="20">
        <f t="shared" si="160"/>
        <v>99533000</v>
      </c>
      <c r="O222" s="20">
        <f t="shared" ref="O222:O228" si="161">H217</f>
        <v>90100000</v>
      </c>
      <c r="P222" s="20">
        <f>$F217/4</f>
        <v>89919750</v>
      </c>
      <c r="Q222" s="20">
        <f>$F217/4</f>
        <v>89919750</v>
      </c>
      <c r="R222" s="20">
        <f>$F217/4</f>
        <v>89919750</v>
      </c>
      <c r="S222" s="20">
        <f>$F217/4</f>
        <v>89919750</v>
      </c>
      <c r="T222" s="20">
        <f>$E217/4</f>
        <v>96871750</v>
      </c>
      <c r="U222" s="20">
        <f>$E217/4</f>
        <v>96871750</v>
      </c>
      <c r="V222" s="20">
        <f>$E217/4</f>
        <v>96871750</v>
      </c>
      <c r="W222" s="20">
        <f>$E217/4</f>
        <v>96871750</v>
      </c>
      <c r="X222" s="20">
        <f>$D217/4</f>
        <v>140165000</v>
      </c>
      <c r="Y222" s="20">
        <f>$D217/4</f>
        <v>140165000</v>
      </c>
      <c r="Z222" s="20">
        <f>$D217/4</f>
        <v>140165000</v>
      </c>
      <c r="AA222" s="20">
        <f>$D217/4</f>
        <v>140165000</v>
      </c>
      <c r="AB222" s="20">
        <v>0</v>
      </c>
      <c r="AC222" s="20">
        <v>0</v>
      </c>
      <c r="AE222" s="21">
        <f t="shared" si="155"/>
        <v>96563550</v>
      </c>
      <c r="AF222" s="21">
        <f t="shared" si="156"/>
        <v>1064356750</v>
      </c>
      <c r="AG222" s="21">
        <f t="shared" si="153"/>
        <v>12217450</v>
      </c>
    </row>
    <row r="223" spans="1:33" x14ac:dyDescent="0.2">
      <c r="B223" t="s">
        <v>338</v>
      </c>
      <c r="C223" s="5" t="s">
        <v>98</v>
      </c>
      <c r="D223" s="22">
        <f>$D217</f>
        <v>560660000</v>
      </c>
      <c r="E223" s="22">
        <f>$E217</f>
        <v>387487000</v>
      </c>
      <c r="F223" s="22">
        <f>$F217</f>
        <v>359679000</v>
      </c>
      <c r="G223" s="23">
        <f t="shared" si="157"/>
        <v>20</v>
      </c>
      <c r="H223" s="4">
        <v>117555000</v>
      </c>
      <c r="J223" s="20">
        <f t="shared" si="152"/>
        <v>117555000</v>
      </c>
      <c r="K223" s="20">
        <f t="shared" si="154"/>
        <v>108781000</v>
      </c>
      <c r="L223" s="20">
        <f t="shared" si="158"/>
        <v>110040000</v>
      </c>
      <c r="M223" s="20">
        <f t="shared" si="159"/>
        <v>109283000</v>
      </c>
      <c r="N223" s="20">
        <f t="shared" si="160"/>
        <v>105708000</v>
      </c>
      <c r="O223" s="20">
        <f t="shared" si="161"/>
        <v>99533000</v>
      </c>
      <c r="P223" s="20">
        <f t="shared" ref="P223:P228" si="162">H217</f>
        <v>90100000</v>
      </c>
      <c r="Q223" s="20">
        <f>$F217/4</f>
        <v>89919750</v>
      </c>
      <c r="R223" s="20">
        <f>$F217/4</f>
        <v>89919750</v>
      </c>
      <c r="S223" s="20">
        <f>$F217/4</f>
        <v>89919750</v>
      </c>
      <c r="T223" s="20">
        <f>$F217/4</f>
        <v>89919750</v>
      </c>
      <c r="U223" s="20">
        <f>$E217/4</f>
        <v>96871750</v>
      </c>
      <c r="V223" s="20">
        <f>$E217/4</f>
        <v>96871750</v>
      </c>
      <c r="W223" s="20">
        <f>$E217/4</f>
        <v>96871750</v>
      </c>
      <c r="X223" s="20">
        <f>$E217/4</f>
        <v>96871750</v>
      </c>
      <c r="Y223" s="20">
        <f>$D217/4</f>
        <v>140165000</v>
      </c>
      <c r="Z223" s="20">
        <f>$D217/4</f>
        <v>140165000</v>
      </c>
      <c r="AA223" s="20">
        <f>$D217/4</f>
        <v>140165000</v>
      </c>
      <c r="AB223" s="20">
        <f>$D217/4</f>
        <v>140165000</v>
      </c>
      <c r="AC223" s="20">
        <v>0</v>
      </c>
      <c r="AE223" s="21">
        <f t="shared" si="155"/>
        <v>102441300</v>
      </c>
      <c r="AF223" s="21">
        <f t="shared" si="156"/>
        <v>1085348200</v>
      </c>
      <c r="AG223" s="21">
        <f t="shared" si="153"/>
        <v>15113700</v>
      </c>
    </row>
    <row r="224" spans="1:33" x14ac:dyDescent="0.2">
      <c r="B224" t="s">
        <v>338</v>
      </c>
      <c r="C224" s="5" t="s">
        <v>97</v>
      </c>
      <c r="D224" s="22">
        <f>$D217</f>
        <v>560660000</v>
      </c>
      <c r="E224" s="22">
        <f>$E217</f>
        <v>387487000</v>
      </c>
      <c r="F224" s="22">
        <f>$F217</f>
        <v>359679000</v>
      </c>
      <c r="G224" s="23">
        <f t="shared" si="157"/>
        <v>20</v>
      </c>
      <c r="H224" s="4">
        <v>171502000</v>
      </c>
      <c r="J224" s="20">
        <f t="shared" si="152"/>
        <v>171502000</v>
      </c>
      <c r="K224" s="20">
        <f t="shared" si="154"/>
        <v>117555000</v>
      </c>
      <c r="L224" s="20">
        <f t="shared" si="158"/>
        <v>108781000</v>
      </c>
      <c r="M224" s="20">
        <f t="shared" si="159"/>
        <v>110040000</v>
      </c>
      <c r="N224" s="20">
        <f t="shared" si="160"/>
        <v>109283000</v>
      </c>
      <c r="O224" s="20">
        <f t="shared" si="161"/>
        <v>105708000</v>
      </c>
      <c r="P224" s="20">
        <f t="shared" si="162"/>
        <v>99533000</v>
      </c>
      <c r="Q224" s="20">
        <f>H217</f>
        <v>90100000</v>
      </c>
      <c r="R224" s="20">
        <f>$F217/4</f>
        <v>89919750</v>
      </c>
      <c r="S224" s="20">
        <f>$F217/4</f>
        <v>89919750</v>
      </c>
      <c r="T224" s="20">
        <f>$F217/4</f>
        <v>89919750</v>
      </c>
      <c r="U224" s="20">
        <f>$F217/4</f>
        <v>89919750</v>
      </c>
      <c r="V224" s="20">
        <f>$E217/4</f>
        <v>96871750</v>
      </c>
      <c r="W224" s="20">
        <f>$E217/4</f>
        <v>96871750</v>
      </c>
      <c r="X224" s="20">
        <f>$E217/4</f>
        <v>96871750</v>
      </c>
      <c r="Y224" s="20">
        <f>$E217/4</f>
        <v>96871750</v>
      </c>
      <c r="Z224" s="20">
        <f>$D217/4</f>
        <v>140165000</v>
      </c>
      <c r="AA224" s="20">
        <f>$D217/4</f>
        <v>140165000</v>
      </c>
      <c r="AB224" s="20">
        <f>$D217/4</f>
        <v>140165000</v>
      </c>
      <c r="AC224" s="20">
        <f>$D217/4</f>
        <v>140165000</v>
      </c>
      <c r="AE224" s="21">
        <f t="shared" si="155"/>
        <v>111016400</v>
      </c>
      <c r="AF224" s="21">
        <f t="shared" si="156"/>
        <v>1154408900</v>
      </c>
      <c r="AG224" s="21">
        <f t="shared" si="153"/>
        <v>60485600</v>
      </c>
    </row>
    <row r="225" spans="2:33" x14ac:dyDescent="0.2">
      <c r="B225" t="s">
        <v>338</v>
      </c>
      <c r="C225" s="5" t="s">
        <v>96</v>
      </c>
      <c r="D225" s="22">
        <f>$D217</f>
        <v>560660000</v>
      </c>
      <c r="E225" s="22">
        <f>$E217</f>
        <v>387487000</v>
      </c>
      <c r="F225" s="22">
        <f>$F217</f>
        <v>359679000</v>
      </c>
      <c r="G225" s="23">
        <f t="shared" si="157"/>
        <v>20</v>
      </c>
      <c r="H225" s="4">
        <v>134889000</v>
      </c>
      <c r="J225" s="20">
        <f t="shared" si="152"/>
        <v>134889000</v>
      </c>
      <c r="K225" s="20">
        <f t="shared" si="154"/>
        <v>171502000</v>
      </c>
      <c r="L225" s="20">
        <f t="shared" si="158"/>
        <v>117555000</v>
      </c>
      <c r="M225" s="20">
        <f t="shared" si="159"/>
        <v>108781000</v>
      </c>
      <c r="N225" s="20">
        <f t="shared" si="160"/>
        <v>110040000</v>
      </c>
      <c r="O225" s="20">
        <f t="shared" si="161"/>
        <v>109283000</v>
      </c>
      <c r="P225" s="20">
        <f t="shared" si="162"/>
        <v>105708000</v>
      </c>
      <c r="Q225" s="20">
        <f>H218</f>
        <v>99533000</v>
      </c>
      <c r="R225" s="20">
        <f>H217</f>
        <v>90100000</v>
      </c>
      <c r="S225" s="20">
        <f>$F217/4</f>
        <v>89919750</v>
      </c>
      <c r="T225" s="20">
        <f>$F217/4</f>
        <v>89919750</v>
      </c>
      <c r="U225" s="20">
        <f>$F217/4</f>
        <v>89919750</v>
      </c>
      <c r="V225" s="20">
        <f>$F217/4</f>
        <v>89919750</v>
      </c>
      <c r="W225" s="20">
        <f>$E217/4</f>
        <v>96871750</v>
      </c>
      <c r="X225" s="20">
        <f>$E217/4</f>
        <v>96871750</v>
      </c>
      <c r="Y225" s="20">
        <f>$E217/4</f>
        <v>96871750</v>
      </c>
      <c r="Z225" s="20">
        <f>$E217/4</f>
        <v>96871750</v>
      </c>
      <c r="AA225" s="20">
        <f>$D217/4</f>
        <v>140165000</v>
      </c>
      <c r="AB225" s="20">
        <f>$D217/4</f>
        <v>140165000</v>
      </c>
      <c r="AC225" s="20">
        <f>$D217/4</f>
        <v>140165000</v>
      </c>
      <c r="AE225" s="21">
        <f t="shared" si="155"/>
        <v>110752600</v>
      </c>
      <c r="AF225" s="21">
        <f t="shared" si="156"/>
        <v>1178281500</v>
      </c>
      <c r="AG225" s="21">
        <f t="shared" si="153"/>
        <v>24136400</v>
      </c>
    </row>
    <row r="226" spans="2:33" x14ac:dyDescent="0.2">
      <c r="B226" t="s">
        <v>338</v>
      </c>
      <c r="C226" s="5" t="s">
        <v>95</v>
      </c>
      <c r="D226" s="22">
        <f>$D217</f>
        <v>560660000</v>
      </c>
      <c r="E226" s="22">
        <f>$E217</f>
        <v>387487000</v>
      </c>
      <c r="F226" s="22">
        <f>$F217</f>
        <v>359679000</v>
      </c>
      <c r="G226" s="23">
        <f t="shared" si="157"/>
        <v>20</v>
      </c>
      <c r="H226" s="4">
        <v>135043000</v>
      </c>
      <c r="J226" s="20">
        <f t="shared" si="152"/>
        <v>135043000</v>
      </c>
      <c r="K226" s="20">
        <f t="shared" si="154"/>
        <v>134889000</v>
      </c>
      <c r="L226" s="20">
        <f t="shared" si="158"/>
        <v>171502000</v>
      </c>
      <c r="M226" s="20">
        <f t="shared" si="159"/>
        <v>117555000</v>
      </c>
      <c r="N226" s="20">
        <f t="shared" si="160"/>
        <v>108781000</v>
      </c>
      <c r="O226" s="20">
        <f t="shared" si="161"/>
        <v>110040000</v>
      </c>
      <c r="P226" s="20">
        <f t="shared" si="162"/>
        <v>109283000</v>
      </c>
      <c r="Q226" s="20">
        <f>H219</f>
        <v>105708000</v>
      </c>
      <c r="R226" s="20">
        <f>H218</f>
        <v>99533000</v>
      </c>
      <c r="S226" s="20">
        <f>H217</f>
        <v>90100000</v>
      </c>
      <c r="T226" s="20">
        <f>$F217/4</f>
        <v>89919750</v>
      </c>
      <c r="U226" s="20">
        <f>$F217/4</f>
        <v>89919750</v>
      </c>
      <c r="V226" s="20">
        <f>$F217/4</f>
        <v>89919750</v>
      </c>
      <c r="W226" s="20">
        <f>$F217/4</f>
        <v>89919750</v>
      </c>
      <c r="X226" s="20">
        <f>$E217/4</f>
        <v>96871750</v>
      </c>
      <c r="Y226" s="20">
        <f>$E217/4</f>
        <v>96871750</v>
      </c>
      <c r="Z226" s="20">
        <f>$E217/4</f>
        <v>96871750</v>
      </c>
      <c r="AA226" s="20">
        <f>$E217/4</f>
        <v>96871750</v>
      </c>
      <c r="AB226" s="20">
        <f>$D217/4</f>
        <v>140165000</v>
      </c>
      <c r="AC226" s="20">
        <f>$D217/4</f>
        <v>140165000</v>
      </c>
      <c r="AE226" s="21">
        <f t="shared" si="155"/>
        <v>110496500</v>
      </c>
      <c r="AF226" s="21">
        <f t="shared" si="156"/>
        <v>1202571900</v>
      </c>
      <c r="AG226" s="21">
        <f t="shared" si="153"/>
        <v>24546500</v>
      </c>
    </row>
    <row r="227" spans="2:33" x14ac:dyDescent="0.2">
      <c r="B227" t="s">
        <v>338</v>
      </c>
      <c r="C227" s="5" t="s">
        <v>94</v>
      </c>
      <c r="D227" s="22">
        <f>$D217</f>
        <v>560660000</v>
      </c>
      <c r="E227" s="22">
        <f>$E217</f>
        <v>387487000</v>
      </c>
      <c r="F227" s="22">
        <f>$F217</f>
        <v>359679000</v>
      </c>
      <c r="G227" s="23">
        <f t="shared" si="157"/>
        <v>20</v>
      </c>
      <c r="H227" s="4">
        <v>144191000</v>
      </c>
      <c r="J227" s="20">
        <f t="shared" si="152"/>
        <v>144191000</v>
      </c>
      <c r="K227" s="20">
        <f t="shared" si="154"/>
        <v>135043000</v>
      </c>
      <c r="L227" s="20">
        <f t="shared" si="158"/>
        <v>134889000</v>
      </c>
      <c r="M227" s="20">
        <f t="shared" si="159"/>
        <v>171502000</v>
      </c>
      <c r="N227" s="20">
        <f t="shared" si="160"/>
        <v>117555000</v>
      </c>
      <c r="O227" s="20">
        <f t="shared" si="161"/>
        <v>108781000</v>
      </c>
      <c r="P227" s="20">
        <f t="shared" si="162"/>
        <v>110040000</v>
      </c>
      <c r="Q227" s="20">
        <f>H220</f>
        <v>109283000</v>
      </c>
      <c r="R227" s="20">
        <f>H219</f>
        <v>105708000</v>
      </c>
      <c r="S227" s="20">
        <f>H218</f>
        <v>99533000</v>
      </c>
      <c r="T227" s="20">
        <f>H217</f>
        <v>90100000</v>
      </c>
      <c r="U227" s="20">
        <f>$F217/4</f>
        <v>89919750</v>
      </c>
      <c r="V227" s="20">
        <f>$F217/4</f>
        <v>89919750</v>
      </c>
      <c r="W227" s="20">
        <f>$F217/4</f>
        <v>89919750</v>
      </c>
      <c r="X227" s="20">
        <f>$F217/4</f>
        <v>89919750</v>
      </c>
      <c r="Y227" s="20">
        <f>$E217/4</f>
        <v>96871750</v>
      </c>
      <c r="Z227" s="20">
        <f>$E217/4</f>
        <v>96871750</v>
      </c>
      <c r="AA227" s="20">
        <f>$E217/4</f>
        <v>96871750</v>
      </c>
      <c r="AB227" s="20">
        <f>$E217/4</f>
        <v>96871750</v>
      </c>
      <c r="AC227" s="20">
        <f>$D217/4</f>
        <v>140165000</v>
      </c>
      <c r="AE227" s="21">
        <f t="shared" si="155"/>
        <v>110697800</v>
      </c>
      <c r="AF227" s="21">
        <f t="shared" si="156"/>
        <v>1236266400</v>
      </c>
      <c r="AG227" s="21">
        <f t="shared" si="153"/>
        <v>33493200</v>
      </c>
    </row>
    <row r="228" spans="2:33" x14ac:dyDescent="0.2">
      <c r="B228" t="s">
        <v>338</v>
      </c>
      <c r="C228" s="5" t="s">
        <v>93</v>
      </c>
      <c r="D228" s="22">
        <f>$D217</f>
        <v>560660000</v>
      </c>
      <c r="E228" s="22">
        <f>$E217</f>
        <v>387487000</v>
      </c>
      <c r="F228" s="22">
        <f>$F217</f>
        <v>359679000</v>
      </c>
      <c r="G228" s="23">
        <f t="shared" si="157"/>
        <v>20</v>
      </c>
      <c r="H228" s="4">
        <v>143554000</v>
      </c>
      <c r="J228" s="20">
        <f t="shared" si="152"/>
        <v>143554000</v>
      </c>
      <c r="K228" s="20">
        <f t="shared" si="154"/>
        <v>144191000</v>
      </c>
      <c r="L228" s="20">
        <f t="shared" si="158"/>
        <v>135043000</v>
      </c>
      <c r="M228" s="20">
        <f t="shared" si="159"/>
        <v>134889000</v>
      </c>
      <c r="N228" s="20">
        <f t="shared" si="160"/>
        <v>171502000</v>
      </c>
      <c r="O228" s="20">
        <f t="shared" si="161"/>
        <v>117555000</v>
      </c>
      <c r="P228" s="20">
        <f t="shared" si="162"/>
        <v>108781000</v>
      </c>
      <c r="Q228" s="20">
        <f>H221</f>
        <v>110040000</v>
      </c>
      <c r="R228" s="20">
        <f>H220</f>
        <v>109283000</v>
      </c>
      <c r="S228" s="20">
        <f>H219</f>
        <v>105708000</v>
      </c>
      <c r="T228" s="20">
        <f>H218</f>
        <v>99533000</v>
      </c>
      <c r="U228" s="20">
        <f>H217</f>
        <v>90100000</v>
      </c>
      <c r="V228" s="20">
        <f>$F217/4</f>
        <v>89919750</v>
      </c>
      <c r="W228" s="20">
        <f>$F217/4</f>
        <v>89919750</v>
      </c>
      <c r="X228" s="20">
        <f>$F217/4</f>
        <v>89919750</v>
      </c>
      <c r="Y228" s="20">
        <f>$F217/4</f>
        <v>89919750</v>
      </c>
      <c r="Z228" s="20">
        <f>$E217/4</f>
        <v>96871750</v>
      </c>
      <c r="AA228" s="20">
        <f>$E217/4</f>
        <v>96871750</v>
      </c>
      <c r="AB228" s="20">
        <f>$E217/4</f>
        <v>96871750</v>
      </c>
      <c r="AC228" s="20">
        <f>$E217/4</f>
        <v>96871750</v>
      </c>
      <c r="AE228" s="21">
        <f t="shared" si="155"/>
        <v>110867250</v>
      </c>
      <c r="AF228" s="21">
        <f t="shared" si="156"/>
        <v>1269122600</v>
      </c>
      <c r="AG228" s="21">
        <f t="shared" si="153"/>
        <v>32686750</v>
      </c>
    </row>
    <row r="231" spans="2:33" x14ac:dyDescent="0.2">
      <c r="C231" t="s">
        <v>354</v>
      </c>
    </row>
    <row r="232" spans="2:33" x14ac:dyDescent="0.2">
      <c r="C232" s="6" t="s">
        <v>107</v>
      </c>
      <c r="D232" s="6" t="s">
        <v>438</v>
      </c>
      <c r="E232" s="6" t="s">
        <v>439</v>
      </c>
      <c r="F232" s="6" t="s">
        <v>440</v>
      </c>
      <c r="G232" s="6" t="s">
        <v>441</v>
      </c>
      <c r="H232" s="6" t="s">
        <v>442</v>
      </c>
      <c r="I232" s="15"/>
      <c r="J232" s="6" t="s">
        <v>443</v>
      </c>
      <c r="K232" s="6" t="s">
        <v>444</v>
      </c>
      <c r="L232" s="6" t="s">
        <v>445</v>
      </c>
      <c r="M232" s="6" t="s">
        <v>446</v>
      </c>
      <c r="N232" s="6" t="s">
        <v>447</v>
      </c>
      <c r="O232" s="6" t="s">
        <v>448</v>
      </c>
      <c r="P232" s="6" t="s">
        <v>449</v>
      </c>
      <c r="Q232" s="6" t="s">
        <v>450</v>
      </c>
      <c r="R232" s="6" t="s">
        <v>451</v>
      </c>
      <c r="S232" s="6" t="s">
        <v>452</v>
      </c>
      <c r="T232" s="6" t="s">
        <v>453</v>
      </c>
      <c r="U232" s="6" t="s">
        <v>454</v>
      </c>
      <c r="V232" s="6" t="s">
        <v>455</v>
      </c>
      <c r="W232" s="6" t="s">
        <v>456</v>
      </c>
      <c r="X232" s="6" t="s">
        <v>457</v>
      </c>
      <c r="Y232" s="6" t="s">
        <v>458</v>
      </c>
      <c r="Z232" s="6" t="s">
        <v>459</v>
      </c>
      <c r="AA232" s="6" t="s">
        <v>460</v>
      </c>
      <c r="AB232" s="6" t="s">
        <v>461</v>
      </c>
      <c r="AC232" s="6" t="s">
        <v>462</v>
      </c>
      <c r="AD232" s="15"/>
      <c r="AE232" s="6" t="s">
        <v>106</v>
      </c>
      <c r="AF232" s="6" t="s">
        <v>105</v>
      </c>
      <c r="AG232" s="6" t="s">
        <v>463</v>
      </c>
    </row>
    <row r="233" spans="2:33" x14ac:dyDescent="0.2">
      <c r="C233" s="16" t="s">
        <v>464</v>
      </c>
      <c r="J233" s="17">
        <v>20</v>
      </c>
      <c r="K233" s="17">
        <v>19</v>
      </c>
      <c r="L233" s="17">
        <v>18</v>
      </c>
      <c r="M233" s="17">
        <v>17</v>
      </c>
      <c r="N233" s="17">
        <v>16</v>
      </c>
      <c r="O233" s="17">
        <v>15</v>
      </c>
      <c r="P233" s="17">
        <v>14</v>
      </c>
      <c r="Q233" s="17">
        <v>13</v>
      </c>
      <c r="R233" s="17">
        <v>12</v>
      </c>
      <c r="S233" s="17">
        <v>11</v>
      </c>
      <c r="T233" s="17">
        <v>10</v>
      </c>
      <c r="U233" s="17">
        <v>9</v>
      </c>
      <c r="V233" s="17">
        <v>8</v>
      </c>
      <c r="W233" s="17">
        <v>7</v>
      </c>
      <c r="X233" s="17">
        <v>6</v>
      </c>
      <c r="Y233" s="17">
        <v>5</v>
      </c>
      <c r="Z233" s="17">
        <v>4</v>
      </c>
      <c r="AA233" s="17">
        <v>3</v>
      </c>
      <c r="AB233" s="17">
        <v>2</v>
      </c>
      <c r="AC233" s="17">
        <v>1</v>
      </c>
    </row>
    <row r="234" spans="2:33" x14ac:dyDescent="0.2">
      <c r="B234" t="s">
        <v>354</v>
      </c>
      <c r="C234" s="5" t="s">
        <v>104</v>
      </c>
      <c r="D234" s="4">
        <v>1415000000</v>
      </c>
      <c r="E234" s="4">
        <v>1686000000</v>
      </c>
      <c r="F234" s="4">
        <v>1814000000</v>
      </c>
      <c r="G234" s="19">
        <v>20</v>
      </c>
      <c r="H234" s="4">
        <v>472000000</v>
      </c>
      <c r="J234" s="20">
        <f t="shared" ref="J234:J245" si="163">H234</f>
        <v>472000000</v>
      </c>
      <c r="K234" s="20">
        <f>$F234/4</f>
        <v>453500000</v>
      </c>
      <c r="L234" s="20">
        <f>$F234/4</f>
        <v>453500000</v>
      </c>
      <c r="M234" s="20">
        <f>$F234/4</f>
        <v>453500000</v>
      </c>
      <c r="N234" s="20">
        <f>$F234/4</f>
        <v>453500000</v>
      </c>
      <c r="O234" s="20">
        <f>$E234/4</f>
        <v>421500000</v>
      </c>
      <c r="P234" s="20">
        <f>$E234/4</f>
        <v>421500000</v>
      </c>
      <c r="Q234" s="20">
        <f>$E234/4</f>
        <v>421500000</v>
      </c>
      <c r="R234" s="20">
        <f>$E234/4</f>
        <v>421500000</v>
      </c>
      <c r="S234" s="20">
        <f>$D234/4</f>
        <v>353750000</v>
      </c>
      <c r="T234" s="20">
        <f>$D234/4</f>
        <v>353750000</v>
      </c>
      <c r="U234" s="20">
        <f>$D234/4</f>
        <v>353750000</v>
      </c>
      <c r="V234" s="20">
        <f>$D234/4</f>
        <v>353750000</v>
      </c>
      <c r="W234" s="20">
        <v>0</v>
      </c>
      <c r="X234" s="20">
        <v>0</v>
      </c>
      <c r="Y234" s="20">
        <v>0</v>
      </c>
      <c r="Z234" s="20">
        <v>0</v>
      </c>
      <c r="AA234" s="20">
        <v>0</v>
      </c>
      <c r="AB234" s="20">
        <v>0</v>
      </c>
      <c r="AC234" s="20">
        <v>0</v>
      </c>
      <c r="AE234" s="21">
        <f>SUM(J234:AC234)/$G234</f>
        <v>269350000</v>
      </c>
      <c r="AF234" s="21">
        <f>SUMPRODUCT($J$233:$AC$233,J234:AC234)/$G234</f>
        <v>3869425000</v>
      </c>
      <c r="AG234" s="21">
        <f t="shared" ref="AG234:AG245" si="164">H234-AE234</f>
        <v>202650000</v>
      </c>
    </row>
    <row r="235" spans="2:33" x14ac:dyDescent="0.2">
      <c r="B235" t="s">
        <v>354</v>
      </c>
      <c r="C235" s="5" t="s">
        <v>103</v>
      </c>
      <c r="D235" s="22">
        <f>$D234</f>
        <v>1415000000</v>
      </c>
      <c r="E235" s="22">
        <f>$E234</f>
        <v>1686000000</v>
      </c>
      <c r="F235" s="22">
        <f>$F234</f>
        <v>1814000000</v>
      </c>
      <c r="G235" s="23">
        <f>$G$234</f>
        <v>20</v>
      </c>
      <c r="H235" s="4">
        <v>528000000</v>
      </c>
      <c r="J235" s="20">
        <f t="shared" si="163"/>
        <v>528000000</v>
      </c>
      <c r="K235" s="20">
        <f t="shared" ref="K235:K245" si="165">H234</f>
        <v>472000000</v>
      </c>
      <c r="L235" s="20">
        <f>$F234/4</f>
        <v>453500000</v>
      </c>
      <c r="M235" s="20">
        <f>$F234/4</f>
        <v>453500000</v>
      </c>
      <c r="N235" s="20">
        <f>$F234/4</f>
        <v>453500000</v>
      </c>
      <c r="O235" s="20">
        <f>$F234/4</f>
        <v>453500000</v>
      </c>
      <c r="P235" s="20">
        <f>$E234/4</f>
        <v>421500000</v>
      </c>
      <c r="Q235" s="20">
        <f>$E234/4</f>
        <v>421500000</v>
      </c>
      <c r="R235" s="20">
        <f>$E234/4</f>
        <v>421500000</v>
      </c>
      <c r="S235" s="20">
        <f>$E234/4</f>
        <v>421500000</v>
      </c>
      <c r="T235" s="20">
        <f>$D234/4</f>
        <v>353750000</v>
      </c>
      <c r="U235" s="20">
        <f>$D234/4</f>
        <v>353750000</v>
      </c>
      <c r="V235" s="20">
        <f>$D234/4</f>
        <v>353750000</v>
      </c>
      <c r="W235" s="20">
        <f>$D234/4</f>
        <v>353750000</v>
      </c>
      <c r="X235" s="20">
        <v>0</v>
      </c>
      <c r="Y235" s="20">
        <v>0</v>
      </c>
      <c r="Z235" s="20">
        <v>0</v>
      </c>
      <c r="AA235" s="20">
        <v>0</v>
      </c>
      <c r="AB235" s="20">
        <v>0</v>
      </c>
      <c r="AC235" s="20">
        <v>0</v>
      </c>
      <c r="AE235" s="21">
        <f t="shared" ref="AE235:AE245" si="166">SUM(J235:AC235)/$G235</f>
        <v>295750000</v>
      </c>
      <c r="AF235" s="21">
        <f t="shared" ref="AF235:AF245" si="167">SUMPRODUCT($J$233:$AC$233,J235:AC235)/$G235</f>
        <v>4128075000</v>
      </c>
      <c r="AG235" s="21">
        <f t="shared" si="164"/>
        <v>232250000</v>
      </c>
    </row>
    <row r="236" spans="2:33" x14ac:dyDescent="0.2">
      <c r="B236" t="s">
        <v>354</v>
      </c>
      <c r="C236" s="5" t="s">
        <v>102</v>
      </c>
      <c r="D236" s="22">
        <f>$D234</f>
        <v>1415000000</v>
      </c>
      <c r="E236" s="22">
        <f>$E234</f>
        <v>1686000000</v>
      </c>
      <c r="F236" s="22">
        <f>$F234</f>
        <v>1814000000</v>
      </c>
      <c r="G236" s="23">
        <f t="shared" ref="G236:G245" si="168">$G$234</f>
        <v>20</v>
      </c>
      <c r="H236" s="4">
        <v>554000000</v>
      </c>
      <c r="J236" s="20">
        <f t="shared" si="163"/>
        <v>554000000</v>
      </c>
      <c r="K236" s="20">
        <f t="shared" si="165"/>
        <v>528000000</v>
      </c>
      <c r="L236" s="20">
        <f t="shared" ref="L236:L245" si="169">H234</f>
        <v>472000000</v>
      </c>
      <c r="M236" s="20">
        <f>$F234/4</f>
        <v>453500000</v>
      </c>
      <c r="N236" s="20">
        <f>$F234/4</f>
        <v>453500000</v>
      </c>
      <c r="O236" s="20">
        <f>$F234/4</f>
        <v>453500000</v>
      </c>
      <c r="P236" s="20">
        <f>$F234/4</f>
        <v>453500000</v>
      </c>
      <c r="Q236" s="20">
        <f>$E234/4</f>
        <v>421500000</v>
      </c>
      <c r="R236" s="20">
        <f>$E234/4</f>
        <v>421500000</v>
      </c>
      <c r="S236" s="20">
        <f>$E234/4</f>
        <v>421500000</v>
      </c>
      <c r="T236" s="20">
        <f>$E234/4</f>
        <v>421500000</v>
      </c>
      <c r="U236" s="20">
        <f>$D234/4</f>
        <v>353750000</v>
      </c>
      <c r="V236" s="20">
        <f>$D234/4</f>
        <v>353750000</v>
      </c>
      <c r="W236" s="20">
        <f>$D234/4</f>
        <v>353750000</v>
      </c>
      <c r="X236" s="20">
        <f>$D234/4</f>
        <v>353750000</v>
      </c>
      <c r="Y236" s="20">
        <v>0</v>
      </c>
      <c r="Z236" s="20">
        <v>0</v>
      </c>
      <c r="AA236" s="20">
        <v>0</v>
      </c>
      <c r="AB236" s="20">
        <v>0</v>
      </c>
      <c r="AC236" s="20">
        <v>0</v>
      </c>
      <c r="AE236" s="21">
        <f t="shared" si="166"/>
        <v>323450000</v>
      </c>
      <c r="AF236" s="21">
        <f t="shared" si="167"/>
        <v>4386325000</v>
      </c>
      <c r="AG236" s="21">
        <f t="shared" si="164"/>
        <v>230550000</v>
      </c>
    </row>
    <row r="237" spans="2:33" x14ac:dyDescent="0.2">
      <c r="B237" t="s">
        <v>354</v>
      </c>
      <c r="C237" s="5" t="s">
        <v>101</v>
      </c>
      <c r="D237" s="22">
        <f>$D234</f>
        <v>1415000000</v>
      </c>
      <c r="E237" s="22">
        <f>$E234</f>
        <v>1686000000</v>
      </c>
      <c r="F237" s="22">
        <f>$F234</f>
        <v>1814000000</v>
      </c>
      <c r="G237" s="23">
        <f t="shared" si="168"/>
        <v>20</v>
      </c>
      <c r="H237" s="4">
        <v>554000000</v>
      </c>
      <c r="J237" s="20">
        <f t="shared" si="163"/>
        <v>554000000</v>
      </c>
      <c r="K237" s="20">
        <f t="shared" si="165"/>
        <v>554000000</v>
      </c>
      <c r="L237" s="20">
        <f t="shared" si="169"/>
        <v>528000000</v>
      </c>
      <c r="M237" s="20">
        <f t="shared" ref="M237:M245" si="170">H234</f>
        <v>472000000</v>
      </c>
      <c r="N237" s="20">
        <f>$F234/4</f>
        <v>453500000</v>
      </c>
      <c r="O237" s="20">
        <f>$F234/4</f>
        <v>453500000</v>
      </c>
      <c r="P237" s="20">
        <f>$F234/4</f>
        <v>453500000</v>
      </c>
      <c r="Q237" s="20">
        <f>$F234/4</f>
        <v>453500000</v>
      </c>
      <c r="R237" s="20">
        <f>$E234/4</f>
        <v>421500000</v>
      </c>
      <c r="S237" s="20">
        <f>$E234/4</f>
        <v>421500000</v>
      </c>
      <c r="T237" s="20">
        <f>$E234/4</f>
        <v>421500000</v>
      </c>
      <c r="U237" s="20">
        <f>$E234/4</f>
        <v>421500000</v>
      </c>
      <c r="V237" s="20">
        <f>$D234/4</f>
        <v>353750000</v>
      </c>
      <c r="W237" s="20">
        <f>$D234/4</f>
        <v>353750000</v>
      </c>
      <c r="X237" s="20">
        <f>$D234/4</f>
        <v>353750000</v>
      </c>
      <c r="Y237" s="20">
        <f>$D234/4</f>
        <v>353750000</v>
      </c>
      <c r="Z237" s="20">
        <v>0</v>
      </c>
      <c r="AA237" s="20">
        <v>0</v>
      </c>
      <c r="AB237" s="20">
        <v>0</v>
      </c>
      <c r="AC237" s="20">
        <v>0</v>
      </c>
      <c r="AE237" s="21">
        <f t="shared" si="166"/>
        <v>351150000</v>
      </c>
      <c r="AF237" s="21">
        <f t="shared" si="167"/>
        <v>4616875000</v>
      </c>
      <c r="AG237" s="21">
        <f t="shared" si="164"/>
        <v>202850000</v>
      </c>
    </row>
    <row r="238" spans="2:33" x14ac:dyDescent="0.2">
      <c r="B238" t="s">
        <v>354</v>
      </c>
      <c r="C238" s="5" t="s">
        <v>100</v>
      </c>
      <c r="D238" s="22">
        <f>$D234</f>
        <v>1415000000</v>
      </c>
      <c r="E238" s="22">
        <f>$E234</f>
        <v>1686000000</v>
      </c>
      <c r="F238" s="22">
        <f>$F234</f>
        <v>1814000000</v>
      </c>
      <c r="G238" s="23">
        <f t="shared" si="168"/>
        <v>20</v>
      </c>
      <c r="H238" s="4">
        <v>520000000</v>
      </c>
      <c r="J238" s="20">
        <f t="shared" si="163"/>
        <v>520000000</v>
      </c>
      <c r="K238" s="20">
        <f t="shared" si="165"/>
        <v>554000000</v>
      </c>
      <c r="L238" s="20">
        <f t="shared" si="169"/>
        <v>554000000</v>
      </c>
      <c r="M238" s="20">
        <f t="shared" si="170"/>
        <v>528000000</v>
      </c>
      <c r="N238" s="20">
        <f t="shared" ref="N238:N245" si="171">H234</f>
        <v>472000000</v>
      </c>
      <c r="O238" s="20">
        <f>$F234/4</f>
        <v>453500000</v>
      </c>
      <c r="P238" s="20">
        <f>$F234/4</f>
        <v>453500000</v>
      </c>
      <c r="Q238" s="20">
        <f>$F234/4</f>
        <v>453500000</v>
      </c>
      <c r="R238" s="20">
        <f>$F234/4</f>
        <v>453500000</v>
      </c>
      <c r="S238" s="20">
        <f>$E234/4</f>
        <v>421500000</v>
      </c>
      <c r="T238" s="20">
        <f>$E234/4</f>
        <v>421500000</v>
      </c>
      <c r="U238" s="20">
        <f>$E234/4</f>
        <v>421500000</v>
      </c>
      <c r="V238" s="20">
        <f>$E234/4</f>
        <v>421500000</v>
      </c>
      <c r="W238" s="20">
        <f>$D234/4</f>
        <v>353750000</v>
      </c>
      <c r="X238" s="20">
        <f>$D234/4</f>
        <v>353750000</v>
      </c>
      <c r="Y238" s="20">
        <f>$D234/4</f>
        <v>353750000</v>
      </c>
      <c r="Z238" s="20">
        <f>$D234/4</f>
        <v>353750000</v>
      </c>
      <c r="AA238" s="20">
        <v>0</v>
      </c>
      <c r="AB238" s="20">
        <v>0</v>
      </c>
      <c r="AC238" s="20">
        <v>0</v>
      </c>
      <c r="AE238" s="21">
        <f t="shared" si="166"/>
        <v>377150000</v>
      </c>
      <c r="AF238" s="21">
        <f t="shared" si="167"/>
        <v>4785725000</v>
      </c>
      <c r="AG238" s="21">
        <f t="shared" si="164"/>
        <v>142850000</v>
      </c>
    </row>
    <row r="239" spans="2:33" x14ac:dyDescent="0.2">
      <c r="B239" t="s">
        <v>354</v>
      </c>
      <c r="C239" s="5" t="s">
        <v>99</v>
      </c>
      <c r="D239" s="22">
        <f>$D234</f>
        <v>1415000000</v>
      </c>
      <c r="E239" s="22">
        <f>$E234</f>
        <v>1686000000</v>
      </c>
      <c r="F239" s="22">
        <f>$F234</f>
        <v>1814000000</v>
      </c>
      <c r="G239" s="23">
        <f t="shared" si="168"/>
        <v>20</v>
      </c>
      <c r="H239" s="4">
        <v>535000000</v>
      </c>
      <c r="J239" s="20">
        <f t="shared" si="163"/>
        <v>535000000</v>
      </c>
      <c r="K239" s="20">
        <f t="shared" si="165"/>
        <v>520000000</v>
      </c>
      <c r="L239" s="20">
        <f t="shared" si="169"/>
        <v>554000000</v>
      </c>
      <c r="M239" s="20">
        <f t="shared" si="170"/>
        <v>554000000</v>
      </c>
      <c r="N239" s="20">
        <f t="shared" si="171"/>
        <v>528000000</v>
      </c>
      <c r="O239" s="20">
        <f t="shared" ref="O239:O245" si="172">H234</f>
        <v>472000000</v>
      </c>
      <c r="P239" s="20">
        <f>$F234/4</f>
        <v>453500000</v>
      </c>
      <c r="Q239" s="20">
        <f>$F234/4</f>
        <v>453500000</v>
      </c>
      <c r="R239" s="20">
        <f>$F234/4</f>
        <v>453500000</v>
      </c>
      <c r="S239" s="20">
        <f>$F234/4</f>
        <v>453500000</v>
      </c>
      <c r="T239" s="20">
        <f>$E234/4</f>
        <v>421500000</v>
      </c>
      <c r="U239" s="20">
        <f>$E234/4</f>
        <v>421500000</v>
      </c>
      <c r="V239" s="20">
        <f>$E234/4</f>
        <v>421500000</v>
      </c>
      <c r="W239" s="20">
        <f>$E234/4</f>
        <v>421500000</v>
      </c>
      <c r="X239" s="20">
        <f>$D234/4</f>
        <v>353750000</v>
      </c>
      <c r="Y239" s="20">
        <f>$D234/4</f>
        <v>353750000</v>
      </c>
      <c r="Z239" s="20">
        <f>$D234/4</f>
        <v>353750000</v>
      </c>
      <c r="AA239" s="20">
        <f>$D234/4</f>
        <v>353750000</v>
      </c>
      <c r="AB239" s="20">
        <v>0</v>
      </c>
      <c r="AC239" s="20">
        <v>0</v>
      </c>
      <c r="AE239" s="21">
        <f t="shared" si="166"/>
        <v>403900000</v>
      </c>
      <c r="AF239" s="21">
        <f t="shared" si="167"/>
        <v>4943575000</v>
      </c>
      <c r="AG239" s="21">
        <f t="shared" si="164"/>
        <v>131100000</v>
      </c>
    </row>
    <row r="240" spans="2:33" x14ac:dyDescent="0.2">
      <c r="B240" t="s">
        <v>354</v>
      </c>
      <c r="C240" s="5" t="s">
        <v>98</v>
      </c>
      <c r="D240" s="22">
        <f>$D234</f>
        <v>1415000000</v>
      </c>
      <c r="E240" s="22">
        <f>$E234</f>
        <v>1686000000</v>
      </c>
      <c r="F240" s="22">
        <f>$F234</f>
        <v>1814000000</v>
      </c>
      <c r="G240" s="23">
        <f t="shared" si="168"/>
        <v>20</v>
      </c>
      <c r="H240" s="4">
        <v>533000000</v>
      </c>
      <c r="J240" s="20">
        <f t="shared" si="163"/>
        <v>533000000</v>
      </c>
      <c r="K240" s="20">
        <f t="shared" si="165"/>
        <v>535000000</v>
      </c>
      <c r="L240" s="20">
        <f t="shared" si="169"/>
        <v>520000000</v>
      </c>
      <c r="M240" s="20">
        <f t="shared" si="170"/>
        <v>554000000</v>
      </c>
      <c r="N240" s="20">
        <f t="shared" si="171"/>
        <v>554000000</v>
      </c>
      <c r="O240" s="20">
        <f t="shared" si="172"/>
        <v>528000000</v>
      </c>
      <c r="P240" s="20">
        <f t="shared" ref="P240:P245" si="173">H234</f>
        <v>472000000</v>
      </c>
      <c r="Q240" s="20">
        <f>$F234/4</f>
        <v>453500000</v>
      </c>
      <c r="R240" s="20">
        <f>$F234/4</f>
        <v>453500000</v>
      </c>
      <c r="S240" s="20">
        <f>$F234/4</f>
        <v>453500000</v>
      </c>
      <c r="T240" s="20">
        <f>$F234/4</f>
        <v>453500000</v>
      </c>
      <c r="U240" s="20">
        <f>$E234/4</f>
        <v>421500000</v>
      </c>
      <c r="V240" s="20">
        <f>$E234/4</f>
        <v>421500000</v>
      </c>
      <c r="W240" s="20">
        <f>$E234/4</f>
        <v>421500000</v>
      </c>
      <c r="X240" s="20">
        <f>$E234/4</f>
        <v>421500000</v>
      </c>
      <c r="Y240" s="20">
        <f>$D234/4</f>
        <v>353750000</v>
      </c>
      <c r="Z240" s="20">
        <f>$D234/4</f>
        <v>353750000</v>
      </c>
      <c r="AA240" s="20">
        <f>$D234/4</f>
        <v>353750000</v>
      </c>
      <c r="AB240" s="20">
        <f>$D234/4</f>
        <v>353750000</v>
      </c>
      <c r="AC240" s="20">
        <v>0</v>
      </c>
      <c r="AE240" s="21">
        <f t="shared" si="166"/>
        <v>430550000</v>
      </c>
      <c r="AF240" s="21">
        <f t="shared" si="167"/>
        <v>5072675000</v>
      </c>
      <c r="AG240" s="21">
        <f t="shared" si="164"/>
        <v>102450000</v>
      </c>
    </row>
    <row r="241" spans="2:33" x14ac:dyDescent="0.2">
      <c r="B241" t="s">
        <v>354</v>
      </c>
      <c r="C241" s="5" t="s">
        <v>97</v>
      </c>
      <c r="D241" s="22">
        <f>$D234</f>
        <v>1415000000</v>
      </c>
      <c r="E241" s="22">
        <f>$E234</f>
        <v>1686000000</v>
      </c>
      <c r="F241" s="22">
        <f>$F234</f>
        <v>1814000000</v>
      </c>
      <c r="G241" s="23">
        <f t="shared" si="168"/>
        <v>20</v>
      </c>
      <c r="H241" s="4">
        <v>519000000</v>
      </c>
      <c r="J241" s="20">
        <f t="shared" si="163"/>
        <v>519000000</v>
      </c>
      <c r="K241" s="20">
        <f t="shared" si="165"/>
        <v>533000000</v>
      </c>
      <c r="L241" s="20">
        <f t="shared" si="169"/>
        <v>535000000</v>
      </c>
      <c r="M241" s="20">
        <f t="shared" si="170"/>
        <v>520000000</v>
      </c>
      <c r="N241" s="20">
        <f t="shared" si="171"/>
        <v>554000000</v>
      </c>
      <c r="O241" s="20">
        <f t="shared" si="172"/>
        <v>554000000</v>
      </c>
      <c r="P241" s="20">
        <f t="shared" si="173"/>
        <v>528000000</v>
      </c>
      <c r="Q241" s="20">
        <f>H234</f>
        <v>472000000</v>
      </c>
      <c r="R241" s="20">
        <f>$F234/4</f>
        <v>453500000</v>
      </c>
      <c r="S241" s="20">
        <f>$F234/4</f>
        <v>453500000</v>
      </c>
      <c r="T241" s="20">
        <f>$F234/4</f>
        <v>453500000</v>
      </c>
      <c r="U241" s="20">
        <f>$F234/4</f>
        <v>453500000</v>
      </c>
      <c r="V241" s="20">
        <f>$E234/4</f>
        <v>421500000</v>
      </c>
      <c r="W241" s="20">
        <f>$E234/4</f>
        <v>421500000</v>
      </c>
      <c r="X241" s="20">
        <f>$E234/4</f>
        <v>421500000</v>
      </c>
      <c r="Y241" s="20">
        <f>$E234/4</f>
        <v>421500000</v>
      </c>
      <c r="Z241" s="20">
        <f>$D234/4</f>
        <v>353750000</v>
      </c>
      <c r="AA241" s="20">
        <f>$D234/4</f>
        <v>353750000</v>
      </c>
      <c r="AB241" s="20">
        <f>$D234/4</f>
        <v>353750000</v>
      </c>
      <c r="AC241" s="20">
        <f>$D234/4</f>
        <v>353750000</v>
      </c>
      <c r="AE241" s="21">
        <f t="shared" si="166"/>
        <v>456500000</v>
      </c>
      <c r="AF241" s="21">
        <f t="shared" si="167"/>
        <v>5161125000</v>
      </c>
      <c r="AG241" s="21">
        <f t="shared" si="164"/>
        <v>62500000</v>
      </c>
    </row>
    <row r="242" spans="2:33" x14ac:dyDescent="0.2">
      <c r="B242" t="s">
        <v>354</v>
      </c>
      <c r="C242" s="5" t="s">
        <v>96</v>
      </c>
      <c r="D242" s="22">
        <f>$D234</f>
        <v>1415000000</v>
      </c>
      <c r="E242" s="22">
        <f>$E234</f>
        <v>1686000000</v>
      </c>
      <c r="F242" s="22">
        <f>$F234</f>
        <v>1814000000</v>
      </c>
      <c r="G242" s="23">
        <f t="shared" si="168"/>
        <v>20</v>
      </c>
      <c r="H242" s="4">
        <v>480000000</v>
      </c>
      <c r="J242" s="20">
        <f t="shared" si="163"/>
        <v>480000000</v>
      </c>
      <c r="K242" s="20">
        <f t="shared" si="165"/>
        <v>519000000</v>
      </c>
      <c r="L242" s="20">
        <f t="shared" si="169"/>
        <v>533000000</v>
      </c>
      <c r="M242" s="20">
        <f t="shared" si="170"/>
        <v>535000000</v>
      </c>
      <c r="N242" s="20">
        <f t="shared" si="171"/>
        <v>520000000</v>
      </c>
      <c r="O242" s="20">
        <f t="shared" si="172"/>
        <v>554000000</v>
      </c>
      <c r="P242" s="20">
        <f t="shared" si="173"/>
        <v>554000000</v>
      </c>
      <c r="Q242" s="20">
        <f>H235</f>
        <v>528000000</v>
      </c>
      <c r="R242" s="20">
        <f>H234</f>
        <v>472000000</v>
      </c>
      <c r="S242" s="20">
        <f>$F234/4</f>
        <v>453500000</v>
      </c>
      <c r="T242" s="20">
        <f>$F234/4</f>
        <v>453500000</v>
      </c>
      <c r="U242" s="20">
        <f>$F234/4</f>
        <v>453500000</v>
      </c>
      <c r="V242" s="20">
        <f>$F234/4</f>
        <v>453500000</v>
      </c>
      <c r="W242" s="20">
        <f>$E234/4</f>
        <v>421500000</v>
      </c>
      <c r="X242" s="20">
        <f>$E234/4</f>
        <v>421500000</v>
      </c>
      <c r="Y242" s="20">
        <f>$E234/4</f>
        <v>421500000</v>
      </c>
      <c r="Z242" s="20">
        <f>$E234/4</f>
        <v>421500000</v>
      </c>
      <c r="AA242" s="20">
        <f>$D234/4</f>
        <v>353750000</v>
      </c>
      <c r="AB242" s="20">
        <f>$D234/4</f>
        <v>353750000</v>
      </c>
      <c r="AC242" s="20">
        <f>$D234/4</f>
        <v>353750000</v>
      </c>
      <c r="AE242" s="21">
        <f t="shared" si="166"/>
        <v>462812500</v>
      </c>
      <c r="AF242" s="21">
        <f t="shared" si="167"/>
        <v>5184625000</v>
      </c>
      <c r="AG242" s="21">
        <f t="shared" si="164"/>
        <v>17187500</v>
      </c>
    </row>
    <row r="243" spans="2:33" x14ac:dyDescent="0.2">
      <c r="B243" t="s">
        <v>354</v>
      </c>
      <c r="C243" s="5" t="s">
        <v>95</v>
      </c>
      <c r="D243" s="22">
        <f>$D234</f>
        <v>1415000000</v>
      </c>
      <c r="E243" s="22">
        <f>$E234</f>
        <v>1686000000</v>
      </c>
      <c r="F243" s="22">
        <f>$F234</f>
        <v>1814000000</v>
      </c>
      <c r="G243" s="23">
        <f t="shared" si="168"/>
        <v>20</v>
      </c>
      <c r="H243" s="4">
        <v>551000000</v>
      </c>
      <c r="J243" s="20">
        <f t="shared" si="163"/>
        <v>551000000</v>
      </c>
      <c r="K243" s="20">
        <f t="shared" si="165"/>
        <v>480000000</v>
      </c>
      <c r="L243" s="20">
        <f t="shared" si="169"/>
        <v>519000000</v>
      </c>
      <c r="M243" s="20">
        <f t="shared" si="170"/>
        <v>533000000</v>
      </c>
      <c r="N243" s="20">
        <f t="shared" si="171"/>
        <v>535000000</v>
      </c>
      <c r="O243" s="20">
        <f t="shared" si="172"/>
        <v>520000000</v>
      </c>
      <c r="P243" s="20">
        <f t="shared" si="173"/>
        <v>554000000</v>
      </c>
      <c r="Q243" s="20">
        <f>H236</f>
        <v>554000000</v>
      </c>
      <c r="R243" s="20">
        <f>H235</f>
        <v>528000000</v>
      </c>
      <c r="S243" s="20">
        <f>H234</f>
        <v>472000000</v>
      </c>
      <c r="T243" s="20">
        <f>$F234/4</f>
        <v>453500000</v>
      </c>
      <c r="U243" s="20">
        <f>$F234/4</f>
        <v>453500000</v>
      </c>
      <c r="V243" s="20">
        <f>$F234/4</f>
        <v>453500000</v>
      </c>
      <c r="W243" s="20">
        <f>$F234/4</f>
        <v>453500000</v>
      </c>
      <c r="X243" s="20">
        <f>$E234/4</f>
        <v>421500000</v>
      </c>
      <c r="Y243" s="20">
        <f>$E234/4</f>
        <v>421500000</v>
      </c>
      <c r="Z243" s="20">
        <f>$E234/4</f>
        <v>421500000</v>
      </c>
      <c r="AA243" s="20">
        <f>$E234/4</f>
        <v>421500000</v>
      </c>
      <c r="AB243" s="20">
        <f>$D234/4</f>
        <v>353750000</v>
      </c>
      <c r="AC243" s="20">
        <f>$D234/4</f>
        <v>353750000</v>
      </c>
      <c r="AE243" s="21">
        <f t="shared" si="166"/>
        <v>472675000</v>
      </c>
      <c r="AF243" s="21">
        <f t="shared" si="167"/>
        <v>5272812500</v>
      </c>
      <c r="AG243" s="21">
        <f t="shared" si="164"/>
        <v>78325000</v>
      </c>
    </row>
    <row r="244" spans="2:33" x14ac:dyDescent="0.2">
      <c r="B244" t="s">
        <v>354</v>
      </c>
      <c r="C244" s="5" t="s">
        <v>94</v>
      </c>
      <c r="D244" s="22">
        <f>$D234</f>
        <v>1415000000</v>
      </c>
      <c r="E244" s="22">
        <f>$E234</f>
        <v>1686000000</v>
      </c>
      <c r="F244" s="22">
        <f>$F234</f>
        <v>1814000000</v>
      </c>
      <c r="G244" s="23">
        <f t="shared" si="168"/>
        <v>20</v>
      </c>
      <c r="H244" s="4">
        <v>555000000</v>
      </c>
      <c r="J244" s="20">
        <f t="shared" si="163"/>
        <v>555000000</v>
      </c>
      <c r="K244" s="20">
        <f t="shared" si="165"/>
        <v>551000000</v>
      </c>
      <c r="L244" s="20">
        <f t="shared" si="169"/>
        <v>480000000</v>
      </c>
      <c r="M244" s="20">
        <f t="shared" si="170"/>
        <v>519000000</v>
      </c>
      <c r="N244" s="20">
        <f t="shared" si="171"/>
        <v>533000000</v>
      </c>
      <c r="O244" s="20">
        <f t="shared" si="172"/>
        <v>535000000</v>
      </c>
      <c r="P244" s="20">
        <f t="shared" si="173"/>
        <v>520000000</v>
      </c>
      <c r="Q244" s="20">
        <f>H237</f>
        <v>554000000</v>
      </c>
      <c r="R244" s="20">
        <f>H236</f>
        <v>554000000</v>
      </c>
      <c r="S244" s="20">
        <f>H235</f>
        <v>528000000</v>
      </c>
      <c r="T244" s="20">
        <f>H234</f>
        <v>472000000</v>
      </c>
      <c r="U244" s="20">
        <f>$F234/4</f>
        <v>453500000</v>
      </c>
      <c r="V244" s="20">
        <f>$F234/4</f>
        <v>453500000</v>
      </c>
      <c r="W244" s="20">
        <f>$F234/4</f>
        <v>453500000</v>
      </c>
      <c r="X244" s="20">
        <f>$F234/4</f>
        <v>453500000</v>
      </c>
      <c r="Y244" s="20">
        <f>$E234/4</f>
        <v>421500000</v>
      </c>
      <c r="Z244" s="20">
        <f>$E234/4</f>
        <v>421500000</v>
      </c>
      <c r="AA244" s="20">
        <f>$E234/4</f>
        <v>421500000</v>
      </c>
      <c r="AB244" s="20">
        <f>$E234/4</f>
        <v>421500000</v>
      </c>
      <c r="AC244" s="20">
        <f>$D234/4</f>
        <v>353750000</v>
      </c>
      <c r="AE244" s="21">
        <f t="shared" si="166"/>
        <v>482737500</v>
      </c>
      <c r="AF244" s="21">
        <f t="shared" si="167"/>
        <v>5355137500</v>
      </c>
      <c r="AG244" s="21">
        <f t="shared" si="164"/>
        <v>72262500</v>
      </c>
    </row>
    <row r="245" spans="2:33" x14ac:dyDescent="0.2">
      <c r="B245" t="s">
        <v>354</v>
      </c>
      <c r="C245" s="5" t="s">
        <v>93</v>
      </c>
      <c r="D245" s="22">
        <f>$D234</f>
        <v>1415000000</v>
      </c>
      <c r="E245" s="22">
        <f>$E234</f>
        <v>1686000000</v>
      </c>
      <c r="F245" s="22">
        <f>$F234</f>
        <v>1814000000</v>
      </c>
      <c r="G245" s="23">
        <f t="shared" si="168"/>
        <v>20</v>
      </c>
      <c r="H245" s="4">
        <v>562000000</v>
      </c>
      <c r="J245" s="20">
        <f t="shared" si="163"/>
        <v>562000000</v>
      </c>
      <c r="K245" s="20">
        <f t="shared" si="165"/>
        <v>555000000</v>
      </c>
      <c r="L245" s="20">
        <f t="shared" si="169"/>
        <v>551000000</v>
      </c>
      <c r="M245" s="20">
        <f t="shared" si="170"/>
        <v>480000000</v>
      </c>
      <c r="N245" s="20">
        <f t="shared" si="171"/>
        <v>519000000</v>
      </c>
      <c r="O245" s="20">
        <f t="shared" si="172"/>
        <v>533000000</v>
      </c>
      <c r="P245" s="20">
        <f t="shared" si="173"/>
        <v>535000000</v>
      </c>
      <c r="Q245" s="20">
        <f>H238</f>
        <v>520000000</v>
      </c>
      <c r="R245" s="20">
        <f>H237</f>
        <v>554000000</v>
      </c>
      <c r="S245" s="20">
        <f>H236</f>
        <v>554000000</v>
      </c>
      <c r="T245" s="20">
        <f>H235</f>
        <v>528000000</v>
      </c>
      <c r="U245" s="20">
        <f>H234</f>
        <v>472000000</v>
      </c>
      <c r="V245" s="20">
        <f>$F234/4</f>
        <v>453500000</v>
      </c>
      <c r="W245" s="20">
        <f>$F234/4</f>
        <v>453500000</v>
      </c>
      <c r="X245" s="20">
        <f>$F234/4</f>
        <v>453500000</v>
      </c>
      <c r="Y245" s="20">
        <f>$F234/4</f>
        <v>453500000</v>
      </c>
      <c r="Z245" s="20">
        <f>$E234/4</f>
        <v>421500000</v>
      </c>
      <c r="AA245" s="20">
        <f>$E234/4</f>
        <v>421500000</v>
      </c>
      <c r="AB245" s="20">
        <f>$E234/4</f>
        <v>421500000</v>
      </c>
      <c r="AC245" s="20">
        <f>$E234/4</f>
        <v>421500000</v>
      </c>
      <c r="AE245" s="21">
        <f t="shared" si="166"/>
        <v>493150000</v>
      </c>
      <c r="AF245" s="21">
        <f t="shared" si="167"/>
        <v>5434400000</v>
      </c>
      <c r="AG245" s="21">
        <f t="shared" si="164"/>
        <v>68850000</v>
      </c>
    </row>
    <row r="248" spans="2:33" x14ac:dyDescent="0.2">
      <c r="C248" t="s">
        <v>386</v>
      </c>
    </row>
    <row r="249" spans="2:33" x14ac:dyDescent="0.2">
      <c r="C249" s="6" t="s">
        <v>107</v>
      </c>
      <c r="D249" s="6" t="s">
        <v>438</v>
      </c>
      <c r="E249" s="6" t="s">
        <v>439</v>
      </c>
      <c r="F249" s="6" t="s">
        <v>440</v>
      </c>
      <c r="G249" s="6" t="s">
        <v>441</v>
      </c>
      <c r="H249" s="6" t="s">
        <v>442</v>
      </c>
      <c r="I249" s="15"/>
      <c r="J249" s="6" t="s">
        <v>443</v>
      </c>
      <c r="K249" s="6" t="s">
        <v>444</v>
      </c>
      <c r="L249" s="6" t="s">
        <v>445</v>
      </c>
      <c r="M249" s="6" t="s">
        <v>446</v>
      </c>
      <c r="N249" s="6" t="s">
        <v>447</v>
      </c>
      <c r="O249" s="6" t="s">
        <v>448</v>
      </c>
      <c r="P249" s="6" t="s">
        <v>449</v>
      </c>
      <c r="Q249" s="6" t="s">
        <v>450</v>
      </c>
      <c r="R249" s="6" t="s">
        <v>451</v>
      </c>
      <c r="S249" s="6" t="s">
        <v>452</v>
      </c>
      <c r="T249" s="6" t="s">
        <v>453</v>
      </c>
      <c r="U249" s="6" t="s">
        <v>454</v>
      </c>
      <c r="V249" s="6" t="s">
        <v>455</v>
      </c>
      <c r="W249" s="6" t="s">
        <v>456</v>
      </c>
      <c r="X249" s="6" t="s">
        <v>457</v>
      </c>
      <c r="Y249" s="6" t="s">
        <v>458</v>
      </c>
      <c r="Z249" s="6" t="s">
        <v>459</v>
      </c>
      <c r="AA249" s="6" t="s">
        <v>460</v>
      </c>
      <c r="AB249" s="6" t="s">
        <v>461</v>
      </c>
      <c r="AC249" s="6" t="s">
        <v>462</v>
      </c>
      <c r="AD249" s="15"/>
      <c r="AE249" s="6" t="s">
        <v>106</v>
      </c>
      <c r="AF249" s="6" t="s">
        <v>105</v>
      </c>
      <c r="AG249" s="6" t="s">
        <v>463</v>
      </c>
    </row>
    <row r="250" spans="2:33" x14ac:dyDescent="0.2">
      <c r="C250" s="16" t="s">
        <v>464</v>
      </c>
      <c r="J250" s="17">
        <v>20</v>
      </c>
      <c r="K250" s="17">
        <v>19</v>
      </c>
      <c r="L250" s="17">
        <v>18</v>
      </c>
      <c r="M250" s="17">
        <v>17</v>
      </c>
      <c r="N250" s="17">
        <v>16</v>
      </c>
      <c r="O250" s="17">
        <v>15</v>
      </c>
      <c r="P250" s="17">
        <v>14</v>
      </c>
      <c r="Q250" s="17">
        <v>13</v>
      </c>
      <c r="R250" s="17">
        <v>12</v>
      </c>
      <c r="S250" s="17">
        <v>11</v>
      </c>
      <c r="T250" s="17">
        <v>10</v>
      </c>
      <c r="U250" s="17">
        <v>9</v>
      </c>
      <c r="V250" s="17">
        <v>8</v>
      </c>
      <c r="W250" s="17">
        <v>7</v>
      </c>
      <c r="X250" s="17">
        <v>6</v>
      </c>
      <c r="Y250" s="17">
        <v>5</v>
      </c>
      <c r="Z250" s="17">
        <v>4</v>
      </c>
      <c r="AA250" s="17">
        <v>3</v>
      </c>
      <c r="AB250" s="17">
        <v>2</v>
      </c>
      <c r="AC250" s="17">
        <v>1</v>
      </c>
    </row>
    <row r="251" spans="2:33" x14ac:dyDescent="0.2">
      <c r="B251" t="s">
        <v>386</v>
      </c>
      <c r="C251" s="5" t="s">
        <v>104</v>
      </c>
      <c r="D251" s="4">
        <v>27573000000</v>
      </c>
      <c r="E251" s="4">
        <v>31562000000</v>
      </c>
      <c r="F251" s="4">
        <v>39500000000</v>
      </c>
      <c r="G251" s="19">
        <v>20</v>
      </c>
      <c r="H251" s="4">
        <v>11468000000</v>
      </c>
      <c r="J251" s="20">
        <f t="shared" ref="J251:J262" si="174">H251</f>
        <v>11468000000</v>
      </c>
      <c r="K251" s="20">
        <f>$F251/4</f>
        <v>9875000000</v>
      </c>
      <c r="L251" s="20">
        <f>$F251/4</f>
        <v>9875000000</v>
      </c>
      <c r="M251" s="20">
        <f>$F251/4</f>
        <v>9875000000</v>
      </c>
      <c r="N251" s="20">
        <f>$F251/4</f>
        <v>9875000000</v>
      </c>
      <c r="O251" s="20">
        <f>$E251/4</f>
        <v>7890500000</v>
      </c>
      <c r="P251" s="20">
        <f>$E251/4</f>
        <v>7890500000</v>
      </c>
      <c r="Q251" s="20">
        <f>$E251/4</f>
        <v>7890500000</v>
      </c>
      <c r="R251" s="20">
        <f>$E251/4</f>
        <v>7890500000</v>
      </c>
      <c r="S251" s="20">
        <f>$D251/4</f>
        <v>6893250000</v>
      </c>
      <c r="T251" s="20">
        <f>$D251/4</f>
        <v>6893250000</v>
      </c>
      <c r="U251" s="20">
        <f>$D251/4</f>
        <v>6893250000</v>
      </c>
      <c r="V251" s="20">
        <f>$D251/4</f>
        <v>6893250000</v>
      </c>
      <c r="W251" s="20">
        <v>0</v>
      </c>
      <c r="X251" s="20">
        <v>0</v>
      </c>
      <c r="Y251" s="20">
        <v>0</v>
      </c>
      <c r="Z251" s="20">
        <v>0</v>
      </c>
      <c r="AA251" s="20">
        <v>0</v>
      </c>
      <c r="AB251" s="20">
        <v>0</v>
      </c>
      <c r="AC251" s="20">
        <v>0</v>
      </c>
      <c r="AE251" s="21">
        <f>SUM(J251:AC251)/$G251</f>
        <v>5505150000</v>
      </c>
      <c r="AF251" s="21">
        <f>SUMPRODUCT($J$250:$AC$250,J251:AC251)/$G251</f>
        <v>80432025000</v>
      </c>
      <c r="AG251" s="21">
        <f t="shared" ref="AG251:AG262" si="175">H251-AE251</f>
        <v>5962850000</v>
      </c>
    </row>
    <row r="252" spans="2:33" x14ac:dyDescent="0.2">
      <c r="B252" t="s">
        <v>386</v>
      </c>
      <c r="C252" s="5" t="s">
        <v>103</v>
      </c>
      <c r="D252" s="22">
        <f>$D251</f>
        <v>27573000000</v>
      </c>
      <c r="E252" s="22">
        <f>$E251</f>
        <v>31562000000</v>
      </c>
      <c r="F252" s="22">
        <f>$F251</f>
        <v>39500000000</v>
      </c>
      <c r="G252" s="23">
        <f>$G$251</f>
        <v>20</v>
      </c>
      <c r="H252" s="4">
        <v>10588000000</v>
      </c>
      <c r="J252" s="20">
        <f t="shared" si="174"/>
        <v>10588000000</v>
      </c>
      <c r="K252" s="20">
        <f t="shared" ref="K252:K262" si="176">H251</f>
        <v>11468000000</v>
      </c>
      <c r="L252" s="20">
        <f>$F251/4</f>
        <v>9875000000</v>
      </c>
      <c r="M252" s="20">
        <f>$F251/4</f>
        <v>9875000000</v>
      </c>
      <c r="N252" s="20">
        <f>$F251/4</f>
        <v>9875000000</v>
      </c>
      <c r="O252" s="20">
        <f>$F251/4</f>
        <v>9875000000</v>
      </c>
      <c r="P252" s="20">
        <f>$E251/4</f>
        <v>7890500000</v>
      </c>
      <c r="Q252" s="20">
        <f>$E251/4</f>
        <v>7890500000</v>
      </c>
      <c r="R252" s="20">
        <f>$E251/4</f>
        <v>7890500000</v>
      </c>
      <c r="S252" s="20">
        <f>$E251/4</f>
        <v>7890500000</v>
      </c>
      <c r="T252" s="20">
        <f>$D251/4</f>
        <v>6893250000</v>
      </c>
      <c r="U252" s="20">
        <f>$D251/4</f>
        <v>6893250000</v>
      </c>
      <c r="V252" s="20">
        <f>$D251/4</f>
        <v>6893250000</v>
      </c>
      <c r="W252" s="20">
        <f>$D251/4</f>
        <v>6893250000</v>
      </c>
      <c r="X252" s="20">
        <v>0</v>
      </c>
      <c r="Y252" s="20">
        <v>0</v>
      </c>
      <c r="Z252" s="20">
        <v>0</v>
      </c>
      <c r="AA252" s="20">
        <v>0</v>
      </c>
      <c r="AB252" s="20">
        <v>0</v>
      </c>
      <c r="AC252" s="20">
        <v>0</v>
      </c>
      <c r="AE252" s="21">
        <f t="shared" ref="AE252:AE262" si="177">SUM(J252:AC252)/$G252</f>
        <v>6034550000</v>
      </c>
      <c r="AF252" s="21">
        <f t="shared" ref="AF252:AF262" si="178">SUMPRODUCT($J$250:$AC$250,J252:AC252)/$G252</f>
        <v>85514875000</v>
      </c>
      <c r="AG252" s="21">
        <f t="shared" si="175"/>
        <v>4553450000</v>
      </c>
    </row>
    <row r="253" spans="2:33" x14ac:dyDescent="0.2">
      <c r="B253" t="s">
        <v>386</v>
      </c>
      <c r="C253" s="5" t="s">
        <v>102</v>
      </c>
      <c r="D253" s="22">
        <f>$D251</f>
        <v>27573000000</v>
      </c>
      <c r="E253" s="22">
        <f>$E251</f>
        <v>31562000000</v>
      </c>
      <c r="F253" s="22">
        <f>$F251</f>
        <v>39500000000</v>
      </c>
      <c r="G253" s="23">
        <f t="shared" ref="G253:G262" si="179">$G$251</f>
        <v>20</v>
      </c>
      <c r="H253" s="4">
        <v>11258000000</v>
      </c>
      <c r="J253" s="20">
        <f t="shared" si="174"/>
        <v>11258000000</v>
      </c>
      <c r="K253" s="20">
        <f t="shared" si="176"/>
        <v>10588000000</v>
      </c>
      <c r="L253" s="20">
        <f t="shared" ref="L253:L262" si="180">H251</f>
        <v>11468000000</v>
      </c>
      <c r="M253" s="20">
        <f>$F251/4</f>
        <v>9875000000</v>
      </c>
      <c r="N253" s="20">
        <f>$F251/4</f>
        <v>9875000000</v>
      </c>
      <c r="O253" s="20">
        <f>$F251/4</f>
        <v>9875000000</v>
      </c>
      <c r="P253" s="20">
        <f>$F251/4</f>
        <v>9875000000</v>
      </c>
      <c r="Q253" s="20">
        <f>$E251/4</f>
        <v>7890500000</v>
      </c>
      <c r="R253" s="20">
        <f>$E251/4</f>
        <v>7890500000</v>
      </c>
      <c r="S253" s="20">
        <f>$E251/4</f>
        <v>7890500000</v>
      </c>
      <c r="T253" s="20">
        <f>$E251/4</f>
        <v>7890500000</v>
      </c>
      <c r="U253" s="20">
        <f>$D251/4</f>
        <v>6893250000</v>
      </c>
      <c r="V253" s="20">
        <f>$D251/4</f>
        <v>6893250000</v>
      </c>
      <c r="W253" s="20">
        <f>$D251/4</f>
        <v>6893250000</v>
      </c>
      <c r="X253" s="20">
        <f>$D251/4</f>
        <v>6893250000</v>
      </c>
      <c r="Y253" s="20">
        <v>0</v>
      </c>
      <c r="Z253" s="20">
        <v>0</v>
      </c>
      <c r="AA253" s="20">
        <v>0</v>
      </c>
      <c r="AB253" s="20">
        <v>0</v>
      </c>
      <c r="AC253" s="20">
        <v>0</v>
      </c>
      <c r="AE253" s="21">
        <f t="shared" si="177"/>
        <v>6597450000</v>
      </c>
      <c r="AF253" s="21">
        <f t="shared" si="178"/>
        <v>90738325000</v>
      </c>
      <c r="AG253" s="21">
        <f t="shared" si="175"/>
        <v>4660550000</v>
      </c>
    </row>
    <row r="254" spans="2:33" x14ac:dyDescent="0.2">
      <c r="B254" t="s">
        <v>386</v>
      </c>
      <c r="C254" s="5" t="s">
        <v>101</v>
      </c>
      <c r="D254" s="22">
        <f>$D251</f>
        <v>27573000000</v>
      </c>
      <c r="E254" s="22">
        <f>$E251</f>
        <v>31562000000</v>
      </c>
      <c r="F254" s="22">
        <f>$F251</f>
        <v>39500000000</v>
      </c>
      <c r="G254" s="23">
        <f t="shared" si="179"/>
        <v>20</v>
      </c>
      <c r="H254" s="4">
        <v>12113000000</v>
      </c>
      <c r="J254" s="20">
        <f t="shared" si="174"/>
        <v>12113000000</v>
      </c>
      <c r="K254" s="20">
        <f t="shared" si="176"/>
        <v>11258000000</v>
      </c>
      <c r="L254" s="20">
        <f t="shared" si="180"/>
        <v>10588000000</v>
      </c>
      <c r="M254" s="20">
        <f t="shared" ref="M254:M262" si="181">H251</f>
        <v>11468000000</v>
      </c>
      <c r="N254" s="20">
        <f>$F251/4</f>
        <v>9875000000</v>
      </c>
      <c r="O254" s="20">
        <f>$F251/4</f>
        <v>9875000000</v>
      </c>
      <c r="P254" s="20">
        <f>$F251/4</f>
        <v>9875000000</v>
      </c>
      <c r="Q254" s="20">
        <f>$F251/4</f>
        <v>9875000000</v>
      </c>
      <c r="R254" s="20">
        <f>$E251/4</f>
        <v>7890500000</v>
      </c>
      <c r="S254" s="20">
        <f>$E251/4</f>
        <v>7890500000</v>
      </c>
      <c r="T254" s="20">
        <f>$E251/4</f>
        <v>7890500000</v>
      </c>
      <c r="U254" s="20">
        <f>$E251/4</f>
        <v>7890500000</v>
      </c>
      <c r="V254" s="20">
        <f>$D251/4</f>
        <v>6893250000</v>
      </c>
      <c r="W254" s="20">
        <f>$D251/4</f>
        <v>6893250000</v>
      </c>
      <c r="X254" s="20">
        <f>$D251/4</f>
        <v>6893250000</v>
      </c>
      <c r="Y254" s="20">
        <f>$D251/4</f>
        <v>6893250000</v>
      </c>
      <c r="Z254" s="20">
        <v>0</v>
      </c>
      <c r="AA254" s="20">
        <v>0</v>
      </c>
      <c r="AB254" s="20">
        <v>0</v>
      </c>
      <c r="AC254" s="20">
        <v>0</v>
      </c>
      <c r="AE254" s="21">
        <f t="shared" si="177"/>
        <v>7203100000</v>
      </c>
      <c r="AF254" s="21">
        <f t="shared" si="178"/>
        <v>96253875000</v>
      </c>
      <c r="AG254" s="21">
        <f t="shared" si="175"/>
        <v>4909900000</v>
      </c>
    </row>
    <row r="255" spans="2:33" x14ac:dyDescent="0.2">
      <c r="B255" t="s">
        <v>386</v>
      </c>
      <c r="C255" s="5" t="s">
        <v>100</v>
      </c>
      <c r="D255" s="22">
        <f>$D251</f>
        <v>27573000000</v>
      </c>
      <c r="E255" s="22">
        <f>$E251</f>
        <v>31562000000</v>
      </c>
      <c r="F255" s="22">
        <f>$F251</f>
        <v>39500000000</v>
      </c>
      <c r="G255" s="23">
        <f t="shared" si="179"/>
        <v>20</v>
      </c>
      <c r="H255" s="4">
        <v>11903000000</v>
      </c>
      <c r="J255" s="20">
        <f t="shared" si="174"/>
        <v>11903000000</v>
      </c>
      <c r="K255" s="20">
        <f t="shared" si="176"/>
        <v>12113000000</v>
      </c>
      <c r="L255" s="20">
        <f t="shared" si="180"/>
        <v>11258000000</v>
      </c>
      <c r="M255" s="20">
        <f t="shared" si="181"/>
        <v>10588000000</v>
      </c>
      <c r="N255" s="20">
        <f t="shared" ref="N255:N262" si="182">H251</f>
        <v>11468000000</v>
      </c>
      <c r="O255" s="20">
        <f>$F251/4</f>
        <v>9875000000</v>
      </c>
      <c r="P255" s="20">
        <f>$F251/4</f>
        <v>9875000000</v>
      </c>
      <c r="Q255" s="20">
        <f>$F251/4</f>
        <v>9875000000</v>
      </c>
      <c r="R255" s="20">
        <f>$F251/4</f>
        <v>9875000000</v>
      </c>
      <c r="S255" s="20">
        <f>$E251/4</f>
        <v>7890500000</v>
      </c>
      <c r="T255" s="20">
        <f>$E251/4</f>
        <v>7890500000</v>
      </c>
      <c r="U255" s="20">
        <f>$E251/4</f>
        <v>7890500000</v>
      </c>
      <c r="V255" s="20">
        <f>$E251/4</f>
        <v>7890500000</v>
      </c>
      <c r="W255" s="20">
        <f>$D251/4</f>
        <v>6893250000</v>
      </c>
      <c r="X255" s="20">
        <f>$D251/4</f>
        <v>6893250000</v>
      </c>
      <c r="Y255" s="20">
        <f>$D251/4</f>
        <v>6893250000</v>
      </c>
      <c r="Z255" s="20">
        <f>$D251/4</f>
        <v>6893250000</v>
      </c>
      <c r="AA255" s="20">
        <v>0</v>
      </c>
      <c r="AB255" s="20">
        <v>0</v>
      </c>
      <c r="AC255" s="20">
        <v>0</v>
      </c>
      <c r="AE255" s="21">
        <f t="shared" si="177"/>
        <v>7798250000</v>
      </c>
      <c r="AF255" s="21">
        <f t="shared" si="178"/>
        <v>100953775000</v>
      </c>
      <c r="AG255" s="21">
        <f t="shared" si="175"/>
        <v>4104750000</v>
      </c>
    </row>
    <row r="256" spans="2:33" x14ac:dyDescent="0.2">
      <c r="B256" t="s">
        <v>386</v>
      </c>
      <c r="C256" s="5" t="s">
        <v>99</v>
      </c>
      <c r="D256" s="22">
        <f>$D251</f>
        <v>27573000000</v>
      </c>
      <c r="E256" s="22">
        <f>$E251</f>
        <v>31562000000</v>
      </c>
      <c r="F256" s="22">
        <f>$F251</f>
        <v>39500000000</v>
      </c>
      <c r="G256" s="23">
        <f t="shared" si="179"/>
        <v>20</v>
      </c>
      <c r="H256" s="4">
        <v>11860000000</v>
      </c>
      <c r="J256" s="20">
        <f t="shared" si="174"/>
        <v>11860000000</v>
      </c>
      <c r="K256" s="20">
        <f t="shared" si="176"/>
        <v>11903000000</v>
      </c>
      <c r="L256" s="20">
        <f t="shared" si="180"/>
        <v>12113000000</v>
      </c>
      <c r="M256" s="20">
        <f t="shared" si="181"/>
        <v>11258000000</v>
      </c>
      <c r="N256" s="20">
        <f t="shared" si="182"/>
        <v>10588000000</v>
      </c>
      <c r="O256" s="20">
        <f t="shared" ref="O256:O262" si="183">H251</f>
        <v>11468000000</v>
      </c>
      <c r="P256" s="20">
        <f>$F251/4</f>
        <v>9875000000</v>
      </c>
      <c r="Q256" s="20">
        <f>$F251/4</f>
        <v>9875000000</v>
      </c>
      <c r="R256" s="20">
        <f>$F251/4</f>
        <v>9875000000</v>
      </c>
      <c r="S256" s="20">
        <f>$F251/4</f>
        <v>9875000000</v>
      </c>
      <c r="T256" s="20">
        <f>$E251/4</f>
        <v>7890500000</v>
      </c>
      <c r="U256" s="20">
        <f>$E251/4</f>
        <v>7890500000</v>
      </c>
      <c r="V256" s="20">
        <f>$E251/4</f>
        <v>7890500000</v>
      </c>
      <c r="W256" s="20">
        <f>$E251/4</f>
        <v>7890500000</v>
      </c>
      <c r="X256" s="20">
        <f>$D251/4</f>
        <v>6893250000</v>
      </c>
      <c r="Y256" s="20">
        <f>$D251/4</f>
        <v>6893250000</v>
      </c>
      <c r="Z256" s="20">
        <f>$D251/4</f>
        <v>6893250000</v>
      </c>
      <c r="AA256" s="20">
        <f>$D251/4</f>
        <v>6893250000</v>
      </c>
      <c r="AB256" s="20">
        <v>0</v>
      </c>
      <c r="AC256" s="20">
        <v>0</v>
      </c>
      <c r="AE256" s="21">
        <f t="shared" si="177"/>
        <v>8391250000</v>
      </c>
      <c r="AF256" s="21">
        <f t="shared" si="178"/>
        <v>105015525000</v>
      </c>
      <c r="AG256" s="21">
        <f t="shared" si="175"/>
        <v>3468750000</v>
      </c>
    </row>
    <row r="257" spans="2:33" x14ac:dyDescent="0.2">
      <c r="B257" t="s">
        <v>386</v>
      </c>
      <c r="C257" s="5" t="s">
        <v>98</v>
      </c>
      <c r="D257" s="22">
        <f>$D251</f>
        <v>27573000000</v>
      </c>
      <c r="E257" s="22">
        <f>$E251</f>
        <v>31562000000</v>
      </c>
      <c r="F257" s="22">
        <f>$F251</f>
        <v>39500000000</v>
      </c>
      <c r="G257" s="23">
        <f t="shared" si="179"/>
        <v>20</v>
      </c>
      <c r="H257" s="4">
        <v>12447000000</v>
      </c>
      <c r="J257" s="20">
        <f t="shared" si="174"/>
        <v>12447000000</v>
      </c>
      <c r="K257" s="20">
        <f t="shared" si="176"/>
        <v>11860000000</v>
      </c>
      <c r="L257" s="20">
        <f t="shared" si="180"/>
        <v>11903000000</v>
      </c>
      <c r="M257" s="20">
        <f t="shared" si="181"/>
        <v>12113000000</v>
      </c>
      <c r="N257" s="20">
        <f t="shared" si="182"/>
        <v>11258000000</v>
      </c>
      <c r="O257" s="20">
        <f t="shared" si="183"/>
        <v>10588000000</v>
      </c>
      <c r="P257" s="20">
        <f t="shared" ref="P257:P262" si="184">H251</f>
        <v>11468000000</v>
      </c>
      <c r="Q257" s="20">
        <f>$F251/4</f>
        <v>9875000000</v>
      </c>
      <c r="R257" s="20">
        <f>$F251/4</f>
        <v>9875000000</v>
      </c>
      <c r="S257" s="20">
        <f>$F251/4</f>
        <v>9875000000</v>
      </c>
      <c r="T257" s="20">
        <f>$F251/4</f>
        <v>9875000000</v>
      </c>
      <c r="U257" s="20">
        <f>$E251/4</f>
        <v>7890500000</v>
      </c>
      <c r="V257" s="20">
        <f>$E251/4</f>
        <v>7890500000</v>
      </c>
      <c r="W257" s="20">
        <f>$E251/4</f>
        <v>7890500000</v>
      </c>
      <c r="X257" s="20">
        <f>$E251/4</f>
        <v>7890500000</v>
      </c>
      <c r="Y257" s="20">
        <f>$D251/4</f>
        <v>6893250000</v>
      </c>
      <c r="Z257" s="20">
        <f>$D251/4</f>
        <v>6893250000</v>
      </c>
      <c r="AA257" s="20">
        <f>$D251/4</f>
        <v>6893250000</v>
      </c>
      <c r="AB257" s="20">
        <f>$D251/4</f>
        <v>6893250000</v>
      </c>
      <c r="AC257" s="20">
        <v>0</v>
      </c>
      <c r="AE257" s="21">
        <f t="shared" si="177"/>
        <v>9013600000</v>
      </c>
      <c r="AF257" s="21">
        <f t="shared" si="178"/>
        <v>109071275000</v>
      </c>
      <c r="AG257" s="21">
        <f t="shared" si="175"/>
        <v>3433400000</v>
      </c>
    </row>
    <row r="258" spans="2:33" x14ac:dyDescent="0.2">
      <c r="B258" t="s">
        <v>386</v>
      </c>
      <c r="C258" s="5" t="s">
        <v>97</v>
      </c>
      <c r="D258" s="22">
        <f>$D251</f>
        <v>27573000000</v>
      </c>
      <c r="E258" s="22">
        <f>$E251</f>
        <v>31562000000</v>
      </c>
      <c r="F258" s="22">
        <f>$F251</f>
        <v>39500000000</v>
      </c>
      <c r="G258" s="23">
        <f t="shared" si="179"/>
        <v>20</v>
      </c>
      <c r="H258" s="4">
        <v>13116000000</v>
      </c>
      <c r="J258" s="20">
        <f t="shared" si="174"/>
        <v>13116000000</v>
      </c>
      <c r="K258" s="20">
        <f t="shared" si="176"/>
        <v>12447000000</v>
      </c>
      <c r="L258" s="20">
        <f t="shared" si="180"/>
        <v>11860000000</v>
      </c>
      <c r="M258" s="20">
        <f t="shared" si="181"/>
        <v>11903000000</v>
      </c>
      <c r="N258" s="20">
        <f t="shared" si="182"/>
        <v>12113000000</v>
      </c>
      <c r="O258" s="20">
        <f t="shared" si="183"/>
        <v>11258000000</v>
      </c>
      <c r="P258" s="20">
        <f t="shared" si="184"/>
        <v>10588000000</v>
      </c>
      <c r="Q258" s="20">
        <f>H251</f>
        <v>11468000000</v>
      </c>
      <c r="R258" s="20">
        <f>$F251/4</f>
        <v>9875000000</v>
      </c>
      <c r="S258" s="20">
        <f>$F251/4</f>
        <v>9875000000</v>
      </c>
      <c r="T258" s="20">
        <f>$F251/4</f>
        <v>9875000000</v>
      </c>
      <c r="U258" s="20">
        <f>$F251/4</f>
        <v>9875000000</v>
      </c>
      <c r="V258" s="20">
        <f>$E251/4</f>
        <v>7890500000</v>
      </c>
      <c r="W258" s="20">
        <f>$E251/4</f>
        <v>7890500000</v>
      </c>
      <c r="X258" s="20">
        <f>$E251/4</f>
        <v>7890500000</v>
      </c>
      <c r="Y258" s="20">
        <f>$E251/4</f>
        <v>7890500000</v>
      </c>
      <c r="Z258" s="20">
        <f>$D251/4</f>
        <v>6893250000</v>
      </c>
      <c r="AA258" s="20">
        <f>$D251/4</f>
        <v>6893250000</v>
      </c>
      <c r="AB258" s="20">
        <f>$D251/4</f>
        <v>6893250000</v>
      </c>
      <c r="AC258" s="20">
        <f>$D251/4</f>
        <v>6893250000</v>
      </c>
      <c r="AE258" s="21">
        <f t="shared" si="177"/>
        <v>9669400000</v>
      </c>
      <c r="AF258" s="21">
        <f t="shared" si="178"/>
        <v>113173675000</v>
      </c>
      <c r="AG258" s="21">
        <f t="shared" si="175"/>
        <v>3446600000</v>
      </c>
    </row>
    <row r="259" spans="2:33" x14ac:dyDescent="0.2">
      <c r="B259" t="s">
        <v>386</v>
      </c>
      <c r="C259" s="5" t="s">
        <v>96</v>
      </c>
      <c r="D259" s="22">
        <f>$D251</f>
        <v>27573000000</v>
      </c>
      <c r="E259" s="22">
        <f>$E251</f>
        <v>31562000000</v>
      </c>
      <c r="F259" s="22">
        <f>$F251</f>
        <v>39500000000</v>
      </c>
      <c r="G259" s="23">
        <f t="shared" si="179"/>
        <v>20</v>
      </c>
      <c r="H259" s="4">
        <v>13556000000</v>
      </c>
      <c r="J259" s="20">
        <f t="shared" si="174"/>
        <v>13556000000</v>
      </c>
      <c r="K259" s="20">
        <f t="shared" si="176"/>
        <v>13116000000</v>
      </c>
      <c r="L259" s="20">
        <f t="shared" si="180"/>
        <v>12447000000</v>
      </c>
      <c r="M259" s="20">
        <f t="shared" si="181"/>
        <v>11860000000</v>
      </c>
      <c r="N259" s="20">
        <f t="shared" si="182"/>
        <v>11903000000</v>
      </c>
      <c r="O259" s="20">
        <f t="shared" si="183"/>
        <v>12113000000</v>
      </c>
      <c r="P259" s="20">
        <f t="shared" si="184"/>
        <v>11258000000</v>
      </c>
      <c r="Q259" s="20">
        <f>H252</f>
        <v>10588000000</v>
      </c>
      <c r="R259" s="20">
        <f>H251</f>
        <v>11468000000</v>
      </c>
      <c r="S259" s="20">
        <f>$F251/4</f>
        <v>9875000000</v>
      </c>
      <c r="T259" s="20">
        <f>$F251/4</f>
        <v>9875000000</v>
      </c>
      <c r="U259" s="20">
        <f>$F251/4</f>
        <v>9875000000</v>
      </c>
      <c r="V259" s="20">
        <f>$F251/4</f>
        <v>9875000000</v>
      </c>
      <c r="W259" s="20">
        <f>$E251/4</f>
        <v>7890500000</v>
      </c>
      <c r="X259" s="20">
        <f>$E251/4</f>
        <v>7890500000</v>
      </c>
      <c r="Y259" s="20">
        <f>$E251/4</f>
        <v>7890500000</v>
      </c>
      <c r="Z259" s="20">
        <f>$E251/4</f>
        <v>7890500000</v>
      </c>
      <c r="AA259" s="20">
        <f>$D251/4</f>
        <v>6893250000</v>
      </c>
      <c r="AB259" s="20">
        <f>$D251/4</f>
        <v>6893250000</v>
      </c>
      <c r="AC259" s="20">
        <f>$D251/4</f>
        <v>6893250000</v>
      </c>
      <c r="AE259" s="21">
        <f t="shared" si="177"/>
        <v>10002537500</v>
      </c>
      <c r="AF259" s="21">
        <f t="shared" si="178"/>
        <v>117060275000</v>
      </c>
      <c r="AG259" s="21">
        <f t="shared" si="175"/>
        <v>3553462500</v>
      </c>
    </row>
    <row r="260" spans="2:33" x14ac:dyDescent="0.2">
      <c r="B260" t="s">
        <v>386</v>
      </c>
      <c r="C260" s="5" t="s">
        <v>95</v>
      </c>
      <c r="D260" s="22">
        <f>$D251</f>
        <v>27573000000</v>
      </c>
      <c r="E260" s="22">
        <f>$E251</f>
        <v>31562000000</v>
      </c>
      <c r="F260" s="22">
        <f>$F251</f>
        <v>39500000000</v>
      </c>
      <c r="G260" s="23">
        <f t="shared" si="179"/>
        <v>20</v>
      </c>
      <c r="H260" s="4">
        <v>13808000000</v>
      </c>
      <c r="J260" s="20">
        <f t="shared" si="174"/>
        <v>13808000000</v>
      </c>
      <c r="K260" s="20">
        <f t="shared" si="176"/>
        <v>13556000000</v>
      </c>
      <c r="L260" s="20">
        <f t="shared" si="180"/>
        <v>13116000000</v>
      </c>
      <c r="M260" s="20">
        <f t="shared" si="181"/>
        <v>12447000000</v>
      </c>
      <c r="N260" s="20">
        <f t="shared" si="182"/>
        <v>11860000000</v>
      </c>
      <c r="O260" s="20">
        <f t="shared" si="183"/>
        <v>11903000000</v>
      </c>
      <c r="P260" s="20">
        <f t="shared" si="184"/>
        <v>12113000000</v>
      </c>
      <c r="Q260" s="20">
        <f>H253</f>
        <v>11258000000</v>
      </c>
      <c r="R260" s="20">
        <f>H252</f>
        <v>10588000000</v>
      </c>
      <c r="S260" s="20">
        <f>H251</f>
        <v>11468000000</v>
      </c>
      <c r="T260" s="20">
        <f>$F251/4</f>
        <v>9875000000</v>
      </c>
      <c r="U260" s="20">
        <f>$F251/4</f>
        <v>9875000000</v>
      </c>
      <c r="V260" s="20">
        <f>$F251/4</f>
        <v>9875000000</v>
      </c>
      <c r="W260" s="20">
        <f>$F251/4</f>
        <v>9875000000</v>
      </c>
      <c r="X260" s="20">
        <f>$E251/4</f>
        <v>7890500000</v>
      </c>
      <c r="Y260" s="20">
        <f>$E251/4</f>
        <v>7890500000</v>
      </c>
      <c r="Z260" s="20">
        <f>$E251/4</f>
        <v>7890500000</v>
      </c>
      <c r="AA260" s="20">
        <f>$E251/4</f>
        <v>7890500000</v>
      </c>
      <c r="AB260" s="20">
        <f>$D251/4</f>
        <v>6893250000</v>
      </c>
      <c r="AC260" s="20">
        <f>$D251/4</f>
        <v>6893250000</v>
      </c>
      <c r="AE260" s="21">
        <f t="shared" si="177"/>
        <v>10348275000</v>
      </c>
      <c r="AF260" s="21">
        <f t="shared" si="178"/>
        <v>120865737500</v>
      </c>
      <c r="AG260" s="21">
        <f t="shared" si="175"/>
        <v>3459725000</v>
      </c>
    </row>
    <row r="261" spans="2:33" x14ac:dyDescent="0.2">
      <c r="B261" t="s">
        <v>386</v>
      </c>
      <c r="C261" s="5" t="s">
        <v>94</v>
      </c>
      <c r="D261" s="22">
        <f>$D251</f>
        <v>27573000000</v>
      </c>
      <c r="E261" s="22">
        <f>$E251</f>
        <v>31562000000</v>
      </c>
      <c r="F261" s="22">
        <f>$F251</f>
        <v>39500000000</v>
      </c>
      <c r="G261" s="23">
        <f t="shared" si="179"/>
        <v>20</v>
      </c>
      <c r="H261" s="4">
        <v>15151000000</v>
      </c>
      <c r="J261" s="20">
        <f t="shared" si="174"/>
        <v>15151000000</v>
      </c>
      <c r="K261" s="20">
        <f t="shared" si="176"/>
        <v>13808000000</v>
      </c>
      <c r="L261" s="20">
        <f t="shared" si="180"/>
        <v>13556000000</v>
      </c>
      <c r="M261" s="20">
        <f t="shared" si="181"/>
        <v>13116000000</v>
      </c>
      <c r="N261" s="20">
        <f t="shared" si="182"/>
        <v>12447000000</v>
      </c>
      <c r="O261" s="20">
        <f t="shared" si="183"/>
        <v>11860000000</v>
      </c>
      <c r="P261" s="20">
        <f t="shared" si="184"/>
        <v>11903000000</v>
      </c>
      <c r="Q261" s="20">
        <f>H254</f>
        <v>12113000000</v>
      </c>
      <c r="R261" s="20">
        <f>H253</f>
        <v>11258000000</v>
      </c>
      <c r="S261" s="20">
        <f>H252</f>
        <v>10588000000</v>
      </c>
      <c r="T261" s="20">
        <f>H251</f>
        <v>11468000000</v>
      </c>
      <c r="U261" s="20">
        <f>$F251/4</f>
        <v>9875000000</v>
      </c>
      <c r="V261" s="20">
        <f>$F251/4</f>
        <v>9875000000</v>
      </c>
      <c r="W261" s="20">
        <f>$F251/4</f>
        <v>9875000000</v>
      </c>
      <c r="X261" s="20">
        <f>$F251/4</f>
        <v>9875000000</v>
      </c>
      <c r="Y261" s="20">
        <f>$E251/4</f>
        <v>7890500000</v>
      </c>
      <c r="Z261" s="20">
        <f>$E251/4</f>
        <v>7890500000</v>
      </c>
      <c r="AA261" s="20">
        <f>$E251/4</f>
        <v>7890500000</v>
      </c>
      <c r="AB261" s="20">
        <f>$E251/4</f>
        <v>7890500000</v>
      </c>
      <c r="AC261" s="20">
        <f>$D251/4</f>
        <v>6893250000</v>
      </c>
      <c r="AE261" s="21">
        <f t="shared" si="177"/>
        <v>10761162500</v>
      </c>
      <c r="AF261" s="21">
        <f t="shared" si="178"/>
        <v>125668462500</v>
      </c>
      <c r="AG261" s="21">
        <f t="shared" si="175"/>
        <v>4389837500</v>
      </c>
    </row>
    <row r="262" spans="2:33" x14ac:dyDescent="0.2">
      <c r="B262" t="s">
        <v>386</v>
      </c>
      <c r="C262" s="5" t="s">
        <v>93</v>
      </c>
      <c r="D262" s="22">
        <f>$D251</f>
        <v>27573000000</v>
      </c>
      <c r="E262" s="22">
        <f>$E251</f>
        <v>31562000000</v>
      </c>
      <c r="F262" s="22">
        <f>$F251</f>
        <v>39500000000</v>
      </c>
      <c r="G262" s="23">
        <f t="shared" si="179"/>
        <v>20</v>
      </c>
      <c r="H262" s="4">
        <v>18572000000</v>
      </c>
      <c r="J262" s="20">
        <f t="shared" si="174"/>
        <v>18572000000</v>
      </c>
      <c r="K262" s="20">
        <f t="shared" si="176"/>
        <v>15151000000</v>
      </c>
      <c r="L262" s="20">
        <f t="shared" si="180"/>
        <v>13808000000</v>
      </c>
      <c r="M262" s="20">
        <f t="shared" si="181"/>
        <v>13556000000</v>
      </c>
      <c r="N262" s="20">
        <f t="shared" si="182"/>
        <v>13116000000</v>
      </c>
      <c r="O262" s="20">
        <f t="shared" si="183"/>
        <v>12447000000</v>
      </c>
      <c r="P262" s="20">
        <f t="shared" si="184"/>
        <v>11860000000</v>
      </c>
      <c r="Q262" s="20">
        <f>H255</f>
        <v>11903000000</v>
      </c>
      <c r="R262" s="20">
        <f>H254</f>
        <v>12113000000</v>
      </c>
      <c r="S262" s="20">
        <f>H253</f>
        <v>11258000000</v>
      </c>
      <c r="T262" s="20">
        <f>H252</f>
        <v>10588000000</v>
      </c>
      <c r="U262" s="20">
        <f>H251</f>
        <v>11468000000</v>
      </c>
      <c r="V262" s="20">
        <f>$F251/4</f>
        <v>9875000000</v>
      </c>
      <c r="W262" s="20">
        <f>$F251/4</f>
        <v>9875000000</v>
      </c>
      <c r="X262" s="20">
        <f>$F251/4</f>
        <v>9875000000</v>
      </c>
      <c r="Y262" s="20">
        <f>$F251/4</f>
        <v>9875000000</v>
      </c>
      <c r="Z262" s="20">
        <f>$E251/4</f>
        <v>7890500000</v>
      </c>
      <c r="AA262" s="20">
        <f>$E251/4</f>
        <v>7890500000</v>
      </c>
      <c r="AB262" s="20">
        <f>$E251/4</f>
        <v>7890500000</v>
      </c>
      <c r="AC262" s="20">
        <f>$E251/4</f>
        <v>7890500000</v>
      </c>
      <c r="AE262" s="21">
        <f t="shared" si="177"/>
        <v>11345100000</v>
      </c>
      <c r="AF262" s="21">
        <f t="shared" si="178"/>
        <v>133479300000</v>
      </c>
      <c r="AG262" s="21">
        <f t="shared" si="175"/>
        <v>7226900000</v>
      </c>
    </row>
  </sheetData>
  <phoneticPr fontId="21" type="noConversion"/>
  <pageMargins left="0.7" right="0.7" top="0.75" bottom="0.75" header="0.3" footer="0.3"/>
  <pageSetup orientation="portrait" horizontalDpi="0" verticalDpi="0"/>
</worksheet>
</file>

<file path=xl/worksheets/sheet3.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B6472-2292-4D45-A5E2-70ADE8EE1AC2}">
  <dimension ref="A1:AA25"/>
  <sheetViews>
    <sheetView workbookViewId="0">
      <selection activeCell="T11" sqref="T11"/>
    </sheetView>
  </sheetViews>
  <sheetFormatPr baseColWidth="10" defaultRowHeight="16" x14ac:dyDescent="0.2"/>
  <cols>
    <col min="1" max="1" width="18.33203125" bestFit="1" customWidth="1"/>
    <col min="6" max="6" width="20.6640625" bestFit="1" customWidth="1"/>
    <col min="19" max="20" width="12.1640625" bestFit="1" customWidth="1"/>
    <col min="21" max="21" width="17.6640625" bestFit="1" customWidth="1"/>
    <col min="23" max="24" width="11.1640625" bestFit="1" customWidth="1"/>
    <col min="25" max="25" width="17.83203125" bestFit="1" customWidth="1"/>
    <col min="26" max="26" width="16.5" bestFit="1" customWidth="1"/>
    <col min="27" max="27" width="11.1640625" bestFit="1" customWidth="1"/>
    <col min="35" max="35" width="20" bestFit="1" customWidth="1"/>
    <col min="37" max="37" width="17.83203125" bestFit="1" customWidth="1"/>
  </cols>
  <sheetData>
    <row r="1" spans="1:27" x14ac:dyDescent="0.2">
      <c r="A1" t="s">
        <v>108</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22</v>
      </c>
      <c r="W1" t="s">
        <v>23</v>
      </c>
      <c r="X1" t="s">
        <v>24</v>
      </c>
      <c r="Y1" t="s">
        <v>36</v>
      </c>
      <c r="Z1" t="s">
        <v>37</v>
      </c>
      <c r="AA1" t="s">
        <v>38</v>
      </c>
    </row>
    <row r="2" spans="1:27" x14ac:dyDescent="0.2">
      <c r="A2" t="s">
        <v>120</v>
      </c>
      <c r="B2" t="s">
        <v>113</v>
      </c>
      <c r="C2" s="7" t="s">
        <v>112</v>
      </c>
      <c r="D2" s="1" t="s">
        <v>114</v>
      </c>
      <c r="E2" t="s">
        <v>55</v>
      </c>
      <c r="F2" t="s">
        <v>118</v>
      </c>
      <c r="G2" s="2" t="d">
        <v>2024-02-08</v>
      </c>
      <c r="H2" s="2" t="d">
        <v>2024-02-08</v>
      </c>
      <c r="I2">
        <v>2024</v>
      </c>
      <c r="J2" t="s">
        <v>57</v>
      </c>
      <c r="K2">
        <v>4</v>
      </c>
      <c r="L2" s="2" t="d">
        <v>2023-10-01</v>
      </c>
      <c r="M2" s="2" t="d">
        <v>2023-12-30</v>
      </c>
      <c r="N2">
        <v>2023</v>
      </c>
      <c r="O2" t="s">
        <v>65</v>
      </c>
      <c r="Q2" t="s">
        <v>110</v>
      </c>
      <c r="R2" t="s">
        <v>109</v>
      </c>
      <c r="S2">
        <v>368450000</v>
      </c>
      <c r="T2">
        <v>298343000</v>
      </c>
      <c r="U2">
        <v>-19049000</v>
      </c>
      <c r="V2">
        <v>-117000</v>
      </c>
      <c r="W2">
        <v>-12850000</v>
      </c>
      <c r="X2">
        <v>171875000</v>
      </c>
      <c r="Y2">
        <v>106088000</v>
      </c>
      <c r="Z2">
        <v>-12967000</v>
      </c>
      <c r="AA2">
        <v>1324304000</v>
      </c>
    </row>
    <row r="3" spans="1:27" x14ac:dyDescent="0.2">
      <c r="A3" t="s">
        <v>120</v>
      </c>
      <c r="B3" t="s">
        <v>113</v>
      </c>
      <c r="C3" s="7" t="s">
        <v>112</v>
      </c>
      <c r="D3" s="1" t="s">
        <v>114</v>
      </c>
      <c r="E3" t="s">
        <v>436</v>
      </c>
      <c r="F3" t="s">
        <v>124</v>
      </c>
      <c r="G3" s="2" t="d">
        <v>2024-12-04</v>
      </c>
      <c r="H3" s="2" t="d">
        <v>2024-12-04</v>
      </c>
      <c r="I3">
        <v>2024</v>
      </c>
      <c r="J3" t="s">
        <v>57</v>
      </c>
      <c r="K3">
        <v>4</v>
      </c>
      <c r="L3" s="2" t="d">
        <v>2023-10-01</v>
      </c>
      <c r="M3" s="2" t="d">
        <v>2023-12-30</v>
      </c>
      <c r="N3">
        <v>2023</v>
      </c>
      <c r="O3" t="s">
        <v>65</v>
      </c>
      <c r="Q3" t="s">
        <v>117</v>
      </c>
      <c r="R3" t="s">
        <v>109</v>
      </c>
      <c r="S3">
        <v>359943000</v>
      </c>
      <c r="T3">
        <v>295886000</v>
      </c>
      <c r="U3">
        <v>-25099000</v>
      </c>
      <c r="V3">
        <v>-172000</v>
      </c>
      <c r="W3">
        <v>-18900000</v>
      </c>
      <c r="X3">
        <v>165770000</v>
      </c>
      <c r="Y3">
        <v>102657000</v>
      </c>
      <c r="Z3">
        <v>-19072000</v>
      </c>
      <c r="AA3">
        <v>1315797000</v>
      </c>
    </row>
    <row r="4" spans="1:27" ht="15" customHeight="1" x14ac:dyDescent="0.2">
      <c r="A4" t="s">
        <v>121</v>
      </c>
      <c r="B4" t="s">
        <v>113</v>
      </c>
      <c r="C4" s="7" t="s">
        <v>112</v>
      </c>
      <c r="D4" s="1" t="s">
        <v>114</v>
      </c>
      <c r="E4" t="s">
        <v>55</v>
      </c>
      <c r="F4" s="1" t="s">
        <v>119</v>
      </c>
      <c r="G4" s="2" t="d">
        <v>2024-05-07</v>
      </c>
      <c r="H4" s="2" t="d">
        <v>2024-05-07</v>
      </c>
      <c r="I4">
        <v>2024</v>
      </c>
      <c r="J4" t="s">
        <v>58</v>
      </c>
      <c r="K4">
        <v>5</v>
      </c>
      <c r="L4" s="2" t="d">
        <v>2023-12-31</v>
      </c>
      <c r="M4" s="2" t="d">
        <v>2024-03-30</v>
      </c>
      <c r="N4">
        <v>2024</v>
      </c>
      <c r="O4" t="s">
        <v>57</v>
      </c>
      <c r="Q4" t="s">
        <v>110</v>
      </c>
      <c r="R4" t="s">
        <v>109</v>
      </c>
      <c r="S4">
        <v>424301000</v>
      </c>
      <c r="T4">
        <v>380139000</v>
      </c>
      <c r="U4">
        <v>-50952000</v>
      </c>
      <c r="V4">
        <v>188000</v>
      </c>
      <c r="W4">
        <v>-41140000</v>
      </c>
      <c r="X4">
        <v>413626000</v>
      </c>
      <c r="Y4">
        <v>149829000</v>
      </c>
      <c r="Z4">
        <v>-40952000</v>
      </c>
      <c r="AA4">
        <v>1588017000</v>
      </c>
    </row>
    <row r="5" spans="1:27" x14ac:dyDescent="0.2">
      <c r="A5" t="s">
        <v>121</v>
      </c>
      <c r="B5" t="s">
        <v>113</v>
      </c>
      <c r="C5" s="7" t="s">
        <v>112</v>
      </c>
      <c r="D5" s="1" t="s">
        <v>114</v>
      </c>
      <c r="E5" t="s">
        <v>436</v>
      </c>
      <c r="F5" t="s">
        <v>125</v>
      </c>
      <c r="G5" s="2" t="d">
        <v>2024-12-04</v>
      </c>
      <c r="H5" s="2" t="d">
        <v>2024-12-04</v>
      </c>
      <c r="I5">
        <v>2024</v>
      </c>
      <c r="J5" t="s">
        <v>58</v>
      </c>
      <c r="K5">
        <v>5</v>
      </c>
      <c r="L5" s="2" t="d">
        <v>2023-12-31</v>
      </c>
      <c r="M5" s="2" t="d">
        <v>2024-03-30</v>
      </c>
      <c r="N5">
        <v>2024</v>
      </c>
      <c r="O5" t="s">
        <v>57</v>
      </c>
      <c r="Q5" t="s">
        <v>117</v>
      </c>
      <c r="R5" t="s">
        <v>109</v>
      </c>
      <c r="S5">
        <v>393332000</v>
      </c>
      <c r="T5">
        <v>363112000</v>
      </c>
      <c r="U5">
        <v>-64894000</v>
      </c>
      <c r="V5">
        <v>252000</v>
      </c>
      <c r="W5">
        <v>-55082000</v>
      </c>
      <c r="X5">
        <v>393643000</v>
      </c>
      <c r="Y5">
        <v>133234000</v>
      </c>
      <c r="Z5">
        <v>-54830000</v>
      </c>
      <c r="AA5">
        <v>1552918000</v>
      </c>
    </row>
    <row r="6" spans="1:27" x14ac:dyDescent="0.2">
      <c r="A6" t="s">
        <v>122</v>
      </c>
      <c r="B6" t="s">
        <v>113</v>
      </c>
      <c r="C6" s="7" t="s">
        <v>112</v>
      </c>
      <c r="D6" s="1" t="s">
        <v>114</v>
      </c>
      <c r="E6" t="s">
        <v>55</v>
      </c>
      <c r="F6" s="1" t="s">
        <v>123</v>
      </c>
      <c r="G6" s="2" t="d">
        <v>2024-07-31</v>
      </c>
      <c r="H6" s="2" t="d">
        <v>2024-07-31</v>
      </c>
      <c r="I6">
        <v>2024</v>
      </c>
      <c r="J6" t="s">
        <v>63</v>
      </c>
      <c r="K6">
        <v>6</v>
      </c>
      <c r="L6" s="2" t="d">
        <v>2024-03-31</v>
      </c>
      <c r="M6" s="2" t="d">
        <v>2024-06-29</v>
      </c>
      <c r="N6">
        <v>2024</v>
      </c>
      <c r="O6" t="s">
        <v>58</v>
      </c>
      <c r="S6">
        <v>491862000</v>
      </c>
      <c r="T6">
        <v>424456000</v>
      </c>
      <c r="U6">
        <v>-25187000</v>
      </c>
      <c r="V6">
        <v>-95000</v>
      </c>
      <c r="W6">
        <v>-13572000</v>
      </c>
      <c r="X6">
        <v>379295000</v>
      </c>
      <c r="Y6">
        <v>156286000</v>
      </c>
      <c r="Z6">
        <v>-14204000</v>
      </c>
      <c r="AA6">
        <v>1558442000</v>
      </c>
    </row>
    <row r="7" spans="1:27" x14ac:dyDescent="0.2">
      <c r="A7" t="s">
        <v>122</v>
      </c>
      <c r="B7" t="s">
        <v>113</v>
      </c>
      <c r="C7" s="7" t="s">
        <v>112</v>
      </c>
      <c r="D7" s="1" t="s">
        <v>114</v>
      </c>
      <c r="E7" t="s">
        <v>436</v>
      </c>
      <c r="F7" t="s">
        <v>126</v>
      </c>
      <c r="G7" s="2" t="d">
        <v>2024-12-04</v>
      </c>
      <c r="H7" s="2" t="d">
        <v>2024-12-04</v>
      </c>
      <c r="I7">
        <v>2024</v>
      </c>
      <c r="J7" t="s">
        <v>63</v>
      </c>
      <c r="K7">
        <v>6</v>
      </c>
      <c r="L7" s="2" t="d">
        <v>2024-03-31</v>
      </c>
      <c r="M7" s="2" t="d">
        <v>2024-06-29</v>
      </c>
      <c r="N7">
        <v>2024</v>
      </c>
      <c r="O7" t="s">
        <v>58</v>
      </c>
      <c r="Q7" t="s">
        <v>128</v>
      </c>
      <c r="R7" t="s">
        <v>109</v>
      </c>
      <c r="S7">
        <v>470338000</v>
      </c>
      <c r="T7">
        <v>415365000</v>
      </c>
      <c r="U7">
        <v>-37620000</v>
      </c>
      <c r="V7">
        <v>-182000</v>
      </c>
      <c r="W7">
        <v>-26005000</v>
      </c>
      <c r="X7">
        <v>346792000</v>
      </c>
      <c r="Y7">
        <v>127789000</v>
      </c>
      <c r="Z7">
        <v>-26724000</v>
      </c>
      <c r="AA7">
        <v>1500392000</v>
      </c>
    </row>
    <row r="9" spans="1:27" x14ac:dyDescent="0.2">
      <c r="T9" t="s">
        <v>19</v>
      </c>
      <c r="U9" t="s">
        <v>20</v>
      </c>
      <c r="V9" t="s">
        <v>22</v>
      </c>
      <c r="W9" t="s">
        <v>23</v>
      </c>
      <c r="X9" t="s">
        <v>37</v>
      </c>
    </row>
    <row r="10" spans="1:27" x14ac:dyDescent="0.2">
      <c r="A10" t="s">
        <v>475</v>
      </c>
      <c r="B10" t="s">
        <v>143</v>
      </c>
      <c r="C10" t="s">
        <v>142</v>
      </c>
      <c r="D10" s="8" t="s">
        <v>144</v>
      </c>
      <c r="E10" t="s">
        <v>55</v>
      </c>
      <c r="F10" t="s">
        <v>145</v>
      </c>
      <c r="G10" s="2" t="d">
        <v>2023-06-12</v>
      </c>
      <c r="H10" s="2" t="d">
        <v>2023-06-12</v>
      </c>
      <c r="I10">
        <v>2024</v>
      </c>
      <c r="J10" t="s">
        <v>57</v>
      </c>
      <c r="K10">
        <v>1</v>
      </c>
      <c r="L10" s="2" t="d">
        <v>2023-02-04</v>
      </c>
      <c r="M10" s="2" t="d">
        <v>2023-05-05</v>
      </c>
      <c r="N10">
        <v>2023</v>
      </c>
      <c r="O10" t="s">
        <v>58</v>
      </c>
      <c r="R10" t="s">
        <v>61</v>
      </c>
      <c r="T10">
        <v>15904000000</v>
      </c>
      <c r="U10">
        <v>1069000000</v>
      </c>
      <c r="V10">
        <v>127000000</v>
      </c>
      <c r="W10">
        <v>705000000</v>
      </c>
      <c r="X10">
        <v>578000000</v>
      </c>
    </row>
    <row r="11" spans="1:27" x14ac:dyDescent="0.2">
      <c r="A11" t="s">
        <v>475</v>
      </c>
      <c r="B11" t="s">
        <v>143</v>
      </c>
      <c r="C11" t="s">
        <v>142</v>
      </c>
      <c r="D11" s="8" t="s">
        <v>144</v>
      </c>
      <c r="E11" t="s">
        <v>66</v>
      </c>
      <c r="F11" t="s">
        <v>154</v>
      </c>
      <c r="R11" t="s">
        <v>61</v>
      </c>
      <c r="T11">
        <v>15842000000</v>
      </c>
      <c r="U11">
        <v>1131000000</v>
      </c>
      <c r="V11">
        <v>135000000</v>
      </c>
      <c r="W11">
        <v>767000000</v>
      </c>
      <c r="X11">
        <v>632000000</v>
      </c>
    </row>
    <row r="12" spans="1:27" x14ac:dyDescent="0.2">
      <c r="A12" t="s">
        <v>476</v>
      </c>
      <c r="B12" t="s">
        <v>143</v>
      </c>
      <c r="C12" t="s">
        <v>142</v>
      </c>
      <c r="D12" s="8" t="s">
        <v>144</v>
      </c>
      <c r="E12" t="s">
        <v>55</v>
      </c>
      <c r="F12" t="s">
        <v>147</v>
      </c>
      <c r="G12" s="2" t="d">
        <v>2023-06-12</v>
      </c>
      <c r="H12" s="2" t="d">
        <v>2023-06-12</v>
      </c>
      <c r="I12">
        <v>2024</v>
      </c>
      <c r="J12" t="s">
        <v>57</v>
      </c>
      <c r="K12">
        <v>1</v>
      </c>
      <c r="L12" s="2" t="d">
        <v>2023-02-04</v>
      </c>
      <c r="M12" s="2" t="d">
        <v>2023-05-05</v>
      </c>
      <c r="N12">
        <v>2023</v>
      </c>
      <c r="O12" t="s">
        <v>58</v>
      </c>
      <c r="R12" t="s">
        <v>61</v>
      </c>
      <c r="T12">
        <v>17547000000</v>
      </c>
      <c r="U12">
        <v>1165000000</v>
      </c>
      <c r="V12">
        <v>259000000</v>
      </c>
      <c r="W12">
        <v>714000000</v>
      </c>
      <c r="X12">
        <v>455000000</v>
      </c>
    </row>
    <row r="13" spans="1:27" x14ac:dyDescent="0.2">
      <c r="A13" t="s">
        <v>476</v>
      </c>
      <c r="B13" t="s">
        <v>143</v>
      </c>
      <c r="C13" t="s">
        <v>142</v>
      </c>
      <c r="D13" s="8" t="s">
        <v>144</v>
      </c>
      <c r="E13" t="s">
        <v>66</v>
      </c>
      <c r="F13" t="s">
        <v>154</v>
      </c>
      <c r="G13" s="2"/>
      <c r="H13" s="2"/>
      <c r="L13" s="2"/>
      <c r="M13" s="2"/>
      <c r="R13" t="s">
        <v>61</v>
      </c>
      <c r="T13">
        <v>17518000000</v>
      </c>
      <c r="U13">
        <v>1194000000</v>
      </c>
      <c r="V13">
        <v>261000000</v>
      </c>
      <c r="W13">
        <v>743000000</v>
      </c>
      <c r="X13">
        <v>482000000</v>
      </c>
    </row>
    <row r="14" spans="1:27" x14ac:dyDescent="0.2">
      <c r="A14" t="s">
        <v>477</v>
      </c>
      <c r="B14" t="s">
        <v>143</v>
      </c>
      <c r="C14" t="s">
        <v>142</v>
      </c>
      <c r="D14" s="8" t="s">
        <v>144</v>
      </c>
      <c r="E14" t="s">
        <v>55</v>
      </c>
      <c r="F14" t="s">
        <v>148</v>
      </c>
      <c r="G14" s="2" t="d">
        <v>2023-12-08</v>
      </c>
      <c r="H14" s="2" t="d">
        <v>2023-12-08</v>
      </c>
      <c r="I14">
        <v>2024</v>
      </c>
      <c r="J14" t="s">
        <v>63</v>
      </c>
      <c r="K14">
        <v>3</v>
      </c>
      <c r="L14" s="2" t="d">
        <v>2023-08-05</v>
      </c>
      <c r="M14" s="2" t="d">
        <v>2023-11-03</v>
      </c>
      <c r="N14">
        <v>2023</v>
      </c>
      <c r="O14" t="s">
        <v>65</v>
      </c>
      <c r="R14" t="s">
        <v>61</v>
      </c>
      <c r="T14">
        <v>17103000000</v>
      </c>
      <c r="U14">
        <v>1486000000</v>
      </c>
      <c r="V14">
        <v>176000000</v>
      </c>
      <c r="W14">
        <v>1180000000</v>
      </c>
      <c r="X14">
        <v>1004000000</v>
      </c>
    </row>
    <row r="15" spans="1:27" x14ac:dyDescent="0.2">
      <c r="A15" t="s">
        <v>477</v>
      </c>
      <c r="B15" t="s">
        <v>143</v>
      </c>
      <c r="C15" t="s">
        <v>142</v>
      </c>
      <c r="D15" s="8" t="s">
        <v>144</v>
      </c>
      <c r="E15" t="s">
        <v>66</v>
      </c>
      <c r="F15" t="s">
        <v>154</v>
      </c>
      <c r="R15" t="s">
        <v>61</v>
      </c>
      <c r="T15">
        <v>17050000000</v>
      </c>
      <c r="U15">
        <v>1539000000</v>
      </c>
      <c r="V15">
        <v>183000000</v>
      </c>
      <c r="W15">
        <v>1233000000</v>
      </c>
      <c r="X15">
        <v>1050000000</v>
      </c>
    </row>
    <row r="16" spans="1:27" x14ac:dyDescent="0.2">
      <c r="A16" t="s">
        <v>478</v>
      </c>
      <c r="B16" t="s">
        <v>143</v>
      </c>
      <c r="C16" t="s">
        <v>142</v>
      </c>
      <c r="D16" s="8" t="s">
        <v>144</v>
      </c>
      <c r="E16" t="s">
        <v>66</v>
      </c>
      <c r="F16" t="s">
        <v>149</v>
      </c>
      <c r="G16" s="2" t="d">
        <v>2024-03-25</v>
      </c>
      <c r="H16" s="2" t="d">
        <v>2024-03-25</v>
      </c>
      <c r="I16">
        <v>2024</v>
      </c>
      <c r="J16" t="s">
        <v>65</v>
      </c>
      <c r="K16">
        <v>4</v>
      </c>
      <c r="L16" s="2" t="d">
        <v>2023-11-04</v>
      </c>
      <c r="M16" s="2" t="d">
        <v>2024-02-02</v>
      </c>
      <c r="N16">
        <v>2024</v>
      </c>
      <c r="O16" t="s">
        <v>57</v>
      </c>
      <c r="R16" t="s">
        <v>61</v>
      </c>
      <c r="T16">
        <v>17002000000</v>
      </c>
      <c r="U16">
        <v>1491000000</v>
      </c>
      <c r="V16">
        <v>130000000</v>
      </c>
      <c r="W16">
        <v>1288000000</v>
      </c>
      <c r="X16">
        <v>1158000000</v>
      </c>
    </row>
    <row r="17" spans="1:24" x14ac:dyDescent="0.2">
      <c r="A17" t="s">
        <v>478</v>
      </c>
      <c r="B17" t="s">
        <v>143</v>
      </c>
      <c r="C17" t="s">
        <v>142</v>
      </c>
      <c r="D17" s="8" t="s">
        <v>144</v>
      </c>
      <c r="E17" t="s">
        <v>66</v>
      </c>
      <c r="F17" t="s">
        <v>154</v>
      </c>
      <c r="R17" t="s">
        <v>61</v>
      </c>
      <c r="T17">
        <v>16946000000</v>
      </c>
      <c r="U17">
        <v>1547000000</v>
      </c>
      <c r="V17">
        <v>136000000</v>
      </c>
      <c r="W17">
        <v>1344000000</v>
      </c>
      <c r="X17">
        <v>1208000000</v>
      </c>
    </row>
    <row r="18" spans="1:24" x14ac:dyDescent="0.2">
      <c r="A18" t="s">
        <v>479</v>
      </c>
      <c r="B18" t="s">
        <v>143</v>
      </c>
      <c r="C18" t="s">
        <v>142</v>
      </c>
      <c r="D18" s="8" t="s">
        <v>144</v>
      </c>
      <c r="E18" t="s">
        <v>55</v>
      </c>
      <c r="F18" t="s">
        <v>150</v>
      </c>
      <c r="G18" s="2" t="d">
        <v>2024-06-11</v>
      </c>
      <c r="H18" s="2" t="d">
        <v>2024-06-11</v>
      </c>
      <c r="I18">
        <v>2025</v>
      </c>
      <c r="J18" t="s">
        <v>57</v>
      </c>
      <c r="K18">
        <v>5</v>
      </c>
      <c r="L18" s="2" t="d">
        <v>2024-02-03</v>
      </c>
      <c r="M18">
        <v>2024</v>
      </c>
      <c r="N18">
        <v>2024</v>
      </c>
      <c r="O18" t="s">
        <v>58</v>
      </c>
      <c r="R18" t="s">
        <v>61</v>
      </c>
      <c r="T18">
        <v>17438000000</v>
      </c>
      <c r="U18">
        <v>920000000</v>
      </c>
      <c r="V18">
        <v>-408000000</v>
      </c>
      <c r="W18">
        <v>547000000</v>
      </c>
      <c r="X18">
        <v>955000000</v>
      </c>
    </row>
    <row r="19" spans="1:24" x14ac:dyDescent="0.2">
      <c r="A19" t="s">
        <v>479</v>
      </c>
      <c r="B19" t="s">
        <v>143</v>
      </c>
      <c r="C19" t="s">
        <v>142</v>
      </c>
      <c r="D19" s="8" t="s">
        <v>144</v>
      </c>
      <c r="E19" t="s">
        <v>66</v>
      </c>
      <c r="F19" t="s">
        <v>154</v>
      </c>
      <c r="R19" t="s">
        <v>61</v>
      </c>
      <c r="T19">
        <v>17393000000</v>
      </c>
      <c r="U19">
        <v>965000000</v>
      </c>
      <c r="V19">
        <v>-400000000</v>
      </c>
      <c r="W19">
        <v>592000000</v>
      </c>
      <c r="X19">
        <v>992000000</v>
      </c>
    </row>
    <row r="20" spans="1:24" x14ac:dyDescent="0.2">
      <c r="A20" t="s">
        <v>480</v>
      </c>
      <c r="B20" t="s">
        <v>143</v>
      </c>
      <c r="C20" t="s">
        <v>142</v>
      </c>
      <c r="D20" s="8" t="s">
        <v>144</v>
      </c>
      <c r="E20" t="s">
        <v>55</v>
      </c>
      <c r="F20" t="s">
        <v>152</v>
      </c>
      <c r="G20" s="2" t="d">
        <v>2024-09-10</v>
      </c>
      <c r="H20" s="2" t="d">
        <v>2024-09-10</v>
      </c>
      <c r="I20">
        <v>2025</v>
      </c>
      <c r="J20" t="s">
        <v>58</v>
      </c>
      <c r="K20">
        <v>6</v>
      </c>
      <c r="L20" s="2" t="d">
        <v>2024-05-04</v>
      </c>
      <c r="M20" s="2" t="d">
        <v>2024-08-07</v>
      </c>
      <c r="N20">
        <v>2024</v>
      </c>
      <c r="O20" t="s">
        <v>63</v>
      </c>
      <c r="R20" t="s">
        <v>61</v>
      </c>
      <c r="T20">
        <v>19715000000</v>
      </c>
      <c r="U20">
        <v>1342000000</v>
      </c>
      <c r="V20">
        <v>148000000</v>
      </c>
      <c r="W20">
        <v>989000000</v>
      </c>
      <c r="X20">
        <v>841000000</v>
      </c>
    </row>
    <row r="21" spans="1:24" x14ac:dyDescent="0.2">
      <c r="A21" t="s">
        <v>480</v>
      </c>
      <c r="B21" t="s">
        <v>143</v>
      </c>
      <c r="C21" t="s">
        <v>142</v>
      </c>
      <c r="D21" s="8" t="s">
        <v>144</v>
      </c>
      <c r="E21" t="s">
        <v>66</v>
      </c>
      <c r="F21" t="s">
        <v>154</v>
      </c>
      <c r="R21" t="s">
        <v>61</v>
      </c>
      <c r="T21">
        <v>19665000000</v>
      </c>
      <c r="U21">
        <v>1392000000</v>
      </c>
      <c r="V21">
        <v>157000000</v>
      </c>
      <c r="W21">
        <v>1039000000</v>
      </c>
      <c r="X21">
        <v>882000000</v>
      </c>
    </row>
    <row r="22" spans="1:24" x14ac:dyDescent="0.2">
      <c r="A22" t="s">
        <v>481</v>
      </c>
      <c r="B22" t="s">
        <v>143</v>
      </c>
      <c r="C22" t="s">
        <v>142</v>
      </c>
      <c r="D22" s="8" t="s">
        <v>144</v>
      </c>
      <c r="E22" t="s">
        <v>55</v>
      </c>
      <c r="F22" t="s">
        <v>153</v>
      </c>
      <c r="G22" s="2" t="d">
        <v>2024-12-10</v>
      </c>
      <c r="H22" s="2" t="d">
        <v>2024-12-10</v>
      </c>
      <c r="I22">
        <v>2025</v>
      </c>
      <c r="J22" t="s">
        <v>63</v>
      </c>
      <c r="K22">
        <v>7</v>
      </c>
      <c r="L22" s="2" t="d">
        <v>2024-08-08</v>
      </c>
      <c r="M22" s="2" t="d">
        <v>2024-11-01</v>
      </c>
      <c r="N22">
        <v>2024</v>
      </c>
      <c r="O22" t="s">
        <v>65</v>
      </c>
      <c r="R22" t="s">
        <v>61</v>
      </c>
      <c r="T22">
        <v>19059000000</v>
      </c>
      <c r="U22">
        <v>1668000000</v>
      </c>
      <c r="V22">
        <v>265000000</v>
      </c>
      <c r="W22">
        <v>1392000000</v>
      </c>
      <c r="X22">
        <v>1127000000</v>
      </c>
    </row>
    <row r="23" spans="1:24" x14ac:dyDescent="0.2">
      <c r="A23" t="s">
        <v>481</v>
      </c>
      <c r="B23" t="s">
        <v>143</v>
      </c>
      <c r="C23" t="s">
        <v>142</v>
      </c>
      <c r="D23" s="8" t="s">
        <v>144</v>
      </c>
      <c r="E23" t="s">
        <v>66</v>
      </c>
      <c r="F23" t="s">
        <v>154</v>
      </c>
      <c r="R23" t="s">
        <v>61</v>
      </c>
      <c r="T23">
        <v>19006000000</v>
      </c>
      <c r="U23">
        <v>1721000000</v>
      </c>
      <c r="V23">
        <v>275000000</v>
      </c>
      <c r="W23">
        <v>1445000000</v>
      </c>
      <c r="X23">
        <v>1170000000</v>
      </c>
    </row>
    <row r="24" spans="1:24" x14ac:dyDescent="0.2">
      <c r="A24" t="s">
        <v>482</v>
      </c>
      <c r="B24" t="s">
        <v>143</v>
      </c>
      <c r="C24" t="s">
        <v>142</v>
      </c>
      <c r="D24" s="8" t="s">
        <v>144</v>
      </c>
      <c r="E24" t="s">
        <v>66</v>
      </c>
      <c r="F24" t="s">
        <v>154</v>
      </c>
      <c r="G24" s="2" t="d">
        <v>2025-03-25</v>
      </c>
      <c r="H24" s="2" t="d">
        <v>2025-03-25</v>
      </c>
      <c r="I24">
        <v>2025</v>
      </c>
      <c r="J24" t="s">
        <v>65</v>
      </c>
      <c r="K24">
        <v>8</v>
      </c>
      <c r="L24" s="2" t="d">
        <v>2024-11-02</v>
      </c>
      <c r="M24" s="2" t="d">
        <v>2025-01-31</v>
      </c>
      <c r="N24">
        <v>2025</v>
      </c>
      <c r="O24" t="s">
        <v>57</v>
      </c>
      <c r="R24" t="s">
        <v>61</v>
      </c>
      <c r="T24">
        <v>18105000000</v>
      </c>
      <c r="U24">
        <v>2307000000</v>
      </c>
      <c r="V24">
        <v>467000000</v>
      </c>
      <c r="W24">
        <v>2120000000</v>
      </c>
      <c r="X24">
        <v>1653000000</v>
      </c>
    </row>
    <row r="25" spans="1:24" x14ac:dyDescent="0.2">
      <c r="A25" t="s">
        <v>482</v>
      </c>
      <c r="B25" t="s">
        <v>143</v>
      </c>
      <c r="C25" t="s">
        <v>142</v>
      </c>
      <c r="D25" s="8" t="s">
        <v>144</v>
      </c>
      <c r="E25" t="s">
        <v>66</v>
      </c>
      <c r="F25" t="s">
        <v>154</v>
      </c>
      <c r="Q25" t="s">
        <v>483</v>
      </c>
      <c r="T25">
        <v>18253000000</v>
      </c>
      <c r="U25">
        <v>2159000000</v>
      </c>
      <c r="V25">
        <v>440000000</v>
      </c>
      <c r="W25">
        <v>1972000000</v>
      </c>
      <c r="X25">
        <v>1532000000</v>
      </c>
    </row>
  </sheetData>
  <phoneticPr fontId="21" type="noConversion"/>
  <pageMargins left="0.7" right="0.7" top="0.75" bottom="0.75" header="0.3" footer="0.3"/>
</worksheet>
</file>

<file path=docProps/app.xml><?xml version="1.0" encoding="utf-8"?>
<Properties xmlns="http://purl.oclc.org/ooxml/officeDocument/extendedProperties" xmlns:vt="http://purl.oclc.org/ooxml/officeDocument/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manual_audit_entry_v1</vt:lpstr>
      <vt:lpstr>researchanddevelopment</vt:lpstr>
      <vt:lpstr>restatements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michael  cunningham</cp:lastModifiedBy>
  <dcterms:created xsi:type="dcterms:W3CDTF">2026-04-01T16:51:55Z</dcterms:created>
  <dcterms:modified xsi:type="dcterms:W3CDTF">2026-04-12T18:40:55Z</dcterms:modified>
</cp:coreProperties>
</file>