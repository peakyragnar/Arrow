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8_{C8741E6A-F7FD-D544-8D0F-ED225019D733}" xr6:coauthVersionLast="47" xr6:coauthVersionMax="47" xr10:uidLastSave="{00000000-0000-0000-0000-000000000000}"/>
  <bookViews>
    <workbookView xWindow="43080" yWindow="3080" windowWidth="27240" windowHeight="16760"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BY62" i="1" l="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F7" i="2"/>
  <c r="F8" i="2"/>
  <c r="F9" i="2"/>
  <c r="AE9" i="2" s="1"/>
  <c r="F10" i="2"/>
  <c r="F11" i="2"/>
  <c r="F12" i="2"/>
  <c r="F13" i="2"/>
  <c r="AD13" i="2" s="1"/>
  <c r="F14" i="2"/>
  <c r="AD14" i="2" s="1"/>
  <c r="F15" i="2"/>
  <c r="AD15" i="2" s="1"/>
  <c r="F16" i="2"/>
  <c r="AD16" i="2" s="1"/>
  <c r="F6" i="2"/>
  <c r="F174" i="2"/>
  <c r="AD174" i="2" s="1"/>
  <c r="F175" i="2"/>
  <c r="F176" i="2"/>
  <c r="F177" i="2"/>
  <c r="F178" i="2"/>
  <c r="F179" i="2"/>
  <c r="F180" i="2"/>
  <c r="F181" i="2"/>
  <c r="F182" i="2"/>
  <c r="AE182" i="2" s="1"/>
  <c r="F183" i="2"/>
  <c r="AE183" i="2" s="1"/>
  <c r="F173" i="2"/>
  <c r="F157" i="2"/>
  <c r="F158" i="2"/>
  <c r="F159" i="2"/>
  <c r="F160" i="2"/>
  <c r="AD160" i="2" s="1"/>
  <c r="F161" i="2"/>
  <c r="F162" i="2"/>
  <c r="AD162" i="2" s="1"/>
  <c r="F163" i="2"/>
  <c r="AD163" i="2" s="1"/>
  <c r="F164" i="2"/>
  <c r="AE164" i="2" s="1"/>
  <c r="F165" i="2"/>
  <c r="AE165" i="2" s="1"/>
  <c r="F166" i="2"/>
  <c r="AE166" i="2" s="1"/>
  <c r="F156" i="2"/>
  <c r="F140" i="2"/>
  <c r="F141" i="2"/>
  <c r="F142" i="2"/>
  <c r="F143" i="2"/>
  <c r="F144" i="2"/>
  <c r="F145" i="2"/>
  <c r="F146" i="2"/>
  <c r="AE146" i="2" s="1"/>
  <c r="F147" i="2"/>
  <c r="AE147" i="2" s="1"/>
  <c r="F148" i="2"/>
  <c r="AE148" i="2" s="1"/>
  <c r="F149" i="2"/>
  <c r="AE149" i="2" s="1"/>
  <c r="F139" i="2"/>
  <c r="F123" i="2"/>
  <c r="F124" i="2"/>
  <c r="F125" i="2"/>
  <c r="F126" i="2"/>
  <c r="F127" i="2"/>
  <c r="F128" i="2"/>
  <c r="AE128" i="2" s="1"/>
  <c r="F129" i="2"/>
  <c r="AD129" i="2" s="1"/>
  <c r="F130" i="2"/>
  <c r="AD130" i="2" s="1"/>
  <c r="F131" i="2"/>
  <c r="AE131" i="2" s="1"/>
  <c r="F132" i="2"/>
  <c r="AD132" i="2" s="1"/>
  <c r="F122" i="2"/>
  <c r="F106" i="2"/>
  <c r="F107" i="2"/>
  <c r="F108" i="2"/>
  <c r="F109" i="2"/>
  <c r="F110" i="2"/>
  <c r="AE110" i="2" s="1"/>
  <c r="F111" i="2"/>
  <c r="AE111" i="2" s="1"/>
  <c r="F112" i="2"/>
  <c r="AE112" i="2" s="1"/>
  <c r="F113" i="2"/>
  <c r="AE113" i="2" s="1"/>
  <c r="F114" i="2"/>
  <c r="AE114" i="2" s="1"/>
  <c r="F115" i="2"/>
  <c r="AE115" i="2" s="1"/>
  <c r="F105" i="2"/>
  <c r="F89" i="2"/>
  <c r="F90" i="2"/>
  <c r="F91" i="2"/>
  <c r="F92" i="2"/>
  <c r="AE92" i="2" s="1"/>
  <c r="F93" i="2"/>
  <c r="AE93" i="2" s="1"/>
  <c r="F94" i="2"/>
  <c r="AE94" i="2" s="1"/>
  <c r="F95" i="2"/>
  <c r="AE95" i="2" s="1"/>
  <c r="F96" i="2"/>
  <c r="AE96" i="2" s="1"/>
  <c r="F97" i="2"/>
  <c r="AE97" i="2" s="1"/>
  <c r="F98" i="2"/>
  <c r="AE98" i="2" s="1"/>
  <c r="F88" i="2"/>
  <c r="F73" i="2"/>
  <c r="F74" i="2"/>
  <c r="F75" i="2"/>
  <c r="F76" i="2"/>
  <c r="AE76" i="2" s="1"/>
  <c r="F77" i="2"/>
  <c r="AE77" i="2" s="1"/>
  <c r="F78" i="2"/>
  <c r="AE78" i="2" s="1"/>
  <c r="F79" i="2"/>
  <c r="AD79" i="2" s="1"/>
  <c r="F80" i="2"/>
  <c r="AE80" i="2" s="1"/>
  <c r="F81" i="2"/>
  <c r="F82" i="2"/>
  <c r="F72" i="2"/>
  <c r="F56" i="2"/>
  <c r="F57" i="2"/>
  <c r="F58" i="2"/>
  <c r="F59" i="2"/>
  <c r="F60" i="2"/>
  <c r="F61" i="2"/>
  <c r="F62" i="2"/>
  <c r="F63" i="2"/>
  <c r="F64" i="2"/>
  <c r="F65" i="2"/>
  <c r="F55" i="2"/>
  <c r="F23" i="2"/>
  <c r="F24" i="2"/>
  <c r="F25" i="2"/>
  <c r="F26" i="2"/>
  <c r="F27" i="2"/>
  <c r="F28" i="2"/>
  <c r="F29" i="2"/>
  <c r="F30" i="2"/>
  <c r="F31" i="2"/>
  <c r="F32" i="2"/>
  <c r="F22" i="2"/>
  <c r="AE173" i="2"/>
  <c r="AE174" i="2"/>
  <c r="AE175" i="2"/>
  <c r="AE176" i="2"/>
  <c r="AE177" i="2"/>
  <c r="AE178" i="2"/>
  <c r="AE179" i="2"/>
  <c r="AE180" i="2"/>
  <c r="AE181" i="2"/>
  <c r="AE172" i="2"/>
  <c r="AE156" i="2"/>
  <c r="AE157" i="2"/>
  <c r="AE158" i="2"/>
  <c r="AE159" i="2"/>
  <c r="AE160" i="2"/>
  <c r="AE161" i="2"/>
  <c r="AE163" i="2"/>
  <c r="AE155" i="2"/>
  <c r="AE139" i="2"/>
  <c r="AE140" i="2"/>
  <c r="AE141" i="2"/>
  <c r="AE142" i="2"/>
  <c r="AE143" i="2"/>
  <c r="AE144" i="2"/>
  <c r="AE145" i="2"/>
  <c r="AE138" i="2"/>
  <c r="AE122" i="2"/>
  <c r="AE123" i="2"/>
  <c r="AE124" i="2"/>
  <c r="AE125" i="2"/>
  <c r="AE126" i="2"/>
  <c r="AE127" i="2"/>
  <c r="AE121" i="2"/>
  <c r="AE105" i="2"/>
  <c r="AE106" i="2"/>
  <c r="AE107" i="2"/>
  <c r="AE108" i="2"/>
  <c r="AE109" i="2"/>
  <c r="AE104" i="2"/>
  <c r="AE88" i="2"/>
  <c r="AE89" i="2"/>
  <c r="AE90" i="2"/>
  <c r="AE91" i="2"/>
  <c r="AE87" i="2"/>
  <c r="AE72" i="2"/>
  <c r="AE73" i="2"/>
  <c r="AE74" i="2"/>
  <c r="AE75" i="2"/>
  <c r="AE79" i="2"/>
  <c r="AE81" i="2"/>
  <c r="AE82" i="2"/>
  <c r="AE71" i="2"/>
  <c r="AE22" i="2"/>
  <c r="AE23" i="2"/>
  <c r="AE24" i="2"/>
  <c r="AE25" i="2"/>
  <c r="AE26" i="2"/>
  <c r="AE27" i="2"/>
  <c r="AE28" i="2"/>
  <c r="AE29" i="2"/>
  <c r="AE30" i="2"/>
  <c r="AE31" i="2"/>
  <c r="AE32" i="2"/>
  <c r="AE21" i="2"/>
  <c r="AE6" i="2"/>
  <c r="AE7" i="2"/>
  <c r="AE8" i="2"/>
  <c r="AE10" i="2"/>
  <c r="AE11" i="2"/>
  <c r="AE12" i="2"/>
  <c r="AE15" i="2"/>
  <c r="AE5" i="2"/>
  <c r="AD173" i="2"/>
  <c r="AD175" i="2"/>
  <c r="AD176" i="2"/>
  <c r="AD177" i="2"/>
  <c r="AD178" i="2"/>
  <c r="AD179" i="2"/>
  <c r="AD180" i="2"/>
  <c r="AD181" i="2"/>
  <c r="AD182" i="2"/>
  <c r="AD183" i="2"/>
  <c r="AD172" i="2"/>
  <c r="AD156" i="2"/>
  <c r="AD157" i="2"/>
  <c r="AD158" i="2"/>
  <c r="AD159" i="2"/>
  <c r="AD161" i="2"/>
  <c r="AD165" i="2"/>
  <c r="AD166" i="2"/>
  <c r="AD155" i="2"/>
  <c r="AD139" i="2"/>
  <c r="AD140" i="2"/>
  <c r="AD141" i="2"/>
  <c r="AD142" i="2"/>
  <c r="AD143" i="2"/>
  <c r="AD144" i="2"/>
  <c r="AD145" i="2"/>
  <c r="AD146" i="2"/>
  <c r="AD147" i="2"/>
  <c r="AD148" i="2"/>
  <c r="AD138" i="2"/>
  <c r="AD122" i="2"/>
  <c r="AD123" i="2"/>
  <c r="AD124" i="2"/>
  <c r="AD125" i="2"/>
  <c r="AD126" i="2"/>
  <c r="AD127" i="2"/>
  <c r="AD128" i="2"/>
  <c r="AD121" i="2"/>
  <c r="AD105" i="2"/>
  <c r="AD106" i="2"/>
  <c r="AD107" i="2"/>
  <c r="AD108" i="2"/>
  <c r="AD109" i="2"/>
  <c r="AD110" i="2"/>
  <c r="AD111" i="2"/>
  <c r="AD112" i="2"/>
  <c r="AD113" i="2"/>
  <c r="AD114" i="2"/>
  <c r="AD115" i="2"/>
  <c r="AD104" i="2"/>
  <c r="AD88" i="2"/>
  <c r="AD89" i="2"/>
  <c r="AD90" i="2"/>
  <c r="AD91" i="2"/>
  <c r="AD92" i="2"/>
  <c r="AD87" i="2"/>
  <c r="AD72" i="2"/>
  <c r="AD73" i="2"/>
  <c r="AD74" i="2"/>
  <c r="AD75" i="2"/>
  <c r="AD77" i="2"/>
  <c r="AD81" i="2"/>
  <c r="AD82" i="2"/>
  <c r="AD71" i="2"/>
  <c r="AD55" i="2"/>
  <c r="AD54" i="2"/>
  <c r="AD38" i="2"/>
  <c r="AE38" i="2"/>
  <c r="AD39" i="2"/>
  <c r="AE39" i="2"/>
  <c r="AD40" i="2"/>
  <c r="AE40" i="2"/>
  <c r="AD41" i="2"/>
  <c r="AE41" i="2"/>
  <c r="AD42" i="2"/>
  <c r="AE42" i="2"/>
  <c r="AD43" i="2"/>
  <c r="AE43" i="2"/>
  <c r="AD44" i="2"/>
  <c r="AE44" i="2"/>
  <c r="AD45" i="2"/>
  <c r="AE45" i="2"/>
  <c r="AD46" i="2"/>
  <c r="AE46" i="2"/>
  <c r="AD47" i="2"/>
  <c r="AE47" i="2"/>
  <c r="AD48" i="2"/>
  <c r="AE48" i="2"/>
  <c r="AE37" i="2"/>
  <c r="AD37" i="2"/>
  <c r="AD22" i="2"/>
  <c r="AD23" i="2"/>
  <c r="AD24" i="2"/>
  <c r="AD25" i="2"/>
  <c r="AD26" i="2"/>
  <c r="AD27" i="2"/>
  <c r="AD28" i="2"/>
  <c r="AD29" i="2"/>
  <c r="AD30" i="2"/>
  <c r="AD31" i="2"/>
  <c r="AD32" i="2"/>
  <c r="AD21" i="2"/>
  <c r="AD7" i="2"/>
  <c r="AD8" i="2"/>
  <c r="AD9" i="2"/>
  <c r="AD10" i="2"/>
  <c r="AD11" i="2"/>
  <c r="AD12" i="2"/>
  <c r="AD6" i="2"/>
  <c r="AD5" i="2"/>
  <c r="AB183" i="2"/>
  <c r="AA183" i="2"/>
  <c r="Z183" i="2"/>
  <c r="Y183" i="2"/>
  <c r="X183" i="2"/>
  <c r="W183" i="2"/>
  <c r="V183" i="2"/>
  <c r="U183" i="2"/>
  <c r="T183" i="2"/>
  <c r="S183" i="2"/>
  <c r="R183" i="2"/>
  <c r="Q183" i="2"/>
  <c r="P183" i="2"/>
  <c r="O183" i="2"/>
  <c r="N183" i="2"/>
  <c r="M183" i="2"/>
  <c r="L183" i="2"/>
  <c r="K183" i="2"/>
  <c r="J183" i="2"/>
  <c r="I183" i="2"/>
  <c r="E183" i="2"/>
  <c r="D183" i="2"/>
  <c r="C183" i="2"/>
  <c r="AB182" i="2"/>
  <c r="AA182" i="2"/>
  <c r="Z182" i="2"/>
  <c r="Y182" i="2"/>
  <c r="X182" i="2"/>
  <c r="W182" i="2"/>
  <c r="V182" i="2"/>
  <c r="U182" i="2"/>
  <c r="T182" i="2"/>
  <c r="S182" i="2"/>
  <c r="R182" i="2"/>
  <c r="Q182" i="2"/>
  <c r="P182" i="2"/>
  <c r="O182" i="2"/>
  <c r="N182" i="2"/>
  <c r="M182" i="2"/>
  <c r="L182" i="2"/>
  <c r="K182" i="2"/>
  <c r="J182" i="2"/>
  <c r="I182" i="2"/>
  <c r="E182" i="2"/>
  <c r="D182" i="2"/>
  <c r="C182" i="2"/>
  <c r="AB181" i="2"/>
  <c r="AA181" i="2"/>
  <c r="Z181" i="2"/>
  <c r="Y181" i="2"/>
  <c r="X181" i="2"/>
  <c r="W181" i="2"/>
  <c r="V181" i="2"/>
  <c r="U181" i="2"/>
  <c r="T181" i="2"/>
  <c r="S181" i="2"/>
  <c r="R181" i="2"/>
  <c r="Q181" i="2"/>
  <c r="P181" i="2"/>
  <c r="O181" i="2"/>
  <c r="N181" i="2"/>
  <c r="M181" i="2"/>
  <c r="L181" i="2"/>
  <c r="K181" i="2"/>
  <c r="J181" i="2"/>
  <c r="I181" i="2"/>
  <c r="E181" i="2"/>
  <c r="D181" i="2"/>
  <c r="C181" i="2"/>
  <c r="AB180" i="2"/>
  <c r="AA180" i="2"/>
  <c r="Z180" i="2"/>
  <c r="Y180" i="2"/>
  <c r="X180" i="2"/>
  <c r="W180" i="2"/>
  <c r="V180" i="2"/>
  <c r="U180" i="2"/>
  <c r="T180" i="2"/>
  <c r="S180" i="2"/>
  <c r="R180" i="2"/>
  <c r="Q180" i="2"/>
  <c r="P180" i="2"/>
  <c r="O180" i="2"/>
  <c r="N180" i="2"/>
  <c r="M180" i="2"/>
  <c r="L180" i="2"/>
  <c r="K180" i="2"/>
  <c r="J180" i="2"/>
  <c r="I180" i="2"/>
  <c r="E180" i="2"/>
  <c r="D180" i="2"/>
  <c r="C180" i="2"/>
  <c r="AB179" i="2"/>
  <c r="AA179" i="2"/>
  <c r="Z179" i="2"/>
  <c r="Y179" i="2"/>
  <c r="X179" i="2"/>
  <c r="W179" i="2"/>
  <c r="V179" i="2"/>
  <c r="U179" i="2"/>
  <c r="T179" i="2"/>
  <c r="S179" i="2"/>
  <c r="R179" i="2"/>
  <c r="Q179" i="2"/>
  <c r="P179" i="2"/>
  <c r="O179" i="2"/>
  <c r="N179" i="2"/>
  <c r="M179" i="2"/>
  <c r="L179" i="2"/>
  <c r="K179" i="2"/>
  <c r="J179" i="2"/>
  <c r="I179" i="2"/>
  <c r="E179" i="2"/>
  <c r="D179" i="2"/>
  <c r="C179" i="2"/>
  <c r="AA178" i="2"/>
  <c r="Z178" i="2"/>
  <c r="Y178" i="2"/>
  <c r="X178" i="2"/>
  <c r="W178" i="2"/>
  <c r="V178" i="2"/>
  <c r="U178" i="2"/>
  <c r="T178" i="2"/>
  <c r="S178" i="2"/>
  <c r="R178" i="2"/>
  <c r="Q178" i="2"/>
  <c r="P178" i="2"/>
  <c r="O178" i="2"/>
  <c r="N178" i="2"/>
  <c r="M178" i="2"/>
  <c r="L178" i="2"/>
  <c r="K178" i="2"/>
  <c r="J178" i="2"/>
  <c r="I178" i="2"/>
  <c r="E178" i="2"/>
  <c r="D178" i="2"/>
  <c r="C178" i="2"/>
  <c r="Z177" i="2"/>
  <c r="Y177" i="2"/>
  <c r="X177" i="2"/>
  <c r="W177" i="2"/>
  <c r="V177" i="2"/>
  <c r="U177" i="2"/>
  <c r="T177" i="2"/>
  <c r="S177" i="2"/>
  <c r="R177" i="2"/>
  <c r="Q177" i="2"/>
  <c r="P177" i="2"/>
  <c r="O177" i="2"/>
  <c r="N177" i="2"/>
  <c r="M177" i="2"/>
  <c r="L177" i="2"/>
  <c r="K177" i="2"/>
  <c r="J177" i="2"/>
  <c r="I177" i="2"/>
  <c r="E177" i="2"/>
  <c r="D177" i="2"/>
  <c r="C177" i="2"/>
  <c r="Y176" i="2"/>
  <c r="X176" i="2"/>
  <c r="W176" i="2"/>
  <c r="V176" i="2"/>
  <c r="U176" i="2"/>
  <c r="T176" i="2"/>
  <c r="S176" i="2"/>
  <c r="R176" i="2"/>
  <c r="Q176" i="2"/>
  <c r="P176" i="2"/>
  <c r="O176" i="2"/>
  <c r="N176" i="2"/>
  <c r="M176" i="2"/>
  <c r="L176" i="2"/>
  <c r="K176" i="2"/>
  <c r="J176" i="2"/>
  <c r="I176" i="2"/>
  <c r="E176" i="2"/>
  <c r="D176" i="2"/>
  <c r="C176" i="2"/>
  <c r="X175" i="2"/>
  <c r="W175" i="2"/>
  <c r="V175" i="2"/>
  <c r="U175" i="2"/>
  <c r="T175" i="2"/>
  <c r="S175" i="2"/>
  <c r="R175" i="2"/>
  <c r="Q175" i="2"/>
  <c r="P175" i="2"/>
  <c r="O175" i="2"/>
  <c r="N175" i="2"/>
  <c r="M175" i="2"/>
  <c r="L175" i="2"/>
  <c r="K175" i="2"/>
  <c r="J175" i="2"/>
  <c r="I175" i="2"/>
  <c r="E175" i="2"/>
  <c r="D175" i="2"/>
  <c r="C175" i="2"/>
  <c r="W174" i="2"/>
  <c r="V174" i="2"/>
  <c r="U174" i="2"/>
  <c r="T174" i="2"/>
  <c r="S174" i="2"/>
  <c r="R174" i="2"/>
  <c r="Q174" i="2"/>
  <c r="P174" i="2"/>
  <c r="O174" i="2"/>
  <c r="N174" i="2"/>
  <c r="M174" i="2"/>
  <c r="L174" i="2"/>
  <c r="K174" i="2"/>
  <c r="J174" i="2"/>
  <c r="I174" i="2"/>
  <c r="E174" i="2"/>
  <c r="D174" i="2"/>
  <c r="C174" i="2"/>
  <c r="V173" i="2"/>
  <c r="U173" i="2"/>
  <c r="T173" i="2"/>
  <c r="S173" i="2"/>
  <c r="R173" i="2"/>
  <c r="Q173" i="2"/>
  <c r="P173" i="2"/>
  <c r="O173" i="2"/>
  <c r="N173" i="2"/>
  <c r="M173" i="2"/>
  <c r="L173" i="2"/>
  <c r="K173" i="2"/>
  <c r="J173" i="2"/>
  <c r="I173" i="2"/>
  <c r="E173" i="2"/>
  <c r="D173" i="2"/>
  <c r="C173" i="2"/>
  <c r="U172" i="2"/>
  <c r="T172" i="2"/>
  <c r="S172" i="2"/>
  <c r="R172" i="2"/>
  <c r="Q172" i="2"/>
  <c r="P172" i="2"/>
  <c r="O172" i="2"/>
  <c r="N172" i="2"/>
  <c r="M172" i="2"/>
  <c r="L172" i="2"/>
  <c r="K172" i="2"/>
  <c r="J172" i="2"/>
  <c r="I172" i="2"/>
  <c r="AB166" i="2"/>
  <c r="AA166" i="2"/>
  <c r="Z166" i="2"/>
  <c r="Y166" i="2"/>
  <c r="X166" i="2"/>
  <c r="W166" i="2"/>
  <c r="V166" i="2"/>
  <c r="U166" i="2"/>
  <c r="T166" i="2"/>
  <c r="S166" i="2"/>
  <c r="R166" i="2"/>
  <c r="Q166" i="2"/>
  <c r="P166" i="2"/>
  <c r="O166" i="2"/>
  <c r="N166" i="2"/>
  <c r="M166" i="2"/>
  <c r="L166" i="2"/>
  <c r="K166" i="2"/>
  <c r="J166" i="2"/>
  <c r="I166" i="2"/>
  <c r="E166" i="2"/>
  <c r="D166" i="2"/>
  <c r="C166" i="2"/>
  <c r="AB165" i="2"/>
  <c r="AA165" i="2"/>
  <c r="Z165" i="2"/>
  <c r="Y165" i="2"/>
  <c r="X165" i="2"/>
  <c r="W165" i="2"/>
  <c r="V165" i="2"/>
  <c r="U165" i="2"/>
  <c r="T165" i="2"/>
  <c r="S165" i="2"/>
  <c r="R165" i="2"/>
  <c r="Q165" i="2"/>
  <c r="P165" i="2"/>
  <c r="O165" i="2"/>
  <c r="N165" i="2"/>
  <c r="M165" i="2"/>
  <c r="L165" i="2"/>
  <c r="K165" i="2"/>
  <c r="J165" i="2"/>
  <c r="I165" i="2"/>
  <c r="E165" i="2"/>
  <c r="D165" i="2"/>
  <c r="C165" i="2"/>
  <c r="AB164" i="2"/>
  <c r="AA164" i="2"/>
  <c r="Z164" i="2"/>
  <c r="Y164" i="2"/>
  <c r="X164" i="2"/>
  <c r="W164" i="2"/>
  <c r="V164" i="2"/>
  <c r="U164" i="2"/>
  <c r="T164" i="2"/>
  <c r="S164" i="2"/>
  <c r="R164" i="2"/>
  <c r="Q164" i="2"/>
  <c r="P164" i="2"/>
  <c r="O164" i="2"/>
  <c r="N164" i="2"/>
  <c r="M164" i="2"/>
  <c r="L164" i="2"/>
  <c r="K164" i="2"/>
  <c r="J164" i="2"/>
  <c r="I164" i="2"/>
  <c r="E164" i="2"/>
  <c r="D164" i="2"/>
  <c r="C164" i="2"/>
  <c r="AB163" i="2"/>
  <c r="AA163" i="2"/>
  <c r="Z163" i="2"/>
  <c r="Y163" i="2"/>
  <c r="X163" i="2"/>
  <c r="W163" i="2"/>
  <c r="V163" i="2"/>
  <c r="U163" i="2"/>
  <c r="T163" i="2"/>
  <c r="S163" i="2"/>
  <c r="R163" i="2"/>
  <c r="Q163" i="2"/>
  <c r="P163" i="2"/>
  <c r="O163" i="2"/>
  <c r="N163" i="2"/>
  <c r="M163" i="2"/>
  <c r="L163" i="2"/>
  <c r="K163" i="2"/>
  <c r="J163" i="2"/>
  <c r="I163" i="2"/>
  <c r="E163" i="2"/>
  <c r="D163" i="2"/>
  <c r="C163" i="2"/>
  <c r="AB162" i="2"/>
  <c r="AA162" i="2"/>
  <c r="Z162" i="2"/>
  <c r="Y162" i="2"/>
  <c r="X162" i="2"/>
  <c r="W162" i="2"/>
  <c r="V162" i="2"/>
  <c r="U162" i="2"/>
  <c r="T162" i="2"/>
  <c r="S162" i="2"/>
  <c r="R162" i="2"/>
  <c r="Q162" i="2"/>
  <c r="P162" i="2"/>
  <c r="O162" i="2"/>
  <c r="N162" i="2"/>
  <c r="M162" i="2"/>
  <c r="L162" i="2"/>
  <c r="K162" i="2"/>
  <c r="J162" i="2"/>
  <c r="I162" i="2"/>
  <c r="E162" i="2"/>
  <c r="D162" i="2"/>
  <c r="C162" i="2"/>
  <c r="AA161" i="2"/>
  <c r="Z161" i="2"/>
  <c r="Y161" i="2"/>
  <c r="X161" i="2"/>
  <c r="W161" i="2"/>
  <c r="V161" i="2"/>
  <c r="U161" i="2"/>
  <c r="T161" i="2"/>
  <c r="S161" i="2"/>
  <c r="R161" i="2"/>
  <c r="Q161" i="2"/>
  <c r="P161" i="2"/>
  <c r="O161" i="2"/>
  <c r="N161" i="2"/>
  <c r="M161" i="2"/>
  <c r="L161" i="2"/>
  <c r="K161" i="2"/>
  <c r="J161" i="2"/>
  <c r="I161" i="2"/>
  <c r="E161" i="2"/>
  <c r="D161" i="2"/>
  <c r="C161" i="2"/>
  <c r="Z160" i="2"/>
  <c r="Y160" i="2"/>
  <c r="X160" i="2"/>
  <c r="W160" i="2"/>
  <c r="V160" i="2"/>
  <c r="U160" i="2"/>
  <c r="T160" i="2"/>
  <c r="S160" i="2"/>
  <c r="R160" i="2"/>
  <c r="Q160" i="2"/>
  <c r="P160" i="2"/>
  <c r="O160" i="2"/>
  <c r="N160" i="2"/>
  <c r="M160" i="2"/>
  <c r="L160" i="2"/>
  <c r="K160" i="2"/>
  <c r="J160" i="2"/>
  <c r="I160" i="2"/>
  <c r="E160" i="2"/>
  <c r="D160" i="2"/>
  <c r="C160" i="2"/>
  <c r="Y159" i="2"/>
  <c r="X159" i="2"/>
  <c r="W159" i="2"/>
  <c r="V159" i="2"/>
  <c r="U159" i="2"/>
  <c r="T159" i="2"/>
  <c r="S159" i="2"/>
  <c r="R159" i="2"/>
  <c r="Q159" i="2"/>
  <c r="P159" i="2"/>
  <c r="O159" i="2"/>
  <c r="N159" i="2"/>
  <c r="M159" i="2"/>
  <c r="L159" i="2"/>
  <c r="K159" i="2"/>
  <c r="J159" i="2"/>
  <c r="I159" i="2"/>
  <c r="E159" i="2"/>
  <c r="D159" i="2"/>
  <c r="C159" i="2"/>
  <c r="X158" i="2"/>
  <c r="W158" i="2"/>
  <c r="V158" i="2"/>
  <c r="U158" i="2"/>
  <c r="T158" i="2"/>
  <c r="S158" i="2"/>
  <c r="R158" i="2"/>
  <c r="Q158" i="2"/>
  <c r="P158" i="2"/>
  <c r="O158" i="2"/>
  <c r="N158" i="2"/>
  <c r="M158" i="2"/>
  <c r="L158" i="2"/>
  <c r="K158" i="2"/>
  <c r="J158" i="2"/>
  <c r="I158" i="2"/>
  <c r="E158" i="2"/>
  <c r="D158" i="2"/>
  <c r="C158" i="2"/>
  <c r="W157" i="2"/>
  <c r="V157" i="2"/>
  <c r="U157" i="2"/>
  <c r="T157" i="2"/>
  <c r="S157" i="2"/>
  <c r="R157" i="2"/>
  <c r="Q157" i="2"/>
  <c r="P157" i="2"/>
  <c r="O157" i="2"/>
  <c r="N157" i="2"/>
  <c r="M157" i="2"/>
  <c r="L157" i="2"/>
  <c r="K157" i="2"/>
  <c r="J157" i="2"/>
  <c r="I157" i="2"/>
  <c r="E157" i="2"/>
  <c r="D157" i="2"/>
  <c r="C157" i="2"/>
  <c r="V156" i="2"/>
  <c r="U156" i="2"/>
  <c r="T156" i="2"/>
  <c r="S156" i="2"/>
  <c r="R156" i="2"/>
  <c r="Q156" i="2"/>
  <c r="P156" i="2"/>
  <c r="O156" i="2"/>
  <c r="N156" i="2"/>
  <c r="M156" i="2"/>
  <c r="L156" i="2"/>
  <c r="K156" i="2"/>
  <c r="J156" i="2"/>
  <c r="I156" i="2"/>
  <c r="E156" i="2"/>
  <c r="D156" i="2"/>
  <c r="C156" i="2"/>
  <c r="U155" i="2"/>
  <c r="T155" i="2"/>
  <c r="S155" i="2"/>
  <c r="R155" i="2"/>
  <c r="Q155" i="2"/>
  <c r="P155" i="2"/>
  <c r="O155" i="2"/>
  <c r="N155" i="2"/>
  <c r="M155" i="2"/>
  <c r="L155" i="2"/>
  <c r="K155" i="2"/>
  <c r="J155" i="2"/>
  <c r="I155" i="2"/>
  <c r="AB149" i="2"/>
  <c r="AA149" i="2"/>
  <c r="Z149" i="2"/>
  <c r="Y149" i="2"/>
  <c r="X149" i="2"/>
  <c r="W149" i="2"/>
  <c r="V149" i="2"/>
  <c r="U149" i="2"/>
  <c r="T149" i="2"/>
  <c r="S149" i="2"/>
  <c r="R149" i="2"/>
  <c r="Q149" i="2"/>
  <c r="P149" i="2"/>
  <c r="O149" i="2"/>
  <c r="N149" i="2"/>
  <c r="M149" i="2"/>
  <c r="L149" i="2"/>
  <c r="K149" i="2"/>
  <c r="J149" i="2"/>
  <c r="I149" i="2"/>
  <c r="E149" i="2"/>
  <c r="D149" i="2"/>
  <c r="C149" i="2"/>
  <c r="AB148" i="2"/>
  <c r="AA148" i="2"/>
  <c r="Z148" i="2"/>
  <c r="Y148" i="2"/>
  <c r="X148" i="2"/>
  <c r="W148" i="2"/>
  <c r="V148" i="2"/>
  <c r="U148" i="2"/>
  <c r="T148" i="2"/>
  <c r="S148" i="2"/>
  <c r="R148" i="2"/>
  <c r="Q148" i="2"/>
  <c r="P148" i="2"/>
  <c r="O148" i="2"/>
  <c r="N148" i="2"/>
  <c r="M148" i="2"/>
  <c r="L148" i="2"/>
  <c r="K148" i="2"/>
  <c r="J148" i="2"/>
  <c r="I148" i="2"/>
  <c r="E148" i="2"/>
  <c r="D148" i="2"/>
  <c r="C148" i="2"/>
  <c r="AB147" i="2"/>
  <c r="AA147" i="2"/>
  <c r="Z147" i="2"/>
  <c r="Y147" i="2"/>
  <c r="X147" i="2"/>
  <c r="W147" i="2"/>
  <c r="V147" i="2"/>
  <c r="U147" i="2"/>
  <c r="T147" i="2"/>
  <c r="S147" i="2"/>
  <c r="R147" i="2"/>
  <c r="Q147" i="2"/>
  <c r="P147" i="2"/>
  <c r="O147" i="2"/>
  <c r="N147" i="2"/>
  <c r="M147" i="2"/>
  <c r="L147" i="2"/>
  <c r="K147" i="2"/>
  <c r="J147" i="2"/>
  <c r="I147" i="2"/>
  <c r="E147" i="2"/>
  <c r="D147" i="2"/>
  <c r="C147" i="2"/>
  <c r="AB146" i="2"/>
  <c r="AA146" i="2"/>
  <c r="Z146" i="2"/>
  <c r="Y146" i="2"/>
  <c r="X146" i="2"/>
  <c r="W146" i="2"/>
  <c r="V146" i="2"/>
  <c r="U146" i="2"/>
  <c r="T146" i="2"/>
  <c r="S146" i="2"/>
  <c r="R146" i="2"/>
  <c r="Q146" i="2"/>
  <c r="P146" i="2"/>
  <c r="O146" i="2"/>
  <c r="N146" i="2"/>
  <c r="M146" i="2"/>
  <c r="L146" i="2"/>
  <c r="K146" i="2"/>
  <c r="J146" i="2"/>
  <c r="I146" i="2"/>
  <c r="E146" i="2"/>
  <c r="D146" i="2"/>
  <c r="C146" i="2"/>
  <c r="AB145" i="2"/>
  <c r="AA145" i="2"/>
  <c r="Z145" i="2"/>
  <c r="Y145" i="2"/>
  <c r="X145" i="2"/>
  <c r="W145" i="2"/>
  <c r="V145" i="2"/>
  <c r="U145" i="2"/>
  <c r="T145" i="2"/>
  <c r="S145" i="2"/>
  <c r="R145" i="2"/>
  <c r="Q145" i="2"/>
  <c r="P145" i="2"/>
  <c r="O145" i="2"/>
  <c r="N145" i="2"/>
  <c r="M145" i="2"/>
  <c r="L145" i="2"/>
  <c r="K145" i="2"/>
  <c r="J145" i="2"/>
  <c r="I145" i="2"/>
  <c r="E145" i="2"/>
  <c r="D145" i="2"/>
  <c r="C145" i="2"/>
  <c r="AA144" i="2"/>
  <c r="Z144" i="2"/>
  <c r="Y144" i="2"/>
  <c r="X144" i="2"/>
  <c r="W144" i="2"/>
  <c r="V144" i="2"/>
  <c r="U144" i="2"/>
  <c r="T144" i="2"/>
  <c r="S144" i="2"/>
  <c r="R144" i="2"/>
  <c r="Q144" i="2"/>
  <c r="P144" i="2"/>
  <c r="O144" i="2"/>
  <c r="N144" i="2"/>
  <c r="M144" i="2"/>
  <c r="L144" i="2"/>
  <c r="K144" i="2"/>
  <c r="J144" i="2"/>
  <c r="I144" i="2"/>
  <c r="E144" i="2"/>
  <c r="D144" i="2"/>
  <c r="C144" i="2"/>
  <c r="Z143" i="2"/>
  <c r="Y143" i="2"/>
  <c r="X143" i="2"/>
  <c r="W143" i="2"/>
  <c r="V143" i="2"/>
  <c r="U143" i="2"/>
  <c r="T143" i="2"/>
  <c r="S143" i="2"/>
  <c r="R143" i="2"/>
  <c r="Q143" i="2"/>
  <c r="P143" i="2"/>
  <c r="O143" i="2"/>
  <c r="N143" i="2"/>
  <c r="M143" i="2"/>
  <c r="L143" i="2"/>
  <c r="K143" i="2"/>
  <c r="J143" i="2"/>
  <c r="I143" i="2"/>
  <c r="E143" i="2"/>
  <c r="D143" i="2"/>
  <c r="C143" i="2"/>
  <c r="Y142" i="2"/>
  <c r="X142" i="2"/>
  <c r="W142" i="2"/>
  <c r="V142" i="2"/>
  <c r="U142" i="2"/>
  <c r="T142" i="2"/>
  <c r="S142" i="2"/>
  <c r="R142" i="2"/>
  <c r="Q142" i="2"/>
  <c r="P142" i="2"/>
  <c r="O142" i="2"/>
  <c r="N142" i="2"/>
  <c r="M142" i="2"/>
  <c r="L142" i="2"/>
  <c r="K142" i="2"/>
  <c r="J142" i="2"/>
  <c r="I142" i="2"/>
  <c r="E142" i="2"/>
  <c r="D142" i="2"/>
  <c r="C142" i="2"/>
  <c r="X141" i="2"/>
  <c r="W141" i="2"/>
  <c r="V141" i="2"/>
  <c r="U141" i="2"/>
  <c r="T141" i="2"/>
  <c r="S141" i="2"/>
  <c r="R141" i="2"/>
  <c r="Q141" i="2"/>
  <c r="P141" i="2"/>
  <c r="O141" i="2"/>
  <c r="N141" i="2"/>
  <c r="M141" i="2"/>
  <c r="L141" i="2"/>
  <c r="K141" i="2"/>
  <c r="J141" i="2"/>
  <c r="I141" i="2"/>
  <c r="E141" i="2"/>
  <c r="D141" i="2"/>
  <c r="C141" i="2"/>
  <c r="W140" i="2"/>
  <c r="V140" i="2"/>
  <c r="U140" i="2"/>
  <c r="T140" i="2"/>
  <c r="S140" i="2"/>
  <c r="R140" i="2"/>
  <c r="Q140" i="2"/>
  <c r="P140" i="2"/>
  <c r="O140" i="2"/>
  <c r="N140" i="2"/>
  <c r="M140" i="2"/>
  <c r="L140" i="2"/>
  <c r="K140" i="2"/>
  <c r="J140" i="2"/>
  <c r="I140" i="2"/>
  <c r="E140" i="2"/>
  <c r="D140" i="2"/>
  <c r="C140" i="2"/>
  <c r="V139" i="2"/>
  <c r="U139" i="2"/>
  <c r="T139" i="2"/>
  <c r="S139" i="2"/>
  <c r="R139" i="2"/>
  <c r="Q139" i="2"/>
  <c r="P139" i="2"/>
  <c r="O139" i="2"/>
  <c r="N139" i="2"/>
  <c r="M139" i="2"/>
  <c r="L139" i="2"/>
  <c r="K139" i="2"/>
  <c r="J139" i="2"/>
  <c r="I139" i="2"/>
  <c r="E139" i="2"/>
  <c r="D139" i="2"/>
  <c r="C139" i="2"/>
  <c r="U138" i="2"/>
  <c r="T138" i="2"/>
  <c r="S138" i="2"/>
  <c r="R138" i="2"/>
  <c r="Q138" i="2"/>
  <c r="P138" i="2"/>
  <c r="O138" i="2"/>
  <c r="N138" i="2"/>
  <c r="M138" i="2"/>
  <c r="L138" i="2"/>
  <c r="K138" i="2"/>
  <c r="J138" i="2"/>
  <c r="I138" i="2"/>
  <c r="AB132" i="2"/>
  <c r="AA132" i="2"/>
  <c r="Z132" i="2"/>
  <c r="Y132" i="2"/>
  <c r="X132" i="2"/>
  <c r="W132" i="2"/>
  <c r="V132" i="2"/>
  <c r="U132" i="2"/>
  <c r="T132" i="2"/>
  <c r="S132" i="2"/>
  <c r="R132" i="2"/>
  <c r="Q132" i="2"/>
  <c r="P132" i="2"/>
  <c r="O132" i="2"/>
  <c r="N132" i="2"/>
  <c r="M132" i="2"/>
  <c r="L132" i="2"/>
  <c r="K132" i="2"/>
  <c r="J132" i="2"/>
  <c r="I132" i="2"/>
  <c r="E132" i="2"/>
  <c r="D132" i="2"/>
  <c r="C132" i="2"/>
  <c r="AB131" i="2"/>
  <c r="AA131" i="2"/>
  <c r="Z131" i="2"/>
  <c r="Y131" i="2"/>
  <c r="X131" i="2"/>
  <c r="W131" i="2"/>
  <c r="V131" i="2"/>
  <c r="U131" i="2"/>
  <c r="T131" i="2"/>
  <c r="S131" i="2"/>
  <c r="R131" i="2"/>
  <c r="Q131" i="2"/>
  <c r="P131" i="2"/>
  <c r="O131" i="2"/>
  <c r="N131" i="2"/>
  <c r="M131" i="2"/>
  <c r="L131" i="2"/>
  <c r="K131" i="2"/>
  <c r="J131" i="2"/>
  <c r="I131" i="2"/>
  <c r="E131" i="2"/>
  <c r="D131" i="2"/>
  <c r="C131" i="2"/>
  <c r="AB130" i="2"/>
  <c r="AA130" i="2"/>
  <c r="Z130" i="2"/>
  <c r="Y130" i="2"/>
  <c r="X130" i="2"/>
  <c r="W130" i="2"/>
  <c r="V130" i="2"/>
  <c r="U130" i="2"/>
  <c r="T130" i="2"/>
  <c r="S130" i="2"/>
  <c r="R130" i="2"/>
  <c r="Q130" i="2"/>
  <c r="P130" i="2"/>
  <c r="O130" i="2"/>
  <c r="N130" i="2"/>
  <c r="M130" i="2"/>
  <c r="L130" i="2"/>
  <c r="K130" i="2"/>
  <c r="J130" i="2"/>
  <c r="I130" i="2"/>
  <c r="E130" i="2"/>
  <c r="D130" i="2"/>
  <c r="C130" i="2"/>
  <c r="AB129" i="2"/>
  <c r="AA129" i="2"/>
  <c r="Z129" i="2"/>
  <c r="Y129" i="2"/>
  <c r="X129" i="2"/>
  <c r="W129" i="2"/>
  <c r="V129" i="2"/>
  <c r="U129" i="2"/>
  <c r="T129" i="2"/>
  <c r="S129" i="2"/>
  <c r="R129" i="2"/>
  <c r="Q129" i="2"/>
  <c r="P129" i="2"/>
  <c r="O129" i="2"/>
  <c r="N129" i="2"/>
  <c r="M129" i="2"/>
  <c r="L129" i="2"/>
  <c r="K129" i="2"/>
  <c r="J129" i="2"/>
  <c r="I129" i="2"/>
  <c r="E129" i="2"/>
  <c r="D129" i="2"/>
  <c r="C129" i="2"/>
  <c r="AB128" i="2"/>
  <c r="AA128" i="2"/>
  <c r="Z128" i="2"/>
  <c r="Y128" i="2"/>
  <c r="X128" i="2"/>
  <c r="W128" i="2"/>
  <c r="V128" i="2"/>
  <c r="U128" i="2"/>
  <c r="T128" i="2"/>
  <c r="S128" i="2"/>
  <c r="R128" i="2"/>
  <c r="Q128" i="2"/>
  <c r="P128" i="2"/>
  <c r="O128" i="2"/>
  <c r="N128" i="2"/>
  <c r="M128" i="2"/>
  <c r="L128" i="2"/>
  <c r="K128" i="2"/>
  <c r="J128" i="2"/>
  <c r="I128" i="2"/>
  <c r="E128" i="2"/>
  <c r="D128" i="2"/>
  <c r="C128" i="2"/>
  <c r="AA127" i="2"/>
  <c r="Z127" i="2"/>
  <c r="Y127" i="2"/>
  <c r="X127" i="2"/>
  <c r="W127" i="2"/>
  <c r="V127" i="2"/>
  <c r="U127" i="2"/>
  <c r="T127" i="2"/>
  <c r="S127" i="2"/>
  <c r="R127" i="2"/>
  <c r="Q127" i="2"/>
  <c r="P127" i="2"/>
  <c r="O127" i="2"/>
  <c r="N127" i="2"/>
  <c r="M127" i="2"/>
  <c r="L127" i="2"/>
  <c r="K127" i="2"/>
  <c r="J127" i="2"/>
  <c r="I127" i="2"/>
  <c r="E127" i="2"/>
  <c r="D127" i="2"/>
  <c r="C127" i="2"/>
  <c r="Z126" i="2"/>
  <c r="Y126" i="2"/>
  <c r="X126" i="2"/>
  <c r="W126" i="2"/>
  <c r="V126" i="2"/>
  <c r="U126" i="2"/>
  <c r="T126" i="2"/>
  <c r="S126" i="2"/>
  <c r="R126" i="2"/>
  <c r="Q126" i="2"/>
  <c r="P126" i="2"/>
  <c r="O126" i="2"/>
  <c r="N126" i="2"/>
  <c r="M126" i="2"/>
  <c r="L126" i="2"/>
  <c r="K126" i="2"/>
  <c r="J126" i="2"/>
  <c r="I126" i="2"/>
  <c r="E126" i="2"/>
  <c r="D126" i="2"/>
  <c r="C126" i="2"/>
  <c r="Y125" i="2"/>
  <c r="X125" i="2"/>
  <c r="W125" i="2"/>
  <c r="V125" i="2"/>
  <c r="U125" i="2"/>
  <c r="T125" i="2"/>
  <c r="S125" i="2"/>
  <c r="R125" i="2"/>
  <c r="Q125" i="2"/>
  <c r="P125" i="2"/>
  <c r="O125" i="2"/>
  <c r="N125" i="2"/>
  <c r="M125" i="2"/>
  <c r="L125" i="2"/>
  <c r="K125" i="2"/>
  <c r="J125" i="2"/>
  <c r="I125" i="2"/>
  <c r="E125" i="2"/>
  <c r="D125" i="2"/>
  <c r="C125" i="2"/>
  <c r="X124" i="2"/>
  <c r="W124" i="2"/>
  <c r="V124" i="2"/>
  <c r="U124" i="2"/>
  <c r="T124" i="2"/>
  <c r="S124" i="2"/>
  <c r="R124" i="2"/>
  <c r="Q124" i="2"/>
  <c r="P124" i="2"/>
  <c r="O124" i="2"/>
  <c r="N124" i="2"/>
  <c r="M124" i="2"/>
  <c r="L124" i="2"/>
  <c r="K124" i="2"/>
  <c r="J124" i="2"/>
  <c r="I124" i="2"/>
  <c r="E124" i="2"/>
  <c r="D124" i="2"/>
  <c r="C124" i="2"/>
  <c r="W123" i="2"/>
  <c r="V123" i="2"/>
  <c r="U123" i="2"/>
  <c r="T123" i="2"/>
  <c r="S123" i="2"/>
  <c r="R123" i="2"/>
  <c r="Q123" i="2"/>
  <c r="P123" i="2"/>
  <c r="O123" i="2"/>
  <c r="N123" i="2"/>
  <c r="M123" i="2"/>
  <c r="L123" i="2"/>
  <c r="K123" i="2"/>
  <c r="J123" i="2"/>
  <c r="I123" i="2"/>
  <c r="E123" i="2"/>
  <c r="D123" i="2"/>
  <c r="C123" i="2"/>
  <c r="V122" i="2"/>
  <c r="U122" i="2"/>
  <c r="T122" i="2"/>
  <c r="S122" i="2"/>
  <c r="R122" i="2"/>
  <c r="Q122" i="2"/>
  <c r="P122" i="2"/>
  <c r="O122" i="2"/>
  <c r="N122" i="2"/>
  <c r="M122" i="2"/>
  <c r="L122" i="2"/>
  <c r="K122" i="2"/>
  <c r="J122" i="2"/>
  <c r="I122" i="2"/>
  <c r="E122" i="2"/>
  <c r="D122" i="2"/>
  <c r="C122" i="2"/>
  <c r="U121" i="2"/>
  <c r="T121" i="2"/>
  <c r="S121" i="2"/>
  <c r="R121" i="2"/>
  <c r="Q121" i="2"/>
  <c r="P121" i="2"/>
  <c r="O121" i="2"/>
  <c r="N121" i="2"/>
  <c r="M121" i="2"/>
  <c r="L121" i="2"/>
  <c r="K121" i="2"/>
  <c r="J121" i="2"/>
  <c r="I121" i="2"/>
  <c r="AB115" i="2"/>
  <c r="AA115" i="2"/>
  <c r="Z115" i="2"/>
  <c r="Y115" i="2"/>
  <c r="X115" i="2"/>
  <c r="W115" i="2"/>
  <c r="V115" i="2"/>
  <c r="U115" i="2"/>
  <c r="T115" i="2"/>
  <c r="S115" i="2"/>
  <c r="R115" i="2"/>
  <c r="Q115" i="2"/>
  <c r="P115" i="2"/>
  <c r="O115" i="2"/>
  <c r="N115" i="2"/>
  <c r="M115" i="2"/>
  <c r="L115" i="2"/>
  <c r="K115" i="2"/>
  <c r="J115" i="2"/>
  <c r="I115" i="2"/>
  <c r="E115" i="2"/>
  <c r="D115" i="2"/>
  <c r="C115" i="2"/>
  <c r="AB114" i="2"/>
  <c r="AA114" i="2"/>
  <c r="Z114" i="2"/>
  <c r="Y114" i="2"/>
  <c r="X114" i="2"/>
  <c r="W114" i="2"/>
  <c r="V114" i="2"/>
  <c r="U114" i="2"/>
  <c r="T114" i="2"/>
  <c r="S114" i="2"/>
  <c r="R114" i="2"/>
  <c r="Q114" i="2"/>
  <c r="P114" i="2"/>
  <c r="O114" i="2"/>
  <c r="N114" i="2"/>
  <c r="M114" i="2"/>
  <c r="L114" i="2"/>
  <c r="K114" i="2"/>
  <c r="J114" i="2"/>
  <c r="I114" i="2"/>
  <c r="E114" i="2"/>
  <c r="D114" i="2"/>
  <c r="C114" i="2"/>
  <c r="AB113" i="2"/>
  <c r="AA113" i="2"/>
  <c r="Z113" i="2"/>
  <c r="Y113" i="2"/>
  <c r="X113" i="2"/>
  <c r="W113" i="2"/>
  <c r="V113" i="2"/>
  <c r="U113" i="2"/>
  <c r="T113" i="2"/>
  <c r="S113" i="2"/>
  <c r="R113" i="2"/>
  <c r="Q113" i="2"/>
  <c r="P113" i="2"/>
  <c r="O113" i="2"/>
  <c r="N113" i="2"/>
  <c r="M113" i="2"/>
  <c r="L113" i="2"/>
  <c r="K113" i="2"/>
  <c r="J113" i="2"/>
  <c r="I113" i="2"/>
  <c r="E113" i="2"/>
  <c r="D113" i="2"/>
  <c r="C113" i="2"/>
  <c r="AB112" i="2"/>
  <c r="AA112" i="2"/>
  <c r="Z112" i="2"/>
  <c r="Y112" i="2"/>
  <c r="X112" i="2"/>
  <c r="W112" i="2"/>
  <c r="V112" i="2"/>
  <c r="U112" i="2"/>
  <c r="T112" i="2"/>
  <c r="S112" i="2"/>
  <c r="R112" i="2"/>
  <c r="Q112" i="2"/>
  <c r="P112" i="2"/>
  <c r="O112" i="2"/>
  <c r="N112" i="2"/>
  <c r="M112" i="2"/>
  <c r="L112" i="2"/>
  <c r="K112" i="2"/>
  <c r="J112" i="2"/>
  <c r="I112" i="2"/>
  <c r="E112" i="2"/>
  <c r="D112" i="2"/>
  <c r="C112" i="2"/>
  <c r="AB111" i="2"/>
  <c r="AA111" i="2"/>
  <c r="Z111" i="2"/>
  <c r="Y111" i="2"/>
  <c r="X111" i="2"/>
  <c r="W111" i="2"/>
  <c r="V111" i="2"/>
  <c r="U111" i="2"/>
  <c r="T111" i="2"/>
  <c r="S111" i="2"/>
  <c r="R111" i="2"/>
  <c r="Q111" i="2"/>
  <c r="P111" i="2"/>
  <c r="O111" i="2"/>
  <c r="N111" i="2"/>
  <c r="M111" i="2"/>
  <c r="L111" i="2"/>
  <c r="K111" i="2"/>
  <c r="J111" i="2"/>
  <c r="I111" i="2"/>
  <c r="E111" i="2"/>
  <c r="D111" i="2"/>
  <c r="C111" i="2"/>
  <c r="AA110" i="2"/>
  <c r="Z110" i="2"/>
  <c r="Y110" i="2"/>
  <c r="X110" i="2"/>
  <c r="W110" i="2"/>
  <c r="V110" i="2"/>
  <c r="U110" i="2"/>
  <c r="T110" i="2"/>
  <c r="S110" i="2"/>
  <c r="R110" i="2"/>
  <c r="Q110" i="2"/>
  <c r="P110" i="2"/>
  <c r="O110" i="2"/>
  <c r="N110" i="2"/>
  <c r="M110" i="2"/>
  <c r="L110" i="2"/>
  <c r="K110" i="2"/>
  <c r="J110" i="2"/>
  <c r="I110" i="2"/>
  <c r="E110" i="2"/>
  <c r="D110" i="2"/>
  <c r="C110" i="2"/>
  <c r="Z109" i="2"/>
  <c r="Y109" i="2"/>
  <c r="X109" i="2"/>
  <c r="W109" i="2"/>
  <c r="V109" i="2"/>
  <c r="U109" i="2"/>
  <c r="T109" i="2"/>
  <c r="S109" i="2"/>
  <c r="R109" i="2"/>
  <c r="Q109" i="2"/>
  <c r="P109" i="2"/>
  <c r="O109" i="2"/>
  <c r="N109" i="2"/>
  <c r="M109" i="2"/>
  <c r="L109" i="2"/>
  <c r="K109" i="2"/>
  <c r="J109" i="2"/>
  <c r="I109" i="2"/>
  <c r="E109" i="2"/>
  <c r="D109" i="2"/>
  <c r="C109" i="2"/>
  <c r="Y108" i="2"/>
  <c r="X108" i="2"/>
  <c r="W108" i="2"/>
  <c r="V108" i="2"/>
  <c r="U108" i="2"/>
  <c r="T108" i="2"/>
  <c r="S108" i="2"/>
  <c r="R108" i="2"/>
  <c r="Q108" i="2"/>
  <c r="P108" i="2"/>
  <c r="O108" i="2"/>
  <c r="N108" i="2"/>
  <c r="M108" i="2"/>
  <c r="L108" i="2"/>
  <c r="K108" i="2"/>
  <c r="J108" i="2"/>
  <c r="I108" i="2"/>
  <c r="E108" i="2"/>
  <c r="D108" i="2"/>
  <c r="C108" i="2"/>
  <c r="X107" i="2"/>
  <c r="W107" i="2"/>
  <c r="V107" i="2"/>
  <c r="U107" i="2"/>
  <c r="T107" i="2"/>
  <c r="S107" i="2"/>
  <c r="R107" i="2"/>
  <c r="Q107" i="2"/>
  <c r="P107" i="2"/>
  <c r="O107" i="2"/>
  <c r="N107" i="2"/>
  <c r="M107" i="2"/>
  <c r="L107" i="2"/>
  <c r="K107" i="2"/>
  <c r="J107" i="2"/>
  <c r="I107" i="2"/>
  <c r="E107" i="2"/>
  <c r="D107" i="2"/>
  <c r="C107" i="2"/>
  <c r="W106" i="2"/>
  <c r="V106" i="2"/>
  <c r="U106" i="2"/>
  <c r="T106" i="2"/>
  <c r="S106" i="2"/>
  <c r="R106" i="2"/>
  <c r="Q106" i="2"/>
  <c r="P106" i="2"/>
  <c r="O106" i="2"/>
  <c r="N106" i="2"/>
  <c r="M106" i="2"/>
  <c r="L106" i="2"/>
  <c r="K106" i="2"/>
  <c r="J106" i="2"/>
  <c r="I106" i="2"/>
  <c r="E106" i="2"/>
  <c r="D106" i="2"/>
  <c r="C106" i="2"/>
  <c r="V105" i="2"/>
  <c r="U105" i="2"/>
  <c r="T105" i="2"/>
  <c r="S105" i="2"/>
  <c r="R105" i="2"/>
  <c r="Q105" i="2"/>
  <c r="P105" i="2"/>
  <c r="O105" i="2"/>
  <c r="N105" i="2"/>
  <c r="M105" i="2"/>
  <c r="L105" i="2"/>
  <c r="K105" i="2"/>
  <c r="J105" i="2"/>
  <c r="I105" i="2"/>
  <c r="E105" i="2"/>
  <c r="D105" i="2"/>
  <c r="C105" i="2"/>
  <c r="U104" i="2"/>
  <c r="T104" i="2"/>
  <c r="S104" i="2"/>
  <c r="R104" i="2"/>
  <c r="Q104" i="2"/>
  <c r="P104" i="2"/>
  <c r="O104" i="2"/>
  <c r="N104" i="2"/>
  <c r="M104" i="2"/>
  <c r="L104" i="2"/>
  <c r="K104" i="2"/>
  <c r="J104" i="2"/>
  <c r="I104" i="2"/>
  <c r="AB98" i="2"/>
  <c r="AA98" i="2"/>
  <c r="Z98" i="2"/>
  <c r="Y98" i="2"/>
  <c r="X98" i="2"/>
  <c r="W98" i="2"/>
  <c r="V98" i="2"/>
  <c r="U98" i="2"/>
  <c r="T98" i="2"/>
  <c r="S98" i="2"/>
  <c r="R98" i="2"/>
  <c r="Q98" i="2"/>
  <c r="P98" i="2"/>
  <c r="O98" i="2"/>
  <c r="N98" i="2"/>
  <c r="M98" i="2"/>
  <c r="L98" i="2"/>
  <c r="K98" i="2"/>
  <c r="J98" i="2"/>
  <c r="I98" i="2"/>
  <c r="E98" i="2"/>
  <c r="D98" i="2"/>
  <c r="C98" i="2"/>
  <c r="AB97" i="2"/>
  <c r="AA97" i="2"/>
  <c r="Z97" i="2"/>
  <c r="Y97" i="2"/>
  <c r="X97" i="2"/>
  <c r="W97" i="2"/>
  <c r="V97" i="2"/>
  <c r="U97" i="2"/>
  <c r="T97" i="2"/>
  <c r="S97" i="2"/>
  <c r="R97" i="2"/>
  <c r="Q97" i="2"/>
  <c r="P97" i="2"/>
  <c r="O97" i="2"/>
  <c r="N97" i="2"/>
  <c r="M97" i="2"/>
  <c r="L97" i="2"/>
  <c r="K97" i="2"/>
  <c r="J97" i="2"/>
  <c r="I97" i="2"/>
  <c r="E97" i="2"/>
  <c r="D97" i="2"/>
  <c r="C97" i="2"/>
  <c r="AB96" i="2"/>
  <c r="AA96" i="2"/>
  <c r="Z96" i="2"/>
  <c r="Y96" i="2"/>
  <c r="X96" i="2"/>
  <c r="W96" i="2"/>
  <c r="V96" i="2"/>
  <c r="U96" i="2"/>
  <c r="T96" i="2"/>
  <c r="S96" i="2"/>
  <c r="R96" i="2"/>
  <c r="Q96" i="2"/>
  <c r="P96" i="2"/>
  <c r="O96" i="2"/>
  <c r="N96" i="2"/>
  <c r="M96" i="2"/>
  <c r="L96" i="2"/>
  <c r="K96" i="2"/>
  <c r="J96" i="2"/>
  <c r="I96" i="2"/>
  <c r="E96" i="2"/>
  <c r="D96" i="2"/>
  <c r="C96" i="2"/>
  <c r="AB95" i="2"/>
  <c r="AA95" i="2"/>
  <c r="Z95" i="2"/>
  <c r="Y95" i="2"/>
  <c r="X95" i="2"/>
  <c r="W95" i="2"/>
  <c r="V95" i="2"/>
  <c r="U95" i="2"/>
  <c r="T95" i="2"/>
  <c r="S95" i="2"/>
  <c r="R95" i="2"/>
  <c r="Q95" i="2"/>
  <c r="P95" i="2"/>
  <c r="O95" i="2"/>
  <c r="N95" i="2"/>
  <c r="M95" i="2"/>
  <c r="L95" i="2"/>
  <c r="K95" i="2"/>
  <c r="J95" i="2"/>
  <c r="I95" i="2"/>
  <c r="E95" i="2"/>
  <c r="D95" i="2"/>
  <c r="C95" i="2"/>
  <c r="AB94" i="2"/>
  <c r="AA94" i="2"/>
  <c r="Z94" i="2"/>
  <c r="Y94" i="2"/>
  <c r="X94" i="2"/>
  <c r="W94" i="2"/>
  <c r="V94" i="2"/>
  <c r="U94" i="2"/>
  <c r="T94" i="2"/>
  <c r="S94" i="2"/>
  <c r="R94" i="2"/>
  <c r="Q94" i="2"/>
  <c r="P94" i="2"/>
  <c r="O94" i="2"/>
  <c r="N94" i="2"/>
  <c r="M94" i="2"/>
  <c r="L94" i="2"/>
  <c r="K94" i="2"/>
  <c r="J94" i="2"/>
  <c r="I94" i="2"/>
  <c r="E94" i="2"/>
  <c r="D94" i="2"/>
  <c r="C94" i="2"/>
  <c r="AA93" i="2"/>
  <c r="Z93" i="2"/>
  <c r="Y93" i="2"/>
  <c r="X93" i="2"/>
  <c r="W93" i="2"/>
  <c r="V93" i="2"/>
  <c r="U93" i="2"/>
  <c r="T93" i="2"/>
  <c r="S93" i="2"/>
  <c r="R93" i="2"/>
  <c r="Q93" i="2"/>
  <c r="P93" i="2"/>
  <c r="O93" i="2"/>
  <c r="N93" i="2"/>
  <c r="M93" i="2"/>
  <c r="L93" i="2"/>
  <c r="K93" i="2"/>
  <c r="J93" i="2"/>
  <c r="I93" i="2"/>
  <c r="E93" i="2"/>
  <c r="D93" i="2"/>
  <c r="C93" i="2"/>
  <c r="Z92" i="2"/>
  <c r="Y92" i="2"/>
  <c r="X92" i="2"/>
  <c r="W92" i="2"/>
  <c r="V92" i="2"/>
  <c r="U92" i="2"/>
  <c r="T92" i="2"/>
  <c r="S92" i="2"/>
  <c r="R92" i="2"/>
  <c r="Q92" i="2"/>
  <c r="P92" i="2"/>
  <c r="O92" i="2"/>
  <c r="N92" i="2"/>
  <c r="M92" i="2"/>
  <c r="L92" i="2"/>
  <c r="K92" i="2"/>
  <c r="J92" i="2"/>
  <c r="I92" i="2"/>
  <c r="E92" i="2"/>
  <c r="D92" i="2"/>
  <c r="C92" i="2"/>
  <c r="Y91" i="2"/>
  <c r="X91" i="2"/>
  <c r="W91" i="2"/>
  <c r="V91" i="2"/>
  <c r="U91" i="2"/>
  <c r="T91" i="2"/>
  <c r="S91" i="2"/>
  <c r="R91" i="2"/>
  <c r="Q91" i="2"/>
  <c r="P91" i="2"/>
  <c r="O91" i="2"/>
  <c r="N91" i="2"/>
  <c r="M91" i="2"/>
  <c r="L91" i="2"/>
  <c r="K91" i="2"/>
  <c r="J91" i="2"/>
  <c r="I91" i="2"/>
  <c r="E91" i="2"/>
  <c r="D91" i="2"/>
  <c r="C91" i="2"/>
  <c r="X90" i="2"/>
  <c r="W90" i="2"/>
  <c r="V90" i="2"/>
  <c r="U90" i="2"/>
  <c r="T90" i="2"/>
  <c r="S90" i="2"/>
  <c r="R90" i="2"/>
  <c r="Q90" i="2"/>
  <c r="P90" i="2"/>
  <c r="O90" i="2"/>
  <c r="N90" i="2"/>
  <c r="M90" i="2"/>
  <c r="L90" i="2"/>
  <c r="K90" i="2"/>
  <c r="J90" i="2"/>
  <c r="I90" i="2"/>
  <c r="E90" i="2"/>
  <c r="D90" i="2"/>
  <c r="C90" i="2"/>
  <c r="W89" i="2"/>
  <c r="V89" i="2"/>
  <c r="U89" i="2"/>
  <c r="T89" i="2"/>
  <c r="S89" i="2"/>
  <c r="R89" i="2"/>
  <c r="Q89" i="2"/>
  <c r="P89" i="2"/>
  <c r="O89" i="2"/>
  <c r="N89" i="2"/>
  <c r="M89" i="2"/>
  <c r="L89" i="2"/>
  <c r="K89" i="2"/>
  <c r="J89" i="2"/>
  <c r="I89" i="2"/>
  <c r="E89" i="2"/>
  <c r="D89" i="2"/>
  <c r="C89" i="2"/>
  <c r="V88" i="2"/>
  <c r="U88" i="2"/>
  <c r="T88" i="2"/>
  <c r="S88" i="2"/>
  <c r="R88" i="2"/>
  <c r="Q88" i="2"/>
  <c r="P88" i="2"/>
  <c r="O88" i="2"/>
  <c r="N88" i="2"/>
  <c r="M88" i="2"/>
  <c r="L88" i="2"/>
  <c r="K88" i="2"/>
  <c r="J88" i="2"/>
  <c r="I88" i="2"/>
  <c r="E88" i="2"/>
  <c r="D88" i="2"/>
  <c r="C88" i="2"/>
  <c r="U87" i="2"/>
  <c r="T87" i="2"/>
  <c r="S87" i="2"/>
  <c r="R87" i="2"/>
  <c r="Q87" i="2"/>
  <c r="P87" i="2"/>
  <c r="O87" i="2"/>
  <c r="N87" i="2"/>
  <c r="M87" i="2"/>
  <c r="L87" i="2"/>
  <c r="K87" i="2"/>
  <c r="J87" i="2"/>
  <c r="I87" i="2"/>
  <c r="AB82" i="2"/>
  <c r="AA82" i="2"/>
  <c r="Z82" i="2"/>
  <c r="Y82" i="2"/>
  <c r="X82" i="2"/>
  <c r="W82" i="2"/>
  <c r="V82" i="2"/>
  <c r="U82" i="2"/>
  <c r="T82" i="2"/>
  <c r="S82" i="2"/>
  <c r="R82" i="2"/>
  <c r="Q82" i="2"/>
  <c r="P82" i="2"/>
  <c r="O82" i="2"/>
  <c r="N82" i="2"/>
  <c r="M82" i="2"/>
  <c r="L82" i="2"/>
  <c r="K82" i="2"/>
  <c r="J82" i="2"/>
  <c r="I82" i="2"/>
  <c r="E82" i="2"/>
  <c r="D82" i="2"/>
  <c r="C82" i="2"/>
  <c r="AB81" i="2"/>
  <c r="AA81" i="2"/>
  <c r="Z81" i="2"/>
  <c r="Y81" i="2"/>
  <c r="X81" i="2"/>
  <c r="W81" i="2"/>
  <c r="V81" i="2"/>
  <c r="U81" i="2"/>
  <c r="T81" i="2"/>
  <c r="S81" i="2"/>
  <c r="R81" i="2"/>
  <c r="Q81" i="2"/>
  <c r="P81" i="2"/>
  <c r="O81" i="2"/>
  <c r="N81" i="2"/>
  <c r="M81" i="2"/>
  <c r="L81" i="2"/>
  <c r="K81" i="2"/>
  <c r="J81" i="2"/>
  <c r="I81" i="2"/>
  <c r="E81" i="2"/>
  <c r="D81" i="2"/>
  <c r="C81" i="2"/>
  <c r="AB80" i="2"/>
  <c r="AA80" i="2"/>
  <c r="Z80" i="2"/>
  <c r="Y80" i="2"/>
  <c r="X80" i="2"/>
  <c r="W80" i="2"/>
  <c r="V80" i="2"/>
  <c r="U80" i="2"/>
  <c r="T80" i="2"/>
  <c r="S80" i="2"/>
  <c r="R80" i="2"/>
  <c r="Q80" i="2"/>
  <c r="P80" i="2"/>
  <c r="O80" i="2"/>
  <c r="N80" i="2"/>
  <c r="M80" i="2"/>
  <c r="L80" i="2"/>
  <c r="K80" i="2"/>
  <c r="J80" i="2"/>
  <c r="I80" i="2"/>
  <c r="E80" i="2"/>
  <c r="D80" i="2"/>
  <c r="C80" i="2"/>
  <c r="AB79" i="2"/>
  <c r="AA79" i="2"/>
  <c r="Z79" i="2"/>
  <c r="Y79" i="2"/>
  <c r="X79" i="2"/>
  <c r="W79" i="2"/>
  <c r="V79" i="2"/>
  <c r="U79" i="2"/>
  <c r="T79" i="2"/>
  <c r="S79" i="2"/>
  <c r="R79" i="2"/>
  <c r="Q79" i="2"/>
  <c r="P79" i="2"/>
  <c r="O79" i="2"/>
  <c r="N79" i="2"/>
  <c r="M79" i="2"/>
  <c r="L79" i="2"/>
  <c r="K79" i="2"/>
  <c r="J79" i="2"/>
  <c r="I79" i="2"/>
  <c r="E79" i="2"/>
  <c r="D79" i="2"/>
  <c r="C79" i="2"/>
  <c r="AB78" i="2"/>
  <c r="AA78" i="2"/>
  <c r="Z78" i="2"/>
  <c r="Y78" i="2"/>
  <c r="X78" i="2"/>
  <c r="W78" i="2"/>
  <c r="V78" i="2"/>
  <c r="U78" i="2"/>
  <c r="T78" i="2"/>
  <c r="S78" i="2"/>
  <c r="R78" i="2"/>
  <c r="Q78" i="2"/>
  <c r="P78" i="2"/>
  <c r="O78" i="2"/>
  <c r="N78" i="2"/>
  <c r="M78" i="2"/>
  <c r="L78" i="2"/>
  <c r="K78" i="2"/>
  <c r="J78" i="2"/>
  <c r="I78" i="2"/>
  <c r="E78" i="2"/>
  <c r="D78" i="2"/>
  <c r="C78" i="2"/>
  <c r="AA77" i="2"/>
  <c r="Z77" i="2"/>
  <c r="Y77" i="2"/>
  <c r="X77" i="2"/>
  <c r="W77" i="2"/>
  <c r="V77" i="2"/>
  <c r="U77" i="2"/>
  <c r="T77" i="2"/>
  <c r="S77" i="2"/>
  <c r="R77" i="2"/>
  <c r="Q77" i="2"/>
  <c r="P77" i="2"/>
  <c r="O77" i="2"/>
  <c r="N77" i="2"/>
  <c r="M77" i="2"/>
  <c r="L77" i="2"/>
  <c r="K77" i="2"/>
  <c r="J77" i="2"/>
  <c r="I77" i="2"/>
  <c r="E77" i="2"/>
  <c r="D77" i="2"/>
  <c r="C77" i="2"/>
  <c r="Z76" i="2"/>
  <c r="Y76" i="2"/>
  <c r="X76" i="2"/>
  <c r="W76" i="2"/>
  <c r="V76" i="2"/>
  <c r="U76" i="2"/>
  <c r="T76" i="2"/>
  <c r="S76" i="2"/>
  <c r="R76" i="2"/>
  <c r="Q76" i="2"/>
  <c r="P76" i="2"/>
  <c r="O76" i="2"/>
  <c r="N76" i="2"/>
  <c r="M76" i="2"/>
  <c r="L76" i="2"/>
  <c r="K76" i="2"/>
  <c r="J76" i="2"/>
  <c r="I76" i="2"/>
  <c r="E76" i="2"/>
  <c r="D76" i="2"/>
  <c r="C76" i="2"/>
  <c r="Y75" i="2"/>
  <c r="X75" i="2"/>
  <c r="W75" i="2"/>
  <c r="V75" i="2"/>
  <c r="U75" i="2"/>
  <c r="T75" i="2"/>
  <c r="S75" i="2"/>
  <c r="R75" i="2"/>
  <c r="Q75" i="2"/>
  <c r="P75" i="2"/>
  <c r="O75" i="2"/>
  <c r="N75" i="2"/>
  <c r="M75" i="2"/>
  <c r="L75" i="2"/>
  <c r="K75" i="2"/>
  <c r="J75" i="2"/>
  <c r="I75" i="2"/>
  <c r="E75" i="2"/>
  <c r="D75" i="2"/>
  <c r="C75" i="2"/>
  <c r="X74" i="2"/>
  <c r="W74" i="2"/>
  <c r="V74" i="2"/>
  <c r="U74" i="2"/>
  <c r="T74" i="2"/>
  <c r="S74" i="2"/>
  <c r="R74" i="2"/>
  <c r="Q74" i="2"/>
  <c r="P74" i="2"/>
  <c r="O74" i="2"/>
  <c r="N74" i="2"/>
  <c r="M74" i="2"/>
  <c r="L74" i="2"/>
  <c r="K74" i="2"/>
  <c r="J74" i="2"/>
  <c r="I74" i="2"/>
  <c r="E74" i="2"/>
  <c r="D74" i="2"/>
  <c r="C74" i="2"/>
  <c r="W73" i="2"/>
  <c r="V73" i="2"/>
  <c r="U73" i="2"/>
  <c r="T73" i="2"/>
  <c r="S73" i="2"/>
  <c r="R73" i="2"/>
  <c r="Q73" i="2"/>
  <c r="P73" i="2"/>
  <c r="O73" i="2"/>
  <c r="N73" i="2"/>
  <c r="M73" i="2"/>
  <c r="L73" i="2"/>
  <c r="K73" i="2"/>
  <c r="J73" i="2"/>
  <c r="I73" i="2"/>
  <c r="E73" i="2"/>
  <c r="D73" i="2"/>
  <c r="C73" i="2"/>
  <c r="V72" i="2"/>
  <c r="U72" i="2"/>
  <c r="T72" i="2"/>
  <c r="S72" i="2"/>
  <c r="R72" i="2"/>
  <c r="Q72" i="2"/>
  <c r="P72" i="2"/>
  <c r="O72" i="2"/>
  <c r="N72" i="2"/>
  <c r="M72" i="2"/>
  <c r="L72" i="2"/>
  <c r="K72" i="2"/>
  <c r="J72" i="2"/>
  <c r="I72" i="2"/>
  <c r="E72" i="2"/>
  <c r="D72" i="2"/>
  <c r="C72" i="2"/>
  <c r="U71" i="2"/>
  <c r="T71" i="2"/>
  <c r="S71" i="2"/>
  <c r="R71" i="2"/>
  <c r="Q71" i="2"/>
  <c r="P71" i="2"/>
  <c r="O71" i="2"/>
  <c r="N71" i="2"/>
  <c r="M71" i="2"/>
  <c r="L71" i="2"/>
  <c r="K71" i="2"/>
  <c r="J71" i="2"/>
  <c r="I71" i="2"/>
  <c r="AB32" i="2"/>
  <c r="AA32" i="2"/>
  <c r="Z32" i="2"/>
  <c r="Y32" i="2"/>
  <c r="X32" i="2"/>
  <c r="W32" i="2"/>
  <c r="V32" i="2"/>
  <c r="U32" i="2"/>
  <c r="T32" i="2"/>
  <c r="S32" i="2"/>
  <c r="R32" i="2"/>
  <c r="Q32" i="2"/>
  <c r="P32" i="2"/>
  <c r="O32" i="2"/>
  <c r="N32" i="2"/>
  <c r="M32" i="2"/>
  <c r="L32" i="2"/>
  <c r="K32" i="2"/>
  <c r="J32" i="2"/>
  <c r="I32" i="2"/>
  <c r="E32" i="2"/>
  <c r="D32" i="2"/>
  <c r="C32" i="2"/>
  <c r="AB31" i="2"/>
  <c r="AA31" i="2"/>
  <c r="Z31" i="2"/>
  <c r="Y31" i="2"/>
  <c r="X31" i="2"/>
  <c r="W31" i="2"/>
  <c r="V31" i="2"/>
  <c r="U31" i="2"/>
  <c r="T31" i="2"/>
  <c r="S31" i="2"/>
  <c r="R31" i="2"/>
  <c r="Q31" i="2"/>
  <c r="P31" i="2"/>
  <c r="O31" i="2"/>
  <c r="N31" i="2"/>
  <c r="M31" i="2"/>
  <c r="L31" i="2"/>
  <c r="K31" i="2"/>
  <c r="J31" i="2"/>
  <c r="I31" i="2"/>
  <c r="E31" i="2"/>
  <c r="D31" i="2"/>
  <c r="C31" i="2"/>
  <c r="AB30" i="2"/>
  <c r="AA30" i="2"/>
  <c r="Z30" i="2"/>
  <c r="Y30" i="2"/>
  <c r="X30" i="2"/>
  <c r="W30" i="2"/>
  <c r="V30" i="2"/>
  <c r="U30" i="2"/>
  <c r="T30" i="2"/>
  <c r="S30" i="2"/>
  <c r="R30" i="2"/>
  <c r="Q30" i="2"/>
  <c r="P30" i="2"/>
  <c r="O30" i="2"/>
  <c r="N30" i="2"/>
  <c r="M30" i="2"/>
  <c r="L30" i="2"/>
  <c r="K30" i="2"/>
  <c r="J30" i="2"/>
  <c r="I30" i="2"/>
  <c r="E30" i="2"/>
  <c r="D30" i="2"/>
  <c r="C30" i="2"/>
  <c r="AB29" i="2"/>
  <c r="AA29" i="2"/>
  <c r="Z29" i="2"/>
  <c r="Y29" i="2"/>
  <c r="X29" i="2"/>
  <c r="W29" i="2"/>
  <c r="V29" i="2"/>
  <c r="U29" i="2"/>
  <c r="T29" i="2"/>
  <c r="S29" i="2"/>
  <c r="R29" i="2"/>
  <c r="Q29" i="2"/>
  <c r="P29" i="2"/>
  <c r="O29" i="2"/>
  <c r="N29" i="2"/>
  <c r="M29" i="2"/>
  <c r="L29" i="2"/>
  <c r="K29" i="2"/>
  <c r="J29" i="2"/>
  <c r="I29" i="2"/>
  <c r="E29" i="2"/>
  <c r="D29" i="2"/>
  <c r="C29" i="2"/>
  <c r="AB28" i="2"/>
  <c r="AA28" i="2"/>
  <c r="Z28" i="2"/>
  <c r="Y28" i="2"/>
  <c r="X28" i="2"/>
  <c r="W28" i="2"/>
  <c r="V28" i="2"/>
  <c r="U28" i="2"/>
  <c r="T28" i="2"/>
  <c r="S28" i="2"/>
  <c r="R28" i="2"/>
  <c r="Q28" i="2"/>
  <c r="P28" i="2"/>
  <c r="O28" i="2"/>
  <c r="N28" i="2"/>
  <c r="M28" i="2"/>
  <c r="L28" i="2"/>
  <c r="K28" i="2"/>
  <c r="J28" i="2"/>
  <c r="I28" i="2"/>
  <c r="E28" i="2"/>
  <c r="D28" i="2"/>
  <c r="C28" i="2"/>
  <c r="AA27" i="2"/>
  <c r="Z27" i="2"/>
  <c r="Y27" i="2"/>
  <c r="X27" i="2"/>
  <c r="W27" i="2"/>
  <c r="V27" i="2"/>
  <c r="U27" i="2"/>
  <c r="T27" i="2"/>
  <c r="S27" i="2"/>
  <c r="R27" i="2"/>
  <c r="Q27" i="2"/>
  <c r="P27" i="2"/>
  <c r="O27" i="2"/>
  <c r="N27" i="2"/>
  <c r="M27" i="2"/>
  <c r="L27" i="2"/>
  <c r="K27" i="2"/>
  <c r="J27" i="2"/>
  <c r="I27" i="2"/>
  <c r="E27" i="2"/>
  <c r="D27" i="2"/>
  <c r="C27" i="2"/>
  <c r="Z26" i="2"/>
  <c r="Y26" i="2"/>
  <c r="X26" i="2"/>
  <c r="W26" i="2"/>
  <c r="V26" i="2"/>
  <c r="U26" i="2"/>
  <c r="T26" i="2"/>
  <c r="S26" i="2"/>
  <c r="R26" i="2"/>
  <c r="Q26" i="2"/>
  <c r="P26" i="2"/>
  <c r="O26" i="2"/>
  <c r="N26" i="2"/>
  <c r="M26" i="2"/>
  <c r="L26" i="2"/>
  <c r="K26" i="2"/>
  <c r="J26" i="2"/>
  <c r="I26" i="2"/>
  <c r="E26" i="2"/>
  <c r="D26" i="2"/>
  <c r="C26" i="2"/>
  <c r="Y25" i="2"/>
  <c r="X25" i="2"/>
  <c r="W25" i="2"/>
  <c r="V25" i="2"/>
  <c r="U25" i="2"/>
  <c r="T25" i="2"/>
  <c r="S25" i="2"/>
  <c r="R25" i="2"/>
  <c r="Q25" i="2"/>
  <c r="P25" i="2"/>
  <c r="O25" i="2"/>
  <c r="N25" i="2"/>
  <c r="M25" i="2"/>
  <c r="L25" i="2"/>
  <c r="K25" i="2"/>
  <c r="J25" i="2"/>
  <c r="I25" i="2"/>
  <c r="E25" i="2"/>
  <c r="D25" i="2"/>
  <c r="C25" i="2"/>
  <c r="X24" i="2"/>
  <c r="W24" i="2"/>
  <c r="V24" i="2"/>
  <c r="U24" i="2"/>
  <c r="T24" i="2"/>
  <c r="S24" i="2"/>
  <c r="R24" i="2"/>
  <c r="Q24" i="2"/>
  <c r="P24" i="2"/>
  <c r="O24" i="2"/>
  <c r="N24" i="2"/>
  <c r="M24" i="2"/>
  <c r="L24" i="2"/>
  <c r="K24" i="2"/>
  <c r="J24" i="2"/>
  <c r="I24" i="2"/>
  <c r="E24" i="2"/>
  <c r="D24" i="2"/>
  <c r="C24" i="2"/>
  <c r="W23" i="2"/>
  <c r="V23" i="2"/>
  <c r="U23" i="2"/>
  <c r="T23" i="2"/>
  <c r="S23" i="2"/>
  <c r="R23" i="2"/>
  <c r="Q23" i="2"/>
  <c r="P23" i="2"/>
  <c r="O23" i="2"/>
  <c r="N23" i="2"/>
  <c r="M23" i="2"/>
  <c r="L23" i="2"/>
  <c r="K23" i="2"/>
  <c r="J23" i="2"/>
  <c r="I23" i="2"/>
  <c r="E23" i="2"/>
  <c r="D23" i="2"/>
  <c r="C23" i="2"/>
  <c r="V22" i="2"/>
  <c r="U22" i="2"/>
  <c r="T22" i="2"/>
  <c r="S22" i="2"/>
  <c r="R22" i="2"/>
  <c r="Q22" i="2"/>
  <c r="P22" i="2"/>
  <c r="O22" i="2"/>
  <c r="N22" i="2"/>
  <c r="M22" i="2"/>
  <c r="L22" i="2"/>
  <c r="K22" i="2"/>
  <c r="J22" i="2"/>
  <c r="I22" i="2"/>
  <c r="E22" i="2"/>
  <c r="D22" i="2"/>
  <c r="C22" i="2"/>
  <c r="U21" i="2"/>
  <c r="T21" i="2"/>
  <c r="S21" i="2"/>
  <c r="R21" i="2"/>
  <c r="Q21" i="2"/>
  <c r="P21" i="2"/>
  <c r="O21" i="2"/>
  <c r="N21" i="2"/>
  <c r="M21" i="2"/>
  <c r="L21" i="2"/>
  <c r="K21" i="2"/>
  <c r="J21" i="2"/>
  <c r="I21" i="2"/>
  <c r="AB16" i="2"/>
  <c r="AA16" i="2"/>
  <c r="Z16" i="2"/>
  <c r="Y16" i="2"/>
  <c r="X16" i="2"/>
  <c r="W16" i="2"/>
  <c r="V16" i="2"/>
  <c r="U16" i="2"/>
  <c r="T16" i="2"/>
  <c r="S16" i="2"/>
  <c r="R16" i="2"/>
  <c r="Q16" i="2"/>
  <c r="P16" i="2"/>
  <c r="O16" i="2"/>
  <c r="N16" i="2"/>
  <c r="M16" i="2"/>
  <c r="L16" i="2"/>
  <c r="K16" i="2"/>
  <c r="J16" i="2"/>
  <c r="I16" i="2"/>
  <c r="E16" i="2"/>
  <c r="D16" i="2"/>
  <c r="C16" i="2"/>
  <c r="AB15" i="2"/>
  <c r="AA15" i="2"/>
  <c r="Z15" i="2"/>
  <c r="Y15" i="2"/>
  <c r="X15" i="2"/>
  <c r="W15" i="2"/>
  <c r="V15" i="2"/>
  <c r="U15" i="2"/>
  <c r="T15" i="2"/>
  <c r="S15" i="2"/>
  <c r="R15" i="2"/>
  <c r="Q15" i="2"/>
  <c r="P15" i="2"/>
  <c r="O15" i="2"/>
  <c r="N15" i="2"/>
  <c r="M15" i="2"/>
  <c r="L15" i="2"/>
  <c r="K15" i="2"/>
  <c r="J15" i="2"/>
  <c r="I15" i="2"/>
  <c r="E15" i="2"/>
  <c r="D15" i="2"/>
  <c r="C15" i="2"/>
  <c r="AB14" i="2"/>
  <c r="AA14" i="2"/>
  <c r="Z14" i="2"/>
  <c r="Y14" i="2"/>
  <c r="X14" i="2"/>
  <c r="W14" i="2"/>
  <c r="V14" i="2"/>
  <c r="U14" i="2"/>
  <c r="T14" i="2"/>
  <c r="S14" i="2"/>
  <c r="R14" i="2"/>
  <c r="Q14" i="2"/>
  <c r="P14" i="2"/>
  <c r="O14" i="2"/>
  <c r="N14" i="2"/>
  <c r="M14" i="2"/>
  <c r="L14" i="2"/>
  <c r="K14" i="2"/>
  <c r="J14" i="2"/>
  <c r="I14" i="2"/>
  <c r="E14" i="2"/>
  <c r="D14" i="2"/>
  <c r="C14" i="2"/>
  <c r="AB13" i="2"/>
  <c r="AA13" i="2"/>
  <c r="Z13" i="2"/>
  <c r="Y13" i="2"/>
  <c r="X13" i="2"/>
  <c r="W13" i="2"/>
  <c r="V13" i="2"/>
  <c r="U13" i="2"/>
  <c r="T13" i="2"/>
  <c r="S13" i="2"/>
  <c r="R13" i="2"/>
  <c r="Q13" i="2"/>
  <c r="P13" i="2"/>
  <c r="O13" i="2"/>
  <c r="N13" i="2"/>
  <c r="M13" i="2"/>
  <c r="L13" i="2"/>
  <c r="K13" i="2"/>
  <c r="J13" i="2"/>
  <c r="I13" i="2"/>
  <c r="E13" i="2"/>
  <c r="D13" i="2"/>
  <c r="C13" i="2"/>
  <c r="AB12" i="2"/>
  <c r="AA12" i="2"/>
  <c r="Z12" i="2"/>
  <c r="Y12" i="2"/>
  <c r="X12" i="2"/>
  <c r="W12" i="2"/>
  <c r="V12" i="2"/>
  <c r="U12" i="2"/>
  <c r="T12" i="2"/>
  <c r="S12" i="2"/>
  <c r="R12" i="2"/>
  <c r="Q12" i="2"/>
  <c r="P12" i="2"/>
  <c r="O12" i="2"/>
  <c r="N12" i="2"/>
  <c r="M12" i="2"/>
  <c r="L12" i="2"/>
  <c r="K12" i="2"/>
  <c r="J12" i="2"/>
  <c r="I12" i="2"/>
  <c r="E12" i="2"/>
  <c r="D12" i="2"/>
  <c r="C12" i="2"/>
  <c r="AA11" i="2"/>
  <c r="Z11" i="2"/>
  <c r="Y11" i="2"/>
  <c r="X11" i="2"/>
  <c r="W11" i="2"/>
  <c r="V11" i="2"/>
  <c r="U11" i="2"/>
  <c r="T11" i="2"/>
  <c r="S11" i="2"/>
  <c r="R11" i="2"/>
  <c r="Q11" i="2"/>
  <c r="P11" i="2"/>
  <c r="O11" i="2"/>
  <c r="N11" i="2"/>
  <c r="M11" i="2"/>
  <c r="L11" i="2"/>
  <c r="K11" i="2"/>
  <c r="J11" i="2"/>
  <c r="I11" i="2"/>
  <c r="E11" i="2"/>
  <c r="D11" i="2"/>
  <c r="C11" i="2"/>
  <c r="Z10" i="2"/>
  <c r="Y10" i="2"/>
  <c r="X10" i="2"/>
  <c r="W10" i="2"/>
  <c r="V10" i="2"/>
  <c r="U10" i="2"/>
  <c r="T10" i="2"/>
  <c r="S10" i="2"/>
  <c r="R10" i="2"/>
  <c r="Q10" i="2"/>
  <c r="P10" i="2"/>
  <c r="O10" i="2"/>
  <c r="N10" i="2"/>
  <c r="M10" i="2"/>
  <c r="L10" i="2"/>
  <c r="K10" i="2"/>
  <c r="J10" i="2"/>
  <c r="I10" i="2"/>
  <c r="E10" i="2"/>
  <c r="D10" i="2"/>
  <c r="C10" i="2"/>
  <c r="Y9" i="2"/>
  <c r="X9" i="2"/>
  <c r="W9" i="2"/>
  <c r="V9" i="2"/>
  <c r="U9" i="2"/>
  <c r="T9" i="2"/>
  <c r="S9" i="2"/>
  <c r="R9" i="2"/>
  <c r="Q9" i="2"/>
  <c r="P9" i="2"/>
  <c r="O9" i="2"/>
  <c r="N9" i="2"/>
  <c r="M9" i="2"/>
  <c r="L9" i="2"/>
  <c r="K9" i="2"/>
  <c r="J9" i="2"/>
  <c r="I9" i="2"/>
  <c r="E9" i="2"/>
  <c r="D9" i="2"/>
  <c r="C9" i="2"/>
  <c r="X8" i="2"/>
  <c r="W8" i="2"/>
  <c r="V8" i="2"/>
  <c r="U8" i="2"/>
  <c r="T8" i="2"/>
  <c r="S8" i="2"/>
  <c r="R8" i="2"/>
  <c r="Q8" i="2"/>
  <c r="P8" i="2"/>
  <c r="O8" i="2"/>
  <c r="N8" i="2"/>
  <c r="M8" i="2"/>
  <c r="L8" i="2"/>
  <c r="K8" i="2"/>
  <c r="J8" i="2"/>
  <c r="I8" i="2"/>
  <c r="E8" i="2"/>
  <c r="D8" i="2"/>
  <c r="C8" i="2"/>
  <c r="W7" i="2"/>
  <c r="V7" i="2"/>
  <c r="U7" i="2"/>
  <c r="T7" i="2"/>
  <c r="S7" i="2"/>
  <c r="R7" i="2"/>
  <c r="Q7" i="2"/>
  <c r="P7" i="2"/>
  <c r="O7" i="2"/>
  <c r="N7" i="2"/>
  <c r="M7" i="2"/>
  <c r="L7" i="2"/>
  <c r="K7" i="2"/>
  <c r="J7" i="2"/>
  <c r="I7" i="2"/>
  <c r="E7" i="2"/>
  <c r="D7" i="2"/>
  <c r="C7" i="2"/>
  <c r="V6" i="2"/>
  <c r="U6" i="2"/>
  <c r="T6" i="2"/>
  <c r="S6" i="2"/>
  <c r="R6" i="2"/>
  <c r="Q6" i="2"/>
  <c r="P6" i="2"/>
  <c r="O6" i="2"/>
  <c r="N6" i="2"/>
  <c r="M6" i="2"/>
  <c r="L6" i="2"/>
  <c r="K6" i="2"/>
  <c r="J6" i="2"/>
  <c r="I6" i="2"/>
  <c r="E6" i="2"/>
  <c r="D6" i="2"/>
  <c r="C6" i="2"/>
  <c r="U5" i="2"/>
  <c r="T5" i="2"/>
  <c r="S5" i="2"/>
  <c r="R5" i="2"/>
  <c r="Q5" i="2"/>
  <c r="P5" i="2"/>
  <c r="O5" i="2"/>
  <c r="N5" i="2"/>
  <c r="M5" i="2"/>
  <c r="L5" i="2"/>
  <c r="K5" i="2"/>
  <c r="J5" i="2"/>
  <c r="I5" i="2"/>
  <c r="AB65" i="2"/>
  <c r="AA65" i="2"/>
  <c r="Z65" i="2"/>
  <c r="Y65" i="2"/>
  <c r="X65" i="2"/>
  <c r="W65" i="2"/>
  <c r="V65" i="2"/>
  <c r="U65" i="2"/>
  <c r="T65" i="2"/>
  <c r="S65" i="2"/>
  <c r="R65" i="2"/>
  <c r="Q65" i="2"/>
  <c r="P65" i="2"/>
  <c r="O65" i="2"/>
  <c r="N65" i="2"/>
  <c r="M65" i="2"/>
  <c r="L65" i="2"/>
  <c r="K65" i="2"/>
  <c r="J65" i="2"/>
  <c r="I65" i="2"/>
  <c r="E65" i="2"/>
  <c r="D65" i="2"/>
  <c r="C65" i="2"/>
  <c r="AB64" i="2"/>
  <c r="AA64" i="2"/>
  <c r="Z64" i="2"/>
  <c r="Y64" i="2"/>
  <c r="X64" i="2"/>
  <c r="W64" i="2"/>
  <c r="V64" i="2"/>
  <c r="U64" i="2"/>
  <c r="T64" i="2"/>
  <c r="S64" i="2"/>
  <c r="R64" i="2"/>
  <c r="Q64" i="2"/>
  <c r="P64" i="2"/>
  <c r="O64" i="2"/>
  <c r="N64" i="2"/>
  <c r="M64" i="2"/>
  <c r="L64" i="2"/>
  <c r="K64" i="2"/>
  <c r="J64" i="2"/>
  <c r="I64" i="2"/>
  <c r="E64" i="2"/>
  <c r="D64" i="2"/>
  <c r="C64" i="2"/>
  <c r="AB63" i="2"/>
  <c r="AA63" i="2"/>
  <c r="Z63" i="2"/>
  <c r="Y63" i="2"/>
  <c r="X63" i="2"/>
  <c r="W63" i="2"/>
  <c r="V63" i="2"/>
  <c r="U63" i="2"/>
  <c r="T63" i="2"/>
  <c r="S63" i="2"/>
  <c r="R63" i="2"/>
  <c r="Q63" i="2"/>
  <c r="P63" i="2"/>
  <c r="O63" i="2"/>
  <c r="N63" i="2"/>
  <c r="M63" i="2"/>
  <c r="L63" i="2"/>
  <c r="K63" i="2"/>
  <c r="J63" i="2"/>
  <c r="I63" i="2"/>
  <c r="E63" i="2"/>
  <c r="D63" i="2"/>
  <c r="C63" i="2"/>
  <c r="AB62" i="2"/>
  <c r="AA62" i="2"/>
  <c r="Z62" i="2"/>
  <c r="Y62" i="2"/>
  <c r="X62" i="2"/>
  <c r="W62" i="2"/>
  <c r="V62" i="2"/>
  <c r="U62" i="2"/>
  <c r="T62" i="2"/>
  <c r="S62" i="2"/>
  <c r="R62" i="2"/>
  <c r="Q62" i="2"/>
  <c r="P62" i="2"/>
  <c r="O62" i="2"/>
  <c r="N62" i="2"/>
  <c r="M62" i="2"/>
  <c r="L62" i="2"/>
  <c r="K62" i="2"/>
  <c r="J62" i="2"/>
  <c r="I62" i="2"/>
  <c r="E62" i="2"/>
  <c r="D62" i="2"/>
  <c r="C62" i="2"/>
  <c r="AB61" i="2"/>
  <c r="AA61" i="2"/>
  <c r="Z61" i="2"/>
  <c r="Y61" i="2"/>
  <c r="X61" i="2"/>
  <c r="W61" i="2"/>
  <c r="V61" i="2"/>
  <c r="U61" i="2"/>
  <c r="T61" i="2"/>
  <c r="S61" i="2"/>
  <c r="R61" i="2"/>
  <c r="Q61" i="2"/>
  <c r="P61" i="2"/>
  <c r="O61" i="2"/>
  <c r="N61" i="2"/>
  <c r="M61" i="2"/>
  <c r="L61" i="2"/>
  <c r="K61" i="2"/>
  <c r="J61" i="2"/>
  <c r="I61" i="2"/>
  <c r="E61" i="2"/>
  <c r="D61" i="2"/>
  <c r="C61" i="2"/>
  <c r="AA60" i="2"/>
  <c r="Z60" i="2"/>
  <c r="Y60" i="2"/>
  <c r="X60" i="2"/>
  <c r="W60" i="2"/>
  <c r="V60" i="2"/>
  <c r="U60" i="2"/>
  <c r="T60" i="2"/>
  <c r="S60" i="2"/>
  <c r="R60" i="2"/>
  <c r="Q60" i="2"/>
  <c r="P60" i="2"/>
  <c r="O60" i="2"/>
  <c r="N60" i="2"/>
  <c r="M60" i="2"/>
  <c r="L60" i="2"/>
  <c r="K60" i="2"/>
  <c r="J60" i="2"/>
  <c r="I60" i="2"/>
  <c r="E60" i="2"/>
  <c r="D60" i="2"/>
  <c r="C60" i="2"/>
  <c r="Z59" i="2"/>
  <c r="Y59" i="2"/>
  <c r="X59" i="2"/>
  <c r="W59" i="2"/>
  <c r="V59" i="2"/>
  <c r="U59" i="2"/>
  <c r="T59" i="2"/>
  <c r="S59" i="2"/>
  <c r="R59" i="2"/>
  <c r="Q59" i="2"/>
  <c r="P59" i="2"/>
  <c r="O59" i="2"/>
  <c r="N59" i="2"/>
  <c r="M59" i="2"/>
  <c r="L59" i="2"/>
  <c r="K59" i="2"/>
  <c r="J59" i="2"/>
  <c r="I59" i="2"/>
  <c r="E59" i="2"/>
  <c r="D59" i="2"/>
  <c r="C59" i="2"/>
  <c r="Y58" i="2"/>
  <c r="X58" i="2"/>
  <c r="W58" i="2"/>
  <c r="V58" i="2"/>
  <c r="U58" i="2"/>
  <c r="T58" i="2"/>
  <c r="S58" i="2"/>
  <c r="R58" i="2"/>
  <c r="Q58" i="2"/>
  <c r="P58" i="2"/>
  <c r="O58" i="2"/>
  <c r="N58" i="2"/>
  <c r="M58" i="2"/>
  <c r="L58" i="2"/>
  <c r="K58" i="2"/>
  <c r="J58" i="2"/>
  <c r="I58" i="2"/>
  <c r="E58" i="2"/>
  <c r="D58" i="2"/>
  <c r="C58" i="2"/>
  <c r="X57" i="2"/>
  <c r="W57" i="2"/>
  <c r="V57" i="2"/>
  <c r="U57" i="2"/>
  <c r="T57" i="2"/>
  <c r="S57" i="2"/>
  <c r="R57" i="2"/>
  <c r="Q57" i="2"/>
  <c r="P57" i="2"/>
  <c r="O57" i="2"/>
  <c r="N57" i="2"/>
  <c r="M57" i="2"/>
  <c r="L57" i="2"/>
  <c r="K57" i="2"/>
  <c r="J57" i="2"/>
  <c r="I57" i="2"/>
  <c r="AE57" i="2" s="1"/>
  <c r="E57" i="2"/>
  <c r="D57" i="2"/>
  <c r="C57" i="2"/>
  <c r="W56" i="2"/>
  <c r="V56" i="2"/>
  <c r="U56" i="2"/>
  <c r="T56" i="2"/>
  <c r="S56" i="2"/>
  <c r="R56" i="2"/>
  <c r="Q56" i="2"/>
  <c r="P56" i="2"/>
  <c r="O56" i="2"/>
  <c r="N56" i="2"/>
  <c r="M56" i="2"/>
  <c r="L56" i="2"/>
  <c r="K56" i="2"/>
  <c r="J56" i="2"/>
  <c r="I56" i="2"/>
  <c r="AE56" i="2" s="1"/>
  <c r="E56" i="2"/>
  <c r="D56" i="2"/>
  <c r="C56" i="2"/>
  <c r="V55" i="2"/>
  <c r="U55" i="2"/>
  <c r="T55" i="2"/>
  <c r="S55" i="2"/>
  <c r="R55" i="2"/>
  <c r="Q55" i="2"/>
  <c r="P55" i="2"/>
  <c r="O55" i="2"/>
  <c r="N55" i="2"/>
  <c r="M55" i="2"/>
  <c r="L55" i="2"/>
  <c r="K55" i="2"/>
  <c r="J55" i="2"/>
  <c r="I55" i="2"/>
  <c r="AE55" i="2" s="1"/>
  <c r="E55" i="2"/>
  <c r="D55" i="2"/>
  <c r="C55" i="2"/>
  <c r="U54" i="2"/>
  <c r="T54" i="2"/>
  <c r="S54" i="2"/>
  <c r="R54" i="2"/>
  <c r="Q54" i="2"/>
  <c r="P54" i="2"/>
  <c r="O54" i="2"/>
  <c r="N54" i="2"/>
  <c r="M54" i="2"/>
  <c r="L54" i="2"/>
  <c r="K54" i="2"/>
  <c r="J54" i="2"/>
  <c r="I54" i="2"/>
  <c r="AE54" i="2" s="1"/>
  <c r="E48" i="2"/>
  <c r="E47" i="2"/>
  <c r="E46" i="2"/>
  <c r="E45" i="2"/>
  <c r="E44" i="2"/>
  <c r="E43" i="2"/>
  <c r="E42" i="2"/>
  <c r="E41" i="2"/>
  <c r="E40" i="2"/>
  <c r="E39" i="2"/>
  <c r="E38" i="2"/>
  <c r="D48" i="2"/>
  <c r="D47" i="2"/>
  <c r="D46" i="2"/>
  <c r="D45" i="2"/>
  <c r="D44" i="2"/>
  <c r="D43" i="2"/>
  <c r="D42" i="2"/>
  <c r="D41" i="2"/>
  <c r="D40" i="2"/>
  <c r="D39" i="2"/>
  <c r="D38" i="2"/>
  <c r="C48" i="2"/>
  <c r="C47" i="2"/>
  <c r="C46" i="2"/>
  <c r="C45" i="2"/>
  <c r="C44" i="2"/>
  <c r="C43" i="2"/>
  <c r="C42" i="2"/>
  <c r="C41" i="2"/>
  <c r="C40" i="2"/>
  <c r="C39" i="2"/>
  <c r="C38" i="2"/>
  <c r="AB48" i="2"/>
  <c r="AB47" i="2"/>
  <c r="AB46" i="2"/>
  <c r="AB45" i="2"/>
  <c r="AB44" i="2"/>
  <c r="AA48" i="2"/>
  <c r="AA47" i="2"/>
  <c r="AA46" i="2"/>
  <c r="AA45" i="2"/>
  <c r="AA44" i="2"/>
  <c r="AA43" i="2"/>
  <c r="Z48" i="2"/>
  <c r="Z47" i="2"/>
  <c r="Z46" i="2"/>
  <c r="Z45" i="2"/>
  <c r="Z44" i="2"/>
  <c r="Z43" i="2"/>
  <c r="Z42" i="2"/>
  <c r="Y48" i="2"/>
  <c r="Y47" i="2"/>
  <c r="Y46" i="2"/>
  <c r="Y45" i="2"/>
  <c r="Y44" i="2"/>
  <c r="Y43" i="2"/>
  <c r="Y42" i="2"/>
  <c r="Y41" i="2"/>
  <c r="X48" i="2"/>
  <c r="X47" i="2"/>
  <c r="X46" i="2"/>
  <c r="X45" i="2"/>
  <c r="X44" i="2"/>
  <c r="X43" i="2"/>
  <c r="X42" i="2"/>
  <c r="X41" i="2"/>
  <c r="X40" i="2"/>
  <c r="W48" i="2"/>
  <c r="W47" i="2"/>
  <c r="W46" i="2"/>
  <c r="W45" i="2"/>
  <c r="W44" i="2"/>
  <c r="W43" i="2"/>
  <c r="W42" i="2"/>
  <c r="W41" i="2"/>
  <c r="W40" i="2"/>
  <c r="W39" i="2"/>
  <c r="V48" i="2"/>
  <c r="V47" i="2"/>
  <c r="V46" i="2"/>
  <c r="V45" i="2"/>
  <c r="V44" i="2"/>
  <c r="V43" i="2"/>
  <c r="V42" i="2"/>
  <c r="V41" i="2"/>
  <c r="V40" i="2"/>
  <c r="V39" i="2"/>
  <c r="V38" i="2"/>
  <c r="U48" i="2"/>
  <c r="U47" i="2"/>
  <c r="U46" i="2"/>
  <c r="U45" i="2"/>
  <c r="U44" i="2"/>
  <c r="U43" i="2"/>
  <c r="U42" i="2"/>
  <c r="U41" i="2"/>
  <c r="U40" i="2"/>
  <c r="U39" i="2"/>
  <c r="U38" i="2"/>
  <c r="T47" i="2"/>
  <c r="T46" i="2"/>
  <c r="T45" i="2"/>
  <c r="T44" i="2"/>
  <c r="T43" i="2"/>
  <c r="T42" i="2"/>
  <c r="T41" i="2"/>
  <c r="T40" i="2"/>
  <c r="T39" i="2"/>
  <c r="T38" i="2"/>
  <c r="S46" i="2"/>
  <c r="S45" i="2"/>
  <c r="S44" i="2"/>
  <c r="S43" i="2"/>
  <c r="S42" i="2"/>
  <c r="S41" i="2"/>
  <c r="S40" i="2"/>
  <c r="S39" i="2"/>
  <c r="S38" i="2"/>
  <c r="R45" i="2"/>
  <c r="R44" i="2"/>
  <c r="R43" i="2"/>
  <c r="R42" i="2"/>
  <c r="R41" i="2"/>
  <c r="R40" i="2"/>
  <c r="R39" i="2"/>
  <c r="R38" i="2"/>
  <c r="Q44" i="2"/>
  <c r="Q43" i="2"/>
  <c r="Q42" i="2"/>
  <c r="Q41" i="2"/>
  <c r="Q40" i="2"/>
  <c r="Q39" i="2"/>
  <c r="Q38" i="2"/>
  <c r="P43" i="2"/>
  <c r="P42" i="2"/>
  <c r="P41" i="2"/>
  <c r="P40" i="2"/>
  <c r="P39" i="2"/>
  <c r="P38" i="2"/>
  <c r="O42" i="2"/>
  <c r="O41" i="2"/>
  <c r="O40" i="2"/>
  <c r="O39" i="2"/>
  <c r="O38" i="2"/>
  <c r="N41" i="2"/>
  <c r="N40" i="2"/>
  <c r="N39" i="2"/>
  <c r="N38" i="2"/>
  <c r="M40" i="2"/>
  <c r="M39" i="2"/>
  <c r="M38" i="2"/>
  <c r="L39" i="2"/>
  <c r="L38" i="2"/>
  <c r="K38" i="2"/>
  <c r="U37" i="2"/>
  <c r="T37" i="2"/>
  <c r="S37" i="2"/>
  <c r="R37" i="2"/>
  <c r="Q37" i="2"/>
  <c r="P37" i="2"/>
  <c r="O37" i="2"/>
  <c r="N37" i="2"/>
  <c r="M37" i="2"/>
  <c r="L37" i="2"/>
  <c r="K37" i="2"/>
  <c r="J37" i="2"/>
  <c r="I37" i="2"/>
  <c r="F38" i="2"/>
  <c r="I38" i="2"/>
  <c r="J38" i="2"/>
  <c r="F39" i="2"/>
  <c r="I39" i="2"/>
  <c r="J39" i="2"/>
  <c r="K39" i="2"/>
  <c r="F40" i="2"/>
  <c r="I40" i="2"/>
  <c r="J40" i="2"/>
  <c r="K40" i="2"/>
  <c r="L40" i="2"/>
  <c r="F41" i="2"/>
  <c r="I41" i="2"/>
  <c r="J41" i="2"/>
  <c r="K41" i="2"/>
  <c r="L41" i="2"/>
  <c r="M41" i="2"/>
  <c r="F42" i="2"/>
  <c r="I42" i="2"/>
  <c r="J42" i="2"/>
  <c r="K42" i="2"/>
  <c r="L42" i="2"/>
  <c r="M42" i="2"/>
  <c r="N42" i="2"/>
  <c r="F43" i="2"/>
  <c r="I43" i="2"/>
  <c r="J43" i="2"/>
  <c r="K43" i="2"/>
  <c r="L43" i="2"/>
  <c r="M43" i="2"/>
  <c r="N43" i="2"/>
  <c r="O43" i="2"/>
  <c r="F44" i="2"/>
  <c r="I44" i="2"/>
  <c r="J44" i="2"/>
  <c r="K44" i="2"/>
  <c r="L44" i="2"/>
  <c r="M44" i="2"/>
  <c r="N44" i="2"/>
  <c r="O44" i="2"/>
  <c r="P44" i="2"/>
  <c r="F45" i="2"/>
  <c r="I45" i="2"/>
  <c r="J45" i="2"/>
  <c r="K45" i="2"/>
  <c r="L45" i="2"/>
  <c r="M45" i="2"/>
  <c r="N45" i="2"/>
  <c r="O45" i="2"/>
  <c r="P45" i="2"/>
  <c r="Q45" i="2"/>
  <c r="F46" i="2"/>
  <c r="I46" i="2"/>
  <c r="J46" i="2"/>
  <c r="K46" i="2"/>
  <c r="L46" i="2"/>
  <c r="M46" i="2"/>
  <c r="N46" i="2"/>
  <c r="O46" i="2"/>
  <c r="P46" i="2"/>
  <c r="Q46" i="2"/>
  <c r="R46" i="2"/>
  <c r="F47" i="2"/>
  <c r="I47" i="2"/>
  <c r="J47" i="2"/>
  <c r="K47" i="2"/>
  <c r="L47" i="2"/>
  <c r="M47" i="2"/>
  <c r="N47" i="2"/>
  <c r="O47" i="2"/>
  <c r="P47" i="2"/>
  <c r="Q47" i="2"/>
  <c r="R47" i="2"/>
  <c r="S47" i="2"/>
  <c r="F48" i="2"/>
  <c r="I48" i="2"/>
  <c r="J48" i="2"/>
  <c r="K48" i="2"/>
  <c r="L48" i="2"/>
  <c r="M48" i="2"/>
  <c r="N48" i="2"/>
  <c r="O48" i="2"/>
  <c r="P48" i="2"/>
  <c r="Q48" i="2"/>
  <c r="R48" i="2"/>
  <c r="S48" i="2"/>
  <c r="T48" i="2"/>
  <c r="AD65" i="2" l="1"/>
  <c r="AD57" i="2"/>
  <c r="AE64" i="2"/>
  <c r="AD56" i="2"/>
  <c r="AE63" i="2"/>
  <c r="AE62" i="2"/>
  <c r="AE61" i="2"/>
  <c r="AE60" i="2"/>
  <c r="AE59" i="2"/>
  <c r="AE58" i="2"/>
  <c r="AE16" i="2"/>
  <c r="AE14" i="2"/>
  <c r="AE13" i="2"/>
  <c r="AE162" i="2"/>
  <c r="AD164" i="2"/>
  <c r="AD149" i="2"/>
  <c r="AE132" i="2"/>
  <c r="AD131" i="2"/>
  <c r="AE130" i="2"/>
  <c r="AE129" i="2"/>
  <c r="AD97" i="2"/>
  <c r="AD95" i="2"/>
  <c r="AD94" i="2"/>
  <c r="AD98" i="2"/>
  <c r="AD96" i="2"/>
  <c r="AF96" i="2" s="1"/>
  <c r="AD93" i="2"/>
  <c r="AD80" i="2"/>
  <c r="AD78" i="2"/>
  <c r="AD76" i="2"/>
  <c r="AE65" i="2"/>
  <c r="AD64" i="2"/>
  <c r="AF64" i="2" s="1"/>
  <c r="AD63" i="2"/>
  <c r="AF63" i="2" s="1"/>
  <c r="AD62" i="2"/>
  <c r="AF62" i="2" s="1"/>
  <c r="AD61" i="2"/>
  <c r="AF61" i="2" s="1"/>
  <c r="AD60" i="2"/>
  <c r="AF60" i="2" s="1"/>
  <c r="AD59" i="2"/>
  <c r="AF59" i="2" s="1"/>
  <c r="AD58" i="2"/>
  <c r="AF58" i="2" s="1"/>
  <c r="AF182" i="2"/>
  <c r="AF173" i="2"/>
  <c r="AF181" i="2"/>
  <c r="AF180" i="2"/>
  <c r="AF178" i="2"/>
  <c r="AF175" i="2"/>
  <c r="AF176" i="2"/>
  <c r="AF174" i="2"/>
  <c r="AF177" i="2"/>
  <c r="AF172" i="2"/>
  <c r="AF179" i="2"/>
  <c r="AF183" i="2"/>
  <c r="AF165" i="2"/>
  <c r="AF163" i="2"/>
  <c r="AF161" i="2"/>
  <c r="AF157" i="2"/>
  <c r="AF160" i="2"/>
  <c r="AF156" i="2"/>
  <c r="AF158" i="2"/>
  <c r="AF159" i="2"/>
  <c r="AF164" i="2"/>
  <c r="AF155" i="2"/>
  <c r="AF162" i="2"/>
  <c r="AF166" i="2"/>
  <c r="AF145" i="2"/>
  <c r="AF148" i="2"/>
  <c r="AF149" i="2"/>
  <c r="AF139" i="2"/>
  <c r="AF144" i="2"/>
  <c r="AF138" i="2"/>
  <c r="AF146" i="2"/>
  <c r="AF141" i="2"/>
  <c r="AF142" i="2"/>
  <c r="AF147" i="2"/>
  <c r="AF140" i="2"/>
  <c r="AF143" i="2"/>
  <c r="AF132" i="2"/>
  <c r="AF129" i="2"/>
  <c r="AF121" i="2"/>
  <c r="AF124" i="2"/>
  <c r="AF125" i="2"/>
  <c r="AF130" i="2"/>
  <c r="AF123" i="2"/>
  <c r="AF126" i="2"/>
  <c r="AF122" i="2"/>
  <c r="AF127" i="2"/>
  <c r="AF131" i="2"/>
  <c r="AF128" i="2"/>
  <c r="AF106" i="2"/>
  <c r="AF115" i="2"/>
  <c r="AF104" i="2"/>
  <c r="AF112" i="2"/>
  <c r="AF111" i="2"/>
  <c r="AF107" i="2"/>
  <c r="AF108" i="2"/>
  <c r="AF113" i="2"/>
  <c r="AF109" i="2"/>
  <c r="AF105" i="2"/>
  <c r="AF110" i="2"/>
  <c r="AF114" i="2"/>
  <c r="AF91" i="2"/>
  <c r="AF90" i="2"/>
  <c r="AF94" i="2"/>
  <c r="AF98" i="2"/>
  <c r="AF87" i="2"/>
  <c r="AF95" i="2"/>
  <c r="AF89" i="2"/>
  <c r="AF92" i="2"/>
  <c r="AF88" i="2"/>
  <c r="AF93" i="2"/>
  <c r="AF97" i="2"/>
  <c r="AF75" i="2"/>
  <c r="AF80" i="2"/>
  <c r="AF73" i="2"/>
  <c r="AF76" i="2"/>
  <c r="AF74" i="2"/>
  <c r="AF79" i="2"/>
  <c r="AF72" i="2"/>
  <c r="AF77" i="2"/>
  <c r="AF81" i="2"/>
  <c r="AF71" i="2"/>
  <c r="AF78" i="2"/>
  <c r="AF82" i="2"/>
  <c r="AF31" i="2"/>
  <c r="AF27" i="2"/>
  <c r="AF25" i="2"/>
  <c r="AF30" i="2"/>
  <c r="AF24" i="2"/>
  <c r="AF29" i="2"/>
  <c r="AF23" i="2"/>
  <c r="AF26" i="2"/>
  <c r="AF22" i="2"/>
  <c r="AF21" i="2"/>
  <c r="AF28" i="2"/>
  <c r="AF32" i="2"/>
  <c r="AF6" i="2"/>
  <c r="AF8" i="2"/>
  <c r="AF15" i="2"/>
  <c r="AF11" i="2"/>
  <c r="AF5" i="2"/>
  <c r="AF13" i="2"/>
  <c r="AF9" i="2"/>
  <c r="AF14" i="2"/>
  <c r="AF7" i="2"/>
  <c r="AF10" i="2"/>
  <c r="AF12" i="2"/>
  <c r="AF16" i="2"/>
  <c r="AF57" i="2"/>
  <c r="AF54" i="2"/>
  <c r="AF56" i="2"/>
  <c r="AF55" i="2"/>
  <c r="AF65" i="2"/>
  <c r="AF37" i="2"/>
  <c r="AF40" i="2"/>
  <c r="AF41" i="2"/>
  <c r="AF48" i="2"/>
  <c r="AF46" i="2"/>
  <c r="AF45" i="2"/>
  <c r="AF44" i="2"/>
  <c r="AF42" i="2"/>
  <c r="AF38" i="2"/>
  <c r="AF47" i="2"/>
  <c r="AF39" i="2"/>
  <c r="AF43" i="2"/>
</calcChain>
</file>

<file path=xl/sharedStrings.xml><?xml version="1.0" encoding="utf-8"?>
<sst xmlns="http://purl.oclc.org/ooxml/spreadsheetml/main" count="3969" uniqueCount="484">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</sst>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abSelected="1" topLeftCell="Q1" workbookViewId="0">
      <pane ySplit="1" topLeftCell="A2" activePane="bottomLeft" state="frozen"/>
      <selection pane="bottomLeft" activeCell="AD13" sqref="AD13"/>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6" max="36" width="12.83203125" bestFit="1" customWidth="1"/>
    <col min="37" max="37" width="20" bestFit="1" customWidth="1"/>
    <col min="38" max="38" width="11.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920300000</v>
      </c>
      <c r="AT2" s="3">
        <v>13716425000</v>
      </c>
      <c r="AU2" s="3">
        <v>954700000</v>
      </c>
      <c r="AV2" s="3" t="s">
        <v>473</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1022300000</v>
      </c>
      <c r="AT3" s="3">
        <v>14836125000</v>
      </c>
      <c r="AU3" s="3">
        <v>1017700000</v>
      </c>
      <c r="AV3" s="3" t="s">
        <v>473</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1137000000</v>
      </c>
      <c r="AT4" s="3">
        <v>16107825000</v>
      </c>
      <c r="AU4" s="3">
        <v>1157000000</v>
      </c>
      <c r="AV4" s="3" t="s">
        <v>473</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1260300000</v>
      </c>
      <c r="AT5" s="3">
        <v>17436825000</v>
      </c>
      <c r="AU5" s="3">
        <v>1205700000</v>
      </c>
      <c r="AV5" s="3" t="s">
        <v>473</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1396300000</v>
      </c>
      <c r="AT6" s="3">
        <v>18896525000</v>
      </c>
      <c r="AU6" s="3">
        <v>1323700000</v>
      </c>
      <c r="AV6" s="3" t="s">
        <v>473</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1550800000</v>
      </c>
      <c r="AT7" s="3">
        <v>20590225000</v>
      </c>
      <c r="AU7" s="3">
        <v>1539200000</v>
      </c>
      <c r="AV7" s="3" t="s">
        <v>473</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1720300000</v>
      </c>
      <c r="AT8" s="3">
        <v>22429425000</v>
      </c>
      <c r="AU8" s="3">
        <v>1669700000</v>
      </c>
      <c r="AV8" s="3" t="s">
        <v>473</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2024-10-30</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2042000000</v>
      </c>
      <c r="AT9" s="3">
        <v>27143125000</v>
      </c>
      <c r="AU9" s="3">
        <v>4392000000</v>
      </c>
      <c r="AV9" s="3" t="s">
        <v>473</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2192400000</v>
      </c>
      <c r="AT10" s="3">
        <v>29090125000</v>
      </c>
      <c r="AU10" s="3">
        <v>1796600000</v>
      </c>
      <c r="AV10" s="3" t="s">
        <v>473</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2357900000</v>
      </c>
      <c r="AT11" s="3">
        <v>31188725000</v>
      </c>
      <c r="AU11" s="3">
        <v>1933100000</v>
      </c>
      <c r="AV11" s="3" t="s">
        <v>473</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2544100000</v>
      </c>
      <c r="AT12" s="3">
        <v>33535825000</v>
      </c>
      <c r="AU12" s="3">
        <v>2160900000</v>
      </c>
      <c r="AV12" s="3" t="s">
        <v>473</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2770650000</v>
      </c>
      <c r="AT13" s="3">
        <v>36503725000</v>
      </c>
      <c r="AU13" s="3">
        <v>2741350000</v>
      </c>
      <c r="AV13" s="3" t="s">
        <v>473</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19050000</v>
      </c>
      <c r="AT14" s="3">
        <v>270500000</v>
      </c>
      <c r="AU14" s="3">
        <v>13300000</v>
      </c>
      <c r="AV14" s="3" t="s">
        <v>473</v>
      </c>
      <c r="AW14">
        <v>19300</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1206000000</v>
      </c>
      <c r="AF15">
        <v>0</v>
      </c>
      <c r="AG15">
        <v>1290000000</v>
      </c>
      <c r="AH15">
        <v>-301000000</v>
      </c>
      <c r="AI15">
        <v>391000000</v>
      </c>
      <c r="AJ15">
        <v>2000000</v>
      </c>
      <c r="AK15">
        <v>3638000000</v>
      </c>
      <c r="AL15">
        <v>5195000000</v>
      </c>
      <c r="AM15">
        <v>3024000000</v>
      </c>
      <c r="AN15">
        <v>715000000</v>
      </c>
      <c r="AO15">
        <v>36683000000</v>
      </c>
      <c r="AP15">
        <v>24000000</v>
      </c>
      <c r="AQ15">
        <v>326000000</v>
      </c>
      <c r="AR15">
        <v>-115000000</v>
      </c>
      <c r="AS15" s="3">
        <v>20650000</v>
      </c>
      <c r="AT15" s="3">
        <v>283450000</v>
      </c>
      <c r="AU15" s="3">
        <v>10700000</v>
      </c>
      <c r="AV15" s="3" t="s">
        <v>473</v>
      </c>
      <c r="AW15">
        <v>19300</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22200000</v>
      </c>
      <c r="AT16" s="3">
        <v>293800000</v>
      </c>
      <c r="AU16" s="3">
        <v>8150000</v>
      </c>
      <c r="AV16" s="3" t="s">
        <v>473</v>
      </c>
      <c r="AW16">
        <v>19300</v>
      </c>
    </row>
    <row r="17" spans="1:54"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1409000000</v>
      </c>
      <c r="AE17">
        <v>3390000000</v>
      </c>
      <c r="AF17">
        <v>0</v>
      </c>
      <c r="AG17">
        <v>1504000000</v>
      </c>
      <c r="AH17">
        <v>-484000000</v>
      </c>
      <c r="AI17">
        <v>380000000</v>
      </c>
      <c r="AJ17">
        <v>0</v>
      </c>
      <c r="AK17">
        <v>3356000000</v>
      </c>
      <c r="AL17">
        <v>4765000000</v>
      </c>
      <c r="AM17">
        <v>3354000000</v>
      </c>
      <c r="AN17">
        <v>185000000</v>
      </c>
      <c r="AO17">
        <v>37000000000</v>
      </c>
      <c r="AP17">
        <v>20000000</v>
      </c>
      <c r="AQ17">
        <v>326000000</v>
      </c>
      <c r="AR17">
        <v>-121000000</v>
      </c>
      <c r="AS17" s="3">
        <v>23900000</v>
      </c>
      <c r="AT17" s="3">
        <v>305600000</v>
      </c>
      <c r="AU17" s="3">
        <v>9450000</v>
      </c>
      <c r="AV17" s="3" t="s">
        <v>473</v>
      </c>
      <c r="AW17">
        <v>20000</v>
      </c>
    </row>
    <row r="18" spans="1:54"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25500000</v>
      </c>
      <c r="AT18" s="3">
        <v>313700000</v>
      </c>
      <c r="AU18" s="3">
        <v>5850000</v>
      </c>
      <c r="AV18" s="3" t="s">
        <v>473</v>
      </c>
      <c r="AW18">
        <v>20000</v>
      </c>
    </row>
    <row r="19" spans="1:54"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1193000000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3577000000</v>
      </c>
      <c r="AN19">
        <v>924000000</v>
      </c>
      <c r="AO19">
        <v>37064000000</v>
      </c>
      <c r="AP19">
        <v>19000000</v>
      </c>
      <c r="AQ19">
        <v>326000000</v>
      </c>
      <c r="AR19">
        <v>-120000000</v>
      </c>
      <c r="AS19" s="3">
        <v>27150000</v>
      </c>
      <c r="AT19" s="3">
        <v>321200000</v>
      </c>
      <c r="AU19" s="3">
        <v>5200000</v>
      </c>
      <c r="AV19" s="3" t="s">
        <v>473</v>
      </c>
      <c r="AW19">
        <v>20000</v>
      </c>
    </row>
    <row r="20" spans="1:54"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28700000</v>
      </c>
      <c r="AT20" s="3">
        <v>325050000</v>
      </c>
      <c r="AU20" s="3">
        <v>1650000</v>
      </c>
      <c r="AV20" s="3" t="s">
        <v>473</v>
      </c>
      <c r="AW20">
        <v>20000</v>
      </c>
    </row>
    <row r="21" spans="1:54"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-897000000</v>
      </c>
      <c r="AA21" s="9">
        <v>12474000000</v>
      </c>
      <c r="AB21">
        <v>119000000</v>
      </c>
      <c r="AC21">
        <v>10532000000</v>
      </c>
      <c r="AD21">
        <v>1419000000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30650000</v>
      </c>
      <c r="AT21" s="3">
        <v>335350000</v>
      </c>
      <c r="AU21" s="3">
        <v>7700000</v>
      </c>
      <c r="AV21" s="3" t="s">
        <v>473</v>
      </c>
      <c r="AW21">
        <v>20000</v>
      </c>
    </row>
    <row r="22" spans="1:54"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30962500</v>
      </c>
      <c r="AT22" s="3">
        <v>338700000</v>
      </c>
      <c r="AU22" s="3">
        <v>2412500</v>
      </c>
      <c r="AV22" s="3" t="s">
        <v>473</v>
      </c>
      <c r="AW22">
        <v>20000</v>
      </c>
    </row>
    <row r="23" spans="1:54"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31325000</v>
      </c>
      <c r="AT23" s="3">
        <v>342737500</v>
      </c>
      <c r="AU23" s="3">
        <v>3075000</v>
      </c>
      <c r="AV23" s="3" t="s">
        <v>473</v>
      </c>
      <c r="AW23">
        <v>20000</v>
      </c>
    </row>
    <row r="24" spans="1:54"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31637500</v>
      </c>
      <c r="AT24" s="3">
        <v>345412500</v>
      </c>
      <c r="AU24" s="3">
        <v>1787500</v>
      </c>
      <c r="AV24" s="3" t="s">
        <v>473</v>
      </c>
      <c r="AW24">
        <v>20000</v>
      </c>
    </row>
    <row r="25" spans="1:54"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1327000000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31900000</v>
      </c>
      <c r="AT25" s="3">
        <v>346775000</v>
      </c>
      <c r="AU25" s="3">
        <v>550000</v>
      </c>
      <c r="AV25" s="3" t="s">
        <v>473</v>
      </c>
      <c r="AW25">
        <v>18970</v>
      </c>
    </row>
    <row r="26" spans="1:54"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8690350</v>
      </c>
      <c r="AT26" s="3">
        <v>158289375</v>
      </c>
      <c r="AU26" s="3">
        <v>40975650</v>
      </c>
      <c r="AV26" s="3" t="s">
        <v>473</v>
      </c>
      <c r="AW26">
        <v>1120</v>
      </c>
      <c r="BA26" s="3"/>
      <c r="BB26" s="3"/>
    </row>
    <row r="27" spans="1:54"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11132600</v>
      </c>
      <c r="AT27" s="3">
        <v>198444025</v>
      </c>
      <c r="AU27" s="3">
        <v>37712400</v>
      </c>
      <c r="AV27" s="3" t="s">
        <v>473</v>
      </c>
      <c r="AW27">
        <v>1120</v>
      </c>
      <c r="BA27" s="3"/>
      <c r="BB27" s="3"/>
    </row>
    <row r="28" spans="1:54"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96531000</v>
      </c>
      <c r="Y28">
        <v>4608000</v>
      </c>
      <c r="Z28">
        <v>-118009000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15959150</v>
      </c>
      <c r="AT28" s="3">
        <v>283842425</v>
      </c>
      <c r="AU28" s="3">
        <v>80571850</v>
      </c>
      <c r="AV28" s="3" t="s">
        <v>473</v>
      </c>
      <c r="AW28">
        <v>1300</v>
      </c>
      <c r="BA28" s="3"/>
      <c r="BB28" s="3"/>
    </row>
    <row r="29" spans="1:54"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18066350</v>
      </c>
      <c r="AT29" s="3">
        <v>310027275</v>
      </c>
      <c r="AU29" s="3">
        <v>24077650</v>
      </c>
      <c r="AV29" s="3" t="s">
        <v>473</v>
      </c>
      <c r="AW29">
        <v>1300</v>
      </c>
      <c r="BA29" s="3"/>
      <c r="BB29" s="3"/>
    </row>
    <row r="30" spans="1:54"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20389450</v>
      </c>
      <c r="AT30" s="3">
        <v>338422925</v>
      </c>
      <c r="AU30" s="3">
        <v>26072550</v>
      </c>
      <c r="AV30" s="3" t="s">
        <v>473</v>
      </c>
      <c r="AW30">
        <v>1300</v>
      </c>
      <c r="BA30" s="3"/>
      <c r="BB30" s="3"/>
    </row>
    <row r="31" spans="1:54"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22625550</v>
      </c>
      <c r="AT31" s="3">
        <v>362755475</v>
      </c>
      <c r="AU31" s="3">
        <v>22096450</v>
      </c>
      <c r="AV31" s="3" t="s">
        <v>473</v>
      </c>
      <c r="AW31">
        <v>1300</v>
      </c>
      <c r="BA31" s="3"/>
      <c r="BB31" s="3"/>
    </row>
    <row r="32" spans="1:54"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24632000</v>
      </c>
      <c r="AT32" s="3">
        <v>380258925</v>
      </c>
      <c r="AU32" s="3">
        <v>15497000</v>
      </c>
      <c r="AV32" s="3" t="s">
        <v>473</v>
      </c>
      <c r="AW32" s="7">
        <v>1600</v>
      </c>
      <c r="BA32" s="3"/>
      <c r="BB32" s="3"/>
    </row>
    <row r="33" spans="1:54"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26811600</v>
      </c>
      <c r="AT33" s="3">
        <v>399218925</v>
      </c>
      <c r="AU33" s="3">
        <v>16780400</v>
      </c>
      <c r="AV33" s="3" t="s">
        <v>473</v>
      </c>
      <c r="AW33" s="7">
        <v>1600</v>
      </c>
      <c r="BA33" s="3"/>
      <c r="BB33" s="3"/>
    </row>
    <row r="34" spans="1:54"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29888600</v>
      </c>
      <c r="AT34" s="3">
        <v>433947325</v>
      </c>
      <c r="AU34" s="3">
        <v>31651400</v>
      </c>
      <c r="AV34" s="3" t="s">
        <v>473</v>
      </c>
      <c r="AW34" s="7">
        <v>1600</v>
      </c>
      <c r="BA34" s="3"/>
      <c r="BB34" s="3"/>
    </row>
    <row r="35" spans="1:54"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32495950</v>
      </c>
      <c r="AT35" s="3">
        <v>456205725</v>
      </c>
      <c r="AU35" s="3">
        <v>19651050</v>
      </c>
      <c r="AV35" s="3" t="s">
        <v>473</v>
      </c>
      <c r="AW35" s="7">
        <v>1600</v>
      </c>
      <c r="BA35" s="3"/>
      <c r="BB35" s="3"/>
    </row>
    <row r="36" spans="1:54"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424000</v>
      </c>
      <c r="Z36">
        <v>-30493000</v>
      </c>
      <c r="AA36" s="9">
        <v>483213000</v>
      </c>
      <c r="AB36">
        <v>0</v>
      </c>
      <c r="AC36">
        <v>0</v>
      </c>
      <c r="AD36">
        <v>31680000</v>
      </c>
      <c r="AE36">
        <v>1244993000</v>
      </c>
      <c r="AF36">
        <v>0</v>
      </c>
      <c r="AG36">
        <v>530680000</v>
      </c>
      <c r="AH36">
        <v>-36246000</v>
      </c>
      <c r="AI36">
        <v>13123000</v>
      </c>
      <c r="AJ36">
        <v>-29487000</v>
      </c>
      <c r="AK36">
        <v>186705000</v>
      </c>
      <c r="AL36">
        <v>164390000</v>
      </c>
      <c r="AM36">
        <v>286669000</v>
      </c>
      <c r="AN36">
        <v>-19149000</v>
      </c>
      <c r="AO36">
        <v>2401197000</v>
      </c>
      <c r="AP36">
        <v>64368000</v>
      </c>
      <c r="AQ36">
        <v>108670159</v>
      </c>
      <c r="AR36">
        <v>0</v>
      </c>
      <c r="AS36" s="3">
        <v>35432650</v>
      </c>
      <c r="AT36" s="3">
        <v>482443775</v>
      </c>
      <c r="AU36" s="3">
        <v>23301350</v>
      </c>
      <c r="AV36" s="3" t="s">
        <v>473</v>
      </c>
      <c r="AW36" s="7">
        <v>2000</v>
      </c>
      <c r="BA36" s="3"/>
      <c r="BB36" s="3"/>
    </row>
    <row r="37" spans="1:54"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8704000</v>
      </c>
      <c r="AJ37">
        <v>-38528000</v>
      </c>
      <c r="AK37">
        <v>107631000</v>
      </c>
      <c r="AL37">
        <v>183680000</v>
      </c>
      <c r="AM37">
        <v>266102000</v>
      </c>
      <c r="AN37">
        <v>13358000</v>
      </c>
      <c r="AO37">
        <v>2994058000</v>
      </c>
      <c r="AP37">
        <v>45941000</v>
      </c>
      <c r="AQ37">
        <v>127870238</v>
      </c>
      <c r="AR37">
        <v>0</v>
      </c>
      <c r="AS37" s="3">
        <v>37582950</v>
      </c>
      <c r="AT37" s="3">
        <v>490017125</v>
      </c>
      <c r="AU37" s="3">
        <v>5423050</v>
      </c>
      <c r="AV37" s="3" t="s">
        <v>473</v>
      </c>
      <c r="AW37" s="7">
        <v>2000</v>
      </c>
      <c r="BA37" s="3"/>
      <c r="BB37" s="3"/>
    </row>
    <row r="38" spans="1:54"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424950000</v>
      </c>
      <c r="AT38" s="3">
        <v>6025225000</v>
      </c>
      <c r="AU38" s="3">
        <v>263050000</v>
      </c>
      <c r="AV38" s="3" t="s">
        <v>473</v>
      </c>
      <c r="AW38" s="7">
        <v>133000</v>
      </c>
      <c r="AY38" s="3"/>
      <c r="BA38" s="3"/>
      <c r="BB38" s="3"/>
    </row>
    <row r="39" spans="1:54"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460200000</v>
      </c>
      <c r="AT39" s="3">
        <v>6305275000</v>
      </c>
      <c r="AU39" s="3">
        <v>244800000</v>
      </c>
      <c r="AV39" s="3" t="s">
        <v>473</v>
      </c>
      <c r="AW39" s="7">
        <v>133000</v>
      </c>
      <c r="AY39" s="3"/>
      <c r="BA39" s="3"/>
      <c r="BB39" s="3"/>
    </row>
    <row r="40" spans="1:54"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494800000</v>
      </c>
      <c r="AT40" s="3">
        <v>6537075000</v>
      </c>
      <c r="AU40" s="3">
        <v>197200000</v>
      </c>
      <c r="AV40" s="3" t="s">
        <v>473</v>
      </c>
      <c r="AW40" s="7">
        <v>133000</v>
      </c>
      <c r="AY40" s="3"/>
      <c r="BA40" s="3"/>
      <c r="BB40" s="3"/>
    </row>
    <row r="41" spans="1:54"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-2309000000</v>
      </c>
      <c r="AB41">
        <v>6982000000</v>
      </c>
      <c r="AC41">
        <v>19012000000</v>
      </c>
      <c r="AD41">
        <v>829000000</v>
      </c>
      <c r="AE41">
        <v>7366000000</v>
      </c>
      <c r="AF41">
        <v>0</v>
      </c>
      <c r="AG41">
        <v>1533000000</v>
      </c>
      <c r="AH41">
        <v>-727000000</v>
      </c>
      <c r="AI41">
        <v>841000000</v>
      </c>
      <c r="AJ41">
        <v>1000000</v>
      </c>
      <c r="AK41">
        <v>9343000000</v>
      </c>
      <c r="AL41">
        <v>3622000000</v>
      </c>
      <c r="AM41">
        <v>19389000000</v>
      </c>
      <c r="AN41">
        <v>1208000000</v>
      </c>
      <c r="AO41">
        <v>82089000000</v>
      </c>
      <c r="AP41">
        <v>203000000</v>
      </c>
      <c r="AQ41">
        <v>736000000</v>
      </c>
      <c r="AR41">
        <v>-373000000</v>
      </c>
      <c r="AS41" s="3">
        <v>530600000</v>
      </c>
      <c r="AT41" s="3">
        <v>6758275000</v>
      </c>
      <c r="AU41" s="3">
        <v>185400000</v>
      </c>
      <c r="AV41" s="3" t="s">
        <v>473</v>
      </c>
      <c r="AW41">
        <v>120000</v>
      </c>
      <c r="AY41" s="3"/>
      <c r="BA41" s="3"/>
      <c r="BB41" s="3"/>
    </row>
    <row r="42" spans="1:54"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568750000</v>
      </c>
      <c r="AT42" s="3">
        <v>6990675000</v>
      </c>
      <c r="AU42" s="3">
        <v>194250000</v>
      </c>
      <c r="AV42" s="3" t="s">
        <v>473</v>
      </c>
      <c r="AW42">
        <v>120000</v>
      </c>
      <c r="AY42" s="3"/>
      <c r="BA42" s="3"/>
      <c r="BB42" s="3"/>
    </row>
    <row r="43" spans="1:54"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607750000</v>
      </c>
      <c r="AT43" s="3">
        <v>7201925000</v>
      </c>
      <c r="AU43" s="3">
        <v>172250000</v>
      </c>
      <c r="AV43" s="3" t="s">
        <v>473</v>
      </c>
      <c r="AW43">
        <v>120000</v>
      </c>
      <c r="AY43" s="3"/>
      <c r="BA43" s="3"/>
      <c r="BB43" s="3"/>
    </row>
    <row r="44" spans="1:54"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645000000</v>
      </c>
      <c r="AT44" s="3">
        <v>7339175000</v>
      </c>
      <c r="AU44" s="3">
        <v>100000000</v>
      </c>
      <c r="AV44" s="3" t="s">
        <v>473</v>
      </c>
      <c r="AW44">
        <v>120000</v>
      </c>
      <c r="AY44" s="3"/>
      <c r="BA44" s="3"/>
      <c r="BB44" s="3"/>
    </row>
    <row r="45" spans="1:54"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683650000</v>
      </c>
      <c r="AT45" s="3">
        <v>7467175000</v>
      </c>
      <c r="AU45" s="3">
        <v>89350000</v>
      </c>
      <c r="AV45" s="3" t="s">
        <v>473</v>
      </c>
      <c r="AW45">
        <v>108000</v>
      </c>
      <c r="AY45" s="3"/>
      <c r="BA45" s="3"/>
      <c r="BB45" s="3"/>
    </row>
    <row r="46" spans="1:54"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693362500</v>
      </c>
      <c r="AT46" s="3">
        <v>7591525000</v>
      </c>
      <c r="AU46" s="3">
        <v>114637500</v>
      </c>
      <c r="AV46" s="3" t="s">
        <v>473</v>
      </c>
      <c r="AW46">
        <v>108000</v>
      </c>
      <c r="AY46" s="3"/>
      <c r="BA46" s="3"/>
      <c r="BB46" s="3"/>
    </row>
    <row r="47" spans="1:54"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701925000</v>
      </c>
      <c r="AT47" s="3">
        <v>7683162500</v>
      </c>
      <c r="AU47" s="3">
        <v>83075000</v>
      </c>
      <c r="AV47" s="3" t="s">
        <v>473</v>
      </c>
      <c r="AW47">
        <v>108000</v>
      </c>
      <c r="AY47" s="3"/>
      <c r="BA47" s="3"/>
      <c r="BB47" s="3"/>
    </row>
    <row r="48" spans="1:54"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708837500</v>
      </c>
      <c r="AT48" s="3">
        <v>7733237500</v>
      </c>
      <c r="AU48" s="3">
        <v>43162500</v>
      </c>
      <c r="AV48" s="3" t="s">
        <v>473</v>
      </c>
      <c r="AW48">
        <v>108000</v>
      </c>
      <c r="AY48" s="3"/>
      <c r="BA48" s="3"/>
      <c r="BB48" s="3"/>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7821400000</v>
      </c>
      <c r="AU49" s="3">
        <v>79000000</v>
      </c>
      <c r="AV49" s="3" t="s">
        <v>473</v>
      </c>
      <c r="AW49">
        <v>97000</v>
      </c>
      <c r="AY49" s="3"/>
      <c r="BA49" s="3"/>
      <c r="BB49" s="3"/>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3574050000</v>
      </c>
      <c r="AT50">
        <v>51568075000</v>
      </c>
      <c r="AU50">
        <v>3409950000</v>
      </c>
      <c r="AV50" s="3" t="s">
        <v>473</v>
      </c>
      <c r="AW50">
        <v>221000</v>
      </c>
      <c r="BA50" s="3"/>
      <c r="BB50" s="3"/>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4472000000</v>
      </c>
      <c r="AJ51">
        <v>-341000000</v>
      </c>
      <c r="AK51">
        <v>48688000000</v>
      </c>
      <c r="AL51">
        <v>2500000000</v>
      </c>
      <c r="AM51">
        <v>18095000000</v>
      </c>
      <c r="AN51">
        <v>20081000000</v>
      </c>
      <c r="AO51" s="9">
        <v>411976000000</v>
      </c>
      <c r="AP51">
        <v>2416000000</v>
      </c>
      <c r="AQ51">
        <v>7472000000</v>
      </c>
      <c r="AR51">
        <v>-482000000</v>
      </c>
      <c r="AS51">
        <v>3911000000</v>
      </c>
      <c r="AT51">
        <v>54733025000</v>
      </c>
      <c r="AU51">
        <v>2828000000</v>
      </c>
      <c r="AV51" s="3" t="s">
        <v>473</v>
      </c>
      <c r="AW51">
        <v>221000</v>
      </c>
      <c r="BA51" s="3"/>
      <c r="BB51" s="3"/>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25808000000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4243950000</v>
      </c>
      <c r="AT52">
        <v>57481025000</v>
      </c>
      <c r="AU52">
        <v>2415050000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27041000000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4601050000</v>
      </c>
      <c r="AT53">
        <v>60379075000</v>
      </c>
      <c r="AU53">
        <v>2540950000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20535000000</v>
      </c>
      <c r="AC54">
        <v>42658000000</v>
      </c>
      <c r="AD54">
        <v>14469000000</v>
      </c>
      <c r="AE54">
        <v>19634000000</v>
      </c>
      <c r="AF54">
        <v>60387000000</v>
      </c>
      <c r="AG54">
        <v>31917000000</v>
      </c>
      <c r="AH54">
        <v>-10952000000</v>
      </c>
      <c r="AI54">
        <v>6027000000</v>
      </c>
      <c r="AJ54">
        <v>-10952000000</v>
      </c>
      <c r="AK54">
        <v>44029000000</v>
      </c>
      <c r="AL54">
        <v>1304000000</v>
      </c>
      <c r="AM54">
        <v>18087000000</v>
      </c>
      <c r="AN54">
        <v>21939000000</v>
      </c>
      <c r="AO54" s="9">
        <v>484275000000</v>
      </c>
      <c r="AP54">
        <v>2703000000</v>
      </c>
      <c r="AQ54">
        <v>7472000000</v>
      </c>
      <c r="AR54">
        <v>-800000000</v>
      </c>
      <c r="AS54">
        <v>4983700000</v>
      </c>
      <c r="AT54">
        <v>63431025000</v>
      </c>
      <c r="AU54">
        <v>2669300000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6693000000</v>
      </c>
      <c r="AC55">
        <v>42688000000</v>
      </c>
      <c r="AD55">
        <v>15497000000</v>
      </c>
      <c r="AE55">
        <v>18315000000</v>
      </c>
      <c r="AF55">
        <v>57228000000</v>
      </c>
      <c r="AG55">
        <v>37195000000</v>
      </c>
      <c r="AH55">
        <v>-13873000000</v>
      </c>
      <c r="AI55">
        <v>6380000000</v>
      </c>
      <c r="AJ55">
        <v>8035000000</v>
      </c>
      <c r="AK55">
        <v>56924000000</v>
      </c>
      <c r="AL55">
        <v>1246000000</v>
      </c>
      <c r="AM55">
        <v>21996000000</v>
      </c>
      <c r="AN55">
        <v>22036000000</v>
      </c>
      <c r="AO55" s="9">
        <v>512163000000</v>
      </c>
      <c r="AP55">
        <v>2696000000</v>
      </c>
      <c r="AQ55">
        <v>7469000000</v>
      </c>
      <c r="AR55">
        <v>-701000000</v>
      </c>
      <c r="AS55">
        <v>5386500000</v>
      </c>
      <c r="AT55">
        <v>66503325000</v>
      </c>
      <c r="AU55">
        <v>2669500000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5763700000</v>
      </c>
      <c r="AT56">
        <v>68660825000</v>
      </c>
      <c r="AU56">
        <v>1780300000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6159550000</v>
      </c>
      <c r="AT57">
        <v>70814125000</v>
      </c>
      <c r="AU57">
        <v>1757450000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6328587500</v>
      </c>
      <c r="AT58">
        <v>72852575000</v>
      </c>
      <c r="AU58">
        <v>1869412500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6529175000</v>
      </c>
      <c r="AT59">
        <v>75352987500</v>
      </c>
      <c r="AU59">
        <v>2299825000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13061000000</v>
      </c>
      <c r="AJ60">
        <v>-578000000</v>
      </c>
      <c r="AK60">
        <v>52894000000</v>
      </c>
      <c r="AL60">
        <v>1130000000</v>
      </c>
      <c r="AM60">
        <v>32580000000</v>
      </c>
      <c r="AN60">
        <v>27747000000</v>
      </c>
      <c r="AO60" s="9">
        <v>636351000000</v>
      </c>
      <c r="AP60">
        <v>2983000000</v>
      </c>
      <c r="AQ60">
        <v>7466000000</v>
      </c>
      <c r="AR60">
        <v>-698000000</v>
      </c>
      <c r="AS60">
        <v>6695612500</v>
      </c>
      <c r="AT60">
        <v>76969812500</v>
      </c>
      <c r="AU60">
        <v>1450387500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6879950000</v>
      </c>
      <c r="AT61">
        <v>78778200000</v>
      </c>
      <c r="AU61">
        <v>1624050000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327900000</v>
      </c>
      <c r="AE62">
        <v>1992900000</v>
      </c>
      <c r="AF62">
        <v>1965300000</v>
      </c>
      <c r="AG62">
        <v>432100000.00000012</v>
      </c>
      <c r="AH62">
        <v>-31199999.999999981</v>
      </c>
      <c r="AI62">
        <v>175499999.99999988</v>
      </c>
      <c r="AJ62">
        <v>-18900000.000000007</v>
      </c>
      <c r="AK62">
        <v>1443600000</v>
      </c>
      <c r="AL62">
        <v>0</v>
      </c>
      <c r="AM62">
        <v>91600000</v>
      </c>
      <c r="AN62">
        <v>107800000</v>
      </c>
      <c r="AO62" s="9">
        <v>14170500000</v>
      </c>
      <c r="AP62">
        <v>271000000</v>
      </c>
      <c r="AQ62">
        <v>344700000</v>
      </c>
      <c r="AR62">
        <v>-7800000</v>
      </c>
      <c r="AS62">
        <v>186995000</v>
      </c>
      <c r="AT62">
        <v>2788805000</v>
      </c>
      <c r="AU62">
        <v>226705000</v>
      </c>
      <c r="AV62" s="10" t="s">
        <v>474</v>
      </c>
      <c r="AW62">
        <v>12561</v>
      </c>
      <c r="BA62" s="3"/>
      <c r="BB62" s="3"/>
      <c r="BV62">
        <v>2023</v>
      </c>
      <c r="BW62" t="s">
        <v>63</v>
      </c>
      <c r="BX62">
        <f>212.9+297.4+5.3-BX61-BX60</f>
        <v>175.49999999999989</v>
      </c>
      <c r="BY62">
        <f t="shared" ref="BY62:BY72" si="0">+BX62*1000000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186700000.00000006</v>
      </c>
      <c r="AJ63">
        <v>0</v>
      </c>
      <c r="AK63">
        <v>2463200000</v>
      </c>
      <c r="AL63">
        <v>0</v>
      </c>
      <c r="AM63">
        <v>132300000.00000001</v>
      </c>
      <c r="AN63">
        <v>227700000</v>
      </c>
      <c r="AO63" s="9">
        <v>14501100000</v>
      </c>
      <c r="AP63">
        <v>254200000.00000006</v>
      </c>
      <c r="AQ63">
        <v>342300000</v>
      </c>
      <c r="AR63">
        <v>-5699999.9999999981</v>
      </c>
      <c r="AS63">
        <v>207715000</v>
      </c>
      <c r="AT63">
        <v>3016210000</v>
      </c>
      <c r="AU63">
        <v>206684999.99999994</v>
      </c>
      <c r="AV63" s="10" t="s">
        <v>474</v>
      </c>
      <c r="AW63">
        <v>13948</v>
      </c>
      <c r="BA63" s="3"/>
      <c r="BB63" s="3"/>
      <c r="BV63">
        <v>2023</v>
      </c>
      <c r="BW63" t="s">
        <v>65</v>
      </c>
      <c r="BX63">
        <f>282.2+413.4+6.7-BX62-BX61-BX60</f>
        <v>186.70000000000005</v>
      </c>
      <c r="BY63">
        <f t="shared" si="0"/>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336800000</v>
      </c>
      <c r="AE64">
        <v>2491400000</v>
      </c>
      <c r="AF64">
        <v>1402400000</v>
      </c>
      <c r="AG64">
        <v>1526000000</v>
      </c>
      <c r="AH64">
        <v>-36800000</v>
      </c>
      <c r="AI64">
        <v>170800000</v>
      </c>
      <c r="AJ64">
        <v>0</v>
      </c>
      <c r="AK64">
        <v>1413000000</v>
      </c>
      <c r="AL64">
        <v>0</v>
      </c>
      <c r="AM64">
        <v>131800000.00000001</v>
      </c>
      <c r="AN64">
        <v>194200000</v>
      </c>
      <c r="AO64" s="9">
        <v>14808500000</v>
      </c>
      <c r="AP64">
        <v>271000000</v>
      </c>
      <c r="AQ64">
        <v>349800000</v>
      </c>
      <c r="AR64">
        <v>-2900000</v>
      </c>
      <c r="AS64">
        <v>228190000</v>
      </c>
      <c r="AT64">
        <v>3217995000</v>
      </c>
      <c r="AU64">
        <v>181310000</v>
      </c>
      <c r="AV64" s="10" t="s">
        <v>474</v>
      </c>
      <c r="AW64">
        <v>13948</v>
      </c>
      <c r="BC64" s="3"/>
      <c r="BD64" s="3"/>
      <c r="BV64">
        <v>2024</v>
      </c>
      <c r="BW64" t="s">
        <v>57</v>
      </c>
      <c r="BX64">
        <f>64.3+105.5+1</f>
        <v>170.8</v>
      </c>
      <c r="BY64">
        <f t="shared" si="0"/>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427800000</v>
      </c>
      <c r="AE65">
        <v>1782500000</v>
      </c>
      <c r="AF65">
        <v>1588500000</v>
      </c>
      <c r="AG65">
        <v>690000000</v>
      </c>
      <c r="AH65">
        <v>-35200000</v>
      </c>
      <c r="AI65">
        <v>178600000.00000003</v>
      </c>
      <c r="AJ65">
        <v>-610600000</v>
      </c>
      <c r="AK65">
        <v>1896300000</v>
      </c>
      <c r="AL65">
        <v>0</v>
      </c>
      <c r="AM65">
        <v>178800000</v>
      </c>
      <c r="AN65">
        <v>1746900000</v>
      </c>
      <c r="AO65" s="9">
        <v>18292000000</v>
      </c>
      <c r="AP65">
        <v>272000000</v>
      </c>
      <c r="AQ65">
        <v>357500000</v>
      </c>
      <c r="AR65">
        <v>-2800000</v>
      </c>
      <c r="AS65">
        <v>250585000</v>
      </c>
      <c r="AT65">
        <v>3437705000</v>
      </c>
      <c r="AU65">
        <v>197315000</v>
      </c>
      <c r="AV65" s="10" t="s">
        <v>474</v>
      </c>
      <c r="AW65">
        <v>13948</v>
      </c>
      <c r="BC65" s="3"/>
      <c r="BD65" s="3"/>
      <c r="BV65">
        <v>2024</v>
      </c>
      <c r="BW65" t="s">
        <v>58</v>
      </c>
      <c r="BX65">
        <f>132.9+214.4+2.1-BX64</f>
        <v>178.60000000000002</v>
      </c>
      <c r="BY65">
        <f t="shared" si="0"/>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432300000</v>
      </c>
      <c r="AE66">
        <v>1373700000</v>
      </c>
      <c r="AF66">
        <v>1516700000</v>
      </c>
      <c r="AG66">
        <v>528900000.00000012</v>
      </c>
      <c r="AH66">
        <v>-37400000.000000007</v>
      </c>
      <c r="AI66">
        <v>185399999.99999991</v>
      </c>
      <c r="AJ66">
        <v>0</v>
      </c>
      <c r="AK66">
        <v>1715400000</v>
      </c>
      <c r="AL66">
        <v>0</v>
      </c>
      <c r="AM66">
        <v>108900000</v>
      </c>
      <c r="AN66">
        <v>278800000</v>
      </c>
      <c r="AO66" s="9">
        <v>17930800000</v>
      </c>
      <c r="AP66">
        <v>263500000</v>
      </c>
      <c r="AQ66">
        <v>354600000</v>
      </c>
      <c r="AR66">
        <v>-2300000</v>
      </c>
      <c r="AS66">
        <v>273445000</v>
      </c>
      <c r="AT66">
        <v>3644320000</v>
      </c>
      <c r="AU66">
        <v>183755000</v>
      </c>
      <c r="AV66" s="10" t="s">
        <v>474</v>
      </c>
      <c r="AW66">
        <v>13948</v>
      </c>
      <c r="BC66" s="3"/>
      <c r="BD66" s="3"/>
      <c r="BV66">
        <v>2024</v>
      </c>
      <c r="BW66" t="s">
        <v>63</v>
      </c>
      <c r="BX66">
        <f>207.2+324.7+2.9-BX65-BX64</f>
        <v>185.39999999999992</v>
      </c>
      <c r="BY66">
        <f t="shared" si="0"/>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198000000.00000006</v>
      </c>
      <c r="AJ67">
        <v>0</v>
      </c>
      <c r="AK67">
        <v>2618600000</v>
      </c>
      <c r="AL67">
        <v>0</v>
      </c>
      <c r="AM67">
        <v>116300000</v>
      </c>
      <c r="AN67">
        <v>357699999.99999964</v>
      </c>
      <c r="AO67" s="9">
        <v>19990900000</v>
      </c>
      <c r="AP67">
        <v>268900000.00000012</v>
      </c>
      <c r="AQ67">
        <v>354000000</v>
      </c>
      <c r="AR67">
        <v>-300000.00000000116</v>
      </c>
      <c r="AS67">
        <v>298185000</v>
      </c>
      <c r="AT67">
        <v>3865675000</v>
      </c>
      <c r="AU67">
        <v>196615000.00000006</v>
      </c>
      <c r="AV67" s="10" t="s">
        <v>474</v>
      </c>
      <c r="AW67">
        <v>15289</v>
      </c>
      <c r="BC67" s="3"/>
      <c r="BD67" s="3"/>
      <c r="BV67">
        <v>2024</v>
      </c>
      <c r="BW67" t="s">
        <v>65</v>
      </c>
      <c r="BX67">
        <f>283.3+446+3.5-BX66-BX65-BX64</f>
        <v>198.00000000000006</v>
      </c>
      <c r="BY67">
        <f t="shared" si="0"/>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452500000</v>
      </c>
      <c r="AE68">
        <v>2282800000</v>
      </c>
      <c r="AF68">
        <v>1108200000</v>
      </c>
      <c r="AG68">
        <v>1509600000</v>
      </c>
      <c r="AH68">
        <v>-44100000</v>
      </c>
      <c r="AI68">
        <v>194800000</v>
      </c>
      <c r="AJ68">
        <v>-500000000</v>
      </c>
      <c r="AK68">
        <v>1132900000</v>
      </c>
      <c r="AL68">
        <v>0</v>
      </c>
      <c r="AM68">
        <v>211600000</v>
      </c>
      <c r="AN68">
        <v>350700000</v>
      </c>
      <c r="AO68" s="9">
        <v>20374600000</v>
      </c>
      <c r="AP68">
        <v>294300000</v>
      </c>
      <c r="AQ68">
        <v>354500000</v>
      </c>
      <c r="AR68">
        <v>-1200000</v>
      </c>
      <c r="AS68">
        <v>322205000</v>
      </c>
      <c r="AT68">
        <v>4047890000</v>
      </c>
      <c r="AU68">
        <v>158195000</v>
      </c>
      <c r="AV68" s="10" t="s">
        <v>474</v>
      </c>
      <c r="AW68">
        <v>15289</v>
      </c>
      <c r="BA68" s="3"/>
      <c r="BB68" s="3"/>
      <c r="BV68">
        <v>2025</v>
      </c>
      <c r="BW68" t="s">
        <v>57</v>
      </c>
      <c r="BX68">
        <f>83.9+110.4+0.5</f>
        <v>194.8</v>
      </c>
      <c r="BY68">
        <f t="shared" si="0"/>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436600000</v>
      </c>
      <c r="AE69">
        <v>2226300000</v>
      </c>
      <c r="AF69">
        <v>1006600000</v>
      </c>
      <c r="AG69">
        <v>556900000.00000012</v>
      </c>
      <c r="AH69">
        <v>-47499999.999999993</v>
      </c>
      <c r="AI69">
        <v>202500000</v>
      </c>
      <c r="AJ69">
        <v>500000</v>
      </c>
      <c r="AK69">
        <v>1495500000</v>
      </c>
      <c r="AL69">
        <v>0</v>
      </c>
      <c r="AM69">
        <v>149300000</v>
      </c>
      <c r="AN69">
        <v>267300000</v>
      </c>
      <c r="AO69" s="9">
        <v>20951700000</v>
      </c>
      <c r="AP69">
        <v>320499999.99999994</v>
      </c>
      <c r="AQ69">
        <v>709000000</v>
      </c>
      <c r="AR69">
        <v>-900000</v>
      </c>
      <c r="AS69">
        <v>347490000</v>
      </c>
      <c r="AT69">
        <v>4231385000</v>
      </c>
      <c r="AU69">
        <v>158210000</v>
      </c>
      <c r="AV69" s="10" t="s">
        <v>474</v>
      </c>
      <c r="AW69">
        <v>15289</v>
      </c>
      <c r="BA69" s="3"/>
      <c r="BB69" s="3"/>
      <c r="BV69">
        <v>2025</v>
      </c>
      <c r="BW69" t="s">
        <v>58</v>
      </c>
      <c r="BX69">
        <f>171.5+225+0.8-BX68</f>
        <v>202.5</v>
      </c>
      <c r="BY69">
        <f t="shared" si="0"/>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422800000</v>
      </c>
      <c r="AE70">
        <v>2383400000</v>
      </c>
      <c r="AF70">
        <v>916800000</v>
      </c>
      <c r="AG70">
        <v>628699999.99999976</v>
      </c>
      <c r="AH70">
        <v>-68300000.000000015</v>
      </c>
      <c r="AI70">
        <v>207400000.00000003</v>
      </c>
      <c r="AJ70">
        <v>0</v>
      </c>
      <c r="AK70">
        <v>1950000000</v>
      </c>
      <c r="AL70">
        <v>0</v>
      </c>
      <c r="AM70">
        <v>234800000</v>
      </c>
      <c r="AN70">
        <v>262100000.00000003</v>
      </c>
      <c r="AO70" s="9">
        <v>22002800000</v>
      </c>
      <c r="AP70">
        <v>325900000.00000006</v>
      </c>
      <c r="AQ70">
        <v>707400000</v>
      </c>
      <c r="AR70">
        <v>-700000</v>
      </c>
      <c r="AS70">
        <v>362613750</v>
      </c>
      <c r="AT70">
        <v>4378395000</v>
      </c>
      <c r="AU70">
        <v>131886250</v>
      </c>
      <c r="AV70" s="10" t="s">
        <v>474</v>
      </c>
      <c r="AW70">
        <v>15289</v>
      </c>
      <c r="BA70" s="3"/>
      <c r="BB70" s="3"/>
      <c r="BV70">
        <v>2025</v>
      </c>
      <c r="BW70" t="s">
        <v>63</v>
      </c>
      <c r="BX70">
        <f>259.6+344.1+1-BX69-BX68</f>
        <v>207.40000000000003</v>
      </c>
      <c r="BY70">
        <f t="shared" si="0"/>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220400000.00000003</v>
      </c>
      <c r="AJ71">
        <v>-554900000.00000012</v>
      </c>
      <c r="AK71">
        <v>2965000000</v>
      </c>
      <c r="AL71">
        <v>0</v>
      </c>
      <c r="AM71">
        <v>232200000</v>
      </c>
      <c r="AN71">
        <v>253800000</v>
      </c>
      <c r="AO71" s="9">
        <v>23576200000</v>
      </c>
      <c r="AP71">
        <v>354399999.99999982</v>
      </c>
      <c r="AQ71">
        <v>709300000</v>
      </c>
      <c r="AR71">
        <v>-199999.99999999994</v>
      </c>
      <c r="AS71">
        <v>378187500</v>
      </c>
      <c r="AT71">
        <v>4519281250</v>
      </c>
      <c r="AU71">
        <v>125312499.99999988</v>
      </c>
      <c r="AV71" s="10" t="s">
        <v>474</v>
      </c>
      <c r="AW71">
        <v>16068</v>
      </c>
      <c r="BA71" s="3"/>
      <c r="BB71" s="3"/>
      <c r="BV71">
        <v>2025</v>
      </c>
      <c r="BW71" t="s">
        <v>65</v>
      </c>
      <c r="BX71">
        <f>343.4+480.6+1.1-BX70-BX69-BX68</f>
        <v>220.40000000000003</v>
      </c>
      <c r="BY71">
        <f t="shared" si="0"/>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429000000</v>
      </c>
      <c r="AE72">
        <v>3066000000</v>
      </c>
      <c r="AF72">
        <v>1144000000</v>
      </c>
      <c r="AG72">
        <v>1771000000</v>
      </c>
      <c r="AH72">
        <v>-84000000</v>
      </c>
      <c r="AI72">
        <v>215000000</v>
      </c>
      <c r="AJ72">
        <v>-2000000</v>
      </c>
      <c r="AK72">
        <v>1343000000</v>
      </c>
      <c r="AL72">
        <v>0</v>
      </c>
      <c r="AM72">
        <v>223000000</v>
      </c>
      <c r="AN72">
        <v>334000000</v>
      </c>
      <c r="AO72" s="9">
        <v>23536000000</v>
      </c>
      <c r="AP72">
        <v>370000000</v>
      </c>
      <c r="AQ72">
        <v>709000000</v>
      </c>
      <c r="AR72">
        <v>0</v>
      </c>
      <c r="AS72">
        <v>394986250</v>
      </c>
      <c r="AT72">
        <v>4669093750</v>
      </c>
      <c r="AU72">
        <v>133013750</v>
      </c>
      <c r="AV72" s="10" t="s">
        <v>474</v>
      </c>
      <c r="AW72">
        <v>16068</v>
      </c>
      <c r="BA72" s="3"/>
      <c r="BB72" s="3"/>
      <c r="BV72">
        <v>2026</v>
      </c>
      <c r="BW72" t="s">
        <v>57</v>
      </c>
      <c r="BX72">
        <f>89+126</f>
        <v>215</v>
      </c>
      <c r="BY72">
        <f t="shared" si="0"/>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459000000</v>
      </c>
      <c r="AE73">
        <v>4158000000</v>
      </c>
      <c r="AF73">
        <v>378000000</v>
      </c>
      <c r="AG73">
        <v>554000000</v>
      </c>
      <c r="AH73">
        <v>-170000000</v>
      </c>
      <c r="AI73">
        <v>226000000</v>
      </c>
      <c r="AJ73">
        <v>-2576000000</v>
      </c>
      <c r="AK73">
        <v>2116000000</v>
      </c>
      <c r="AL73">
        <v>0</v>
      </c>
      <c r="AM73">
        <v>262000000</v>
      </c>
      <c r="AN73">
        <v>432000000</v>
      </c>
      <c r="AO73" s="9">
        <v>24979000000</v>
      </c>
      <c r="AP73">
        <v>301000000</v>
      </c>
      <c r="AQ73">
        <v>711000000</v>
      </c>
      <c r="AR73">
        <v>0</v>
      </c>
      <c r="AS73">
        <v>410935000</v>
      </c>
      <c r="AT73">
        <v>4785107500</v>
      </c>
      <c r="AU73">
        <v>100065000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3617000000</v>
      </c>
      <c r="AN74">
        <v>1630000000</v>
      </c>
      <c r="AO74" s="9">
        <v>65968000000</v>
      </c>
      <c r="AP74">
        <v>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3504000000</v>
      </c>
      <c r="AN75">
        <v>1569000000</v>
      </c>
      <c r="AO75" s="9">
        <v>66033000000</v>
      </c>
      <c r="AP75">
        <v>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3580000000</v>
      </c>
      <c r="AN76">
        <v>1528000000</v>
      </c>
      <c r="AO76" s="9">
        <v>66540000000</v>
      </c>
      <c r="AP76">
        <v>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3683000000</v>
      </c>
      <c r="AN77">
        <v>1652000000</v>
      </c>
      <c r="AO77" s="9">
        <v>67132000000</v>
      </c>
      <c r="AP77">
        <v>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1016000000</v>
      </c>
      <c r="AE78">
        <v>925000000</v>
      </c>
      <c r="AF78">
        <v>20000000</v>
      </c>
      <c r="AG78">
        <v>2122000000</v>
      </c>
      <c r="AH78">
        <v>-797000000</v>
      </c>
      <c r="AI78">
        <v>594000000</v>
      </c>
      <c r="AJ78">
        <v>0</v>
      </c>
      <c r="AK78">
        <v>2162000000</v>
      </c>
      <c r="AL78">
        <v>770000000</v>
      </c>
      <c r="AM78">
        <v>3801000000</v>
      </c>
      <c r="AN78">
        <v>1641000000</v>
      </c>
      <c r="AO78">
        <v>67266000000</v>
      </c>
      <c r="AP78">
        <v>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1722000000</v>
      </c>
      <c r="AE79">
        <v>1137000000</v>
      </c>
      <c r="AF79">
        <v>20000000</v>
      </c>
      <c r="AG79">
        <v>1911000000</v>
      </c>
      <c r="AH79">
        <v>-902000000</v>
      </c>
      <c r="AI79">
        <v>596000000</v>
      </c>
      <c r="AJ79">
        <v>0</v>
      </c>
      <c r="AK79">
        <v>2118000000</v>
      </c>
      <c r="AL79">
        <v>807000000</v>
      </c>
      <c r="AM79">
        <v>3560000000</v>
      </c>
      <c r="AN79">
        <v>1673000000</v>
      </c>
      <c r="AO79" s="9">
        <v>67817000000</v>
      </c>
      <c r="AP79">
        <v>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1726000000</v>
      </c>
      <c r="AE80">
        <v>947000000</v>
      </c>
      <c r="AF80">
        <v>20000000</v>
      </c>
      <c r="AG80">
        <v>2651000000</v>
      </c>
      <c r="AH80">
        <v>-831000000</v>
      </c>
      <c r="AI80">
        <v>602000000</v>
      </c>
      <c r="AJ80">
        <v>0</v>
      </c>
      <c r="AK80">
        <v>2036000000</v>
      </c>
      <c r="AL80">
        <v>775000000</v>
      </c>
      <c r="AM80">
        <v>3714000000</v>
      </c>
      <c r="AN80">
        <v>1671000000</v>
      </c>
      <c r="AO80" s="9">
        <v>67570000000</v>
      </c>
      <c r="AP80">
        <v>0</v>
      </c>
      <c r="AQ80">
        <v>608600000</v>
      </c>
      <c r="AR80">
        <v>-314000000</v>
      </c>
      <c r="AS80">
        <v>0</v>
      </c>
      <c r="AT80">
        <v>0</v>
      </c>
      <c r="AV80" s="10" t="s">
        <v>474</v>
      </c>
      <c r="AW80">
        <v>32973</v>
      </c>
    </row>
    <row r="81" spans="1:49"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1728000000</v>
      </c>
      <c r="AE81">
        <v>1016000000</v>
      </c>
      <c r="AF81">
        <v>20000000</v>
      </c>
      <c r="AG81">
        <v>2662000000</v>
      </c>
      <c r="AH81">
        <v>-922000000</v>
      </c>
      <c r="AI81">
        <v>606000000</v>
      </c>
      <c r="AJ81">
        <v>0</v>
      </c>
      <c r="AK81">
        <v>1894000000</v>
      </c>
      <c r="AL81">
        <v>769000000</v>
      </c>
      <c r="AM81">
        <v>3829000000</v>
      </c>
      <c r="AN81">
        <v>1762000000</v>
      </c>
      <c r="AO81" s="9">
        <v>67715000000</v>
      </c>
      <c r="AP81">
        <v>0</v>
      </c>
      <c r="AQ81">
        <v>608600000</v>
      </c>
      <c r="AR81">
        <v>-312000000</v>
      </c>
      <c r="AS81">
        <v>0</v>
      </c>
      <c r="AT81">
        <v>0</v>
      </c>
      <c r="AV81" s="10" t="s">
        <v>474</v>
      </c>
      <c r="AW81">
        <v>32439</v>
      </c>
    </row>
    <row r="82" spans="1:49"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758000000</v>
      </c>
      <c r="AE82">
        <v>1411000000</v>
      </c>
      <c r="AF82">
        <v>0</v>
      </c>
      <c r="AG82">
        <v>2210000000</v>
      </c>
      <c r="AH82">
        <v>-906000000</v>
      </c>
      <c r="AI82">
        <v>610000000</v>
      </c>
      <c r="AJ82">
        <v>0</v>
      </c>
      <c r="AK82">
        <v>1965000000</v>
      </c>
      <c r="AL82">
        <v>747000000</v>
      </c>
      <c r="AM82">
        <v>3995000000</v>
      </c>
      <c r="AN82">
        <v>1626000000</v>
      </c>
      <c r="AO82" s="9">
        <v>68492000000</v>
      </c>
      <c r="AP82">
        <v>0</v>
      </c>
      <c r="AQ82">
        <v>601900000</v>
      </c>
      <c r="AR82">
        <v>-322000000</v>
      </c>
      <c r="AS82">
        <v>0</v>
      </c>
      <c r="AT82">
        <v>0</v>
      </c>
      <c r="AV82" s="10" t="s">
        <v>474</v>
      </c>
      <c r="AW82">
        <v>32439</v>
      </c>
    </row>
    <row r="83" spans="1:49"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831000000</v>
      </c>
      <c r="AE83">
        <v>1060000000</v>
      </c>
      <c r="AF83">
        <v>0</v>
      </c>
      <c r="AG83">
        <v>2333000000</v>
      </c>
      <c r="AH83">
        <v>-933000000</v>
      </c>
      <c r="AI83">
        <v>613000000</v>
      </c>
      <c r="AJ83">
        <v>0</v>
      </c>
      <c r="AK83">
        <v>1915000000</v>
      </c>
      <c r="AL83">
        <v>774000000</v>
      </c>
      <c r="AM83">
        <v>3930000000</v>
      </c>
      <c r="AN83">
        <v>1876000000</v>
      </c>
      <c r="AO83" s="9">
        <v>68576000000</v>
      </c>
      <c r="AP83">
        <v>0</v>
      </c>
      <c r="AQ83">
        <v>594800000</v>
      </c>
      <c r="AR83">
        <v>-335000000</v>
      </c>
      <c r="AS83">
        <v>0</v>
      </c>
      <c r="AT83">
        <v>0</v>
      </c>
      <c r="AV83" s="10" t="s">
        <v>474</v>
      </c>
      <c r="AW83">
        <v>32439</v>
      </c>
    </row>
    <row r="84" spans="1:49"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764000000</v>
      </c>
      <c r="AE84">
        <v>808000000</v>
      </c>
      <c r="AF84">
        <v>0</v>
      </c>
      <c r="AG84">
        <v>-140000000</v>
      </c>
      <c r="AH84">
        <v>-953000000</v>
      </c>
      <c r="AI84">
        <v>618000000</v>
      </c>
      <c r="AJ84">
        <v>0</v>
      </c>
      <c r="AK84">
        <v>1921000000</v>
      </c>
      <c r="AL84">
        <v>782000000</v>
      </c>
      <c r="AM84">
        <v>3699000000</v>
      </c>
      <c r="AN84">
        <v>1788000000</v>
      </c>
      <c r="AO84" s="9">
        <v>68647000000</v>
      </c>
      <c r="AP84">
        <v>0</v>
      </c>
      <c r="AQ84">
        <v>593200000</v>
      </c>
      <c r="AR84">
        <v>-327000000</v>
      </c>
      <c r="AS84">
        <v>0</v>
      </c>
      <c r="AT84">
        <v>0</v>
      </c>
      <c r="AV84" s="10" t="s">
        <v>474</v>
      </c>
      <c r="AW84">
        <v>32439</v>
      </c>
    </row>
    <row r="85" spans="1:49"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738000000</v>
      </c>
      <c r="AE85">
        <v>1266000000</v>
      </c>
      <c r="AF85">
        <v>250000000</v>
      </c>
      <c r="AG85">
        <v>4887000000</v>
      </c>
      <c r="AH85">
        <v>-999000000</v>
      </c>
      <c r="AI85">
        <v>624000000</v>
      </c>
      <c r="AJ85">
        <v>0</v>
      </c>
      <c r="AK85">
        <v>1860000000</v>
      </c>
      <c r="AL85">
        <v>787000000</v>
      </c>
      <c r="AM85">
        <v>3494000000</v>
      </c>
      <c r="AN85">
        <v>1848000000</v>
      </c>
      <c r="AO85" s="9">
        <v>69698000000</v>
      </c>
      <c r="AP85">
        <v>0</v>
      </c>
      <c r="AQ85">
        <v>595900000</v>
      </c>
      <c r="AR85">
        <v>-1044000000</v>
      </c>
      <c r="AS85">
        <v>0</v>
      </c>
      <c r="AT85">
        <v>0</v>
      </c>
      <c r="AV85" s="10" t="s">
        <v>474</v>
      </c>
      <c r="AW85">
        <v>29287</v>
      </c>
    </row>
    <row r="86" spans="1:49"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3788000000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row>
    <row r="87" spans="1:49"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row>
    <row r="88" spans="1:49"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row>
    <row r="89" spans="1:49"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-465000000</v>
      </c>
      <c r="X89">
        <v>0</v>
      </c>
      <c r="Y89">
        <v>-724000000</v>
      </c>
      <c r="Z89">
        <v>1728000000</v>
      </c>
      <c r="AA89">
        <v>27310000000</v>
      </c>
      <c r="AB89">
        <v>766000000</v>
      </c>
      <c r="AC89">
        <v>8656000000</v>
      </c>
      <c r="AD89">
        <v>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row>
    <row r="90" spans="1:49"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row>
    <row r="91" spans="1:49"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row>
    <row r="92" spans="1:49"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-1409000000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row>
    <row r="93" spans="1:49"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4720000000</v>
      </c>
      <c r="V93">
        <v>4295000000</v>
      </c>
      <c r="W93">
        <v>1243000000</v>
      </c>
      <c r="X93">
        <v>0</v>
      </c>
      <c r="Y93">
        <v>-520000000</v>
      </c>
      <c r="Z93">
        <v>1240000000</v>
      </c>
      <c r="AA93">
        <v>28778000000</v>
      </c>
      <c r="AB93">
        <v>41000000</v>
      </c>
      <c r="AC93">
        <v>8907000000</v>
      </c>
      <c r="AD93">
        <v>0</v>
      </c>
      <c r="AE93">
        <v>3923000000</v>
      </c>
      <c r="AF93">
        <v>0</v>
      </c>
      <c r="AG93">
        <v>1436000000</v>
      </c>
      <c r="AH93">
        <v>-1029000000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row>
    <row r="94" spans="1:49"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row>
    <row r="95" spans="1:49"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row>
    <row r="96" spans="1:49"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row>
    <row r="97" spans="1:49"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row>
    <row r="98" spans="1:49"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row>
    <row r="99" spans="1:49"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row>
    <row r="100" spans="1:49"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row>
    <row r="101" spans="1:49"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49"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49"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49"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49"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49"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49"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49"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49"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49"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49"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49"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69896300</v>
      </c>
      <c r="AT170">
        <v>932686350</v>
      </c>
      <c r="AU170">
        <v>20203700</v>
      </c>
      <c r="AV170" s="3" t="s">
        <v>473</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74872950</v>
      </c>
      <c r="AT171">
        <v>962323050</v>
      </c>
      <c r="AU171">
        <v>24660050</v>
      </c>
      <c r="AV171" s="3" t="s">
        <v>473</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80158350</v>
      </c>
      <c r="AT172">
        <v>993158100</v>
      </c>
      <c r="AU172">
        <v>25549650</v>
      </c>
      <c r="AV172" s="3" t="s">
        <v>473</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85622500</v>
      </c>
      <c r="AT173">
        <v>1022282750</v>
      </c>
      <c r="AU173">
        <v>23660500</v>
      </c>
      <c r="AV173" s="3" t="s">
        <v>473</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91124500</v>
      </c>
      <c r="AT174">
        <v>1046700250</v>
      </c>
      <c r="AU174">
        <v>18915500</v>
      </c>
      <c r="AV174" s="3" t="s">
        <v>473</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96563550</v>
      </c>
      <c r="AT175">
        <v>1064356750</v>
      </c>
      <c r="AU175">
        <v>12217450</v>
      </c>
      <c r="AV175" s="3" t="s">
        <v>473</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102441300</v>
      </c>
      <c r="AT176">
        <v>1085348200</v>
      </c>
      <c r="AU176">
        <v>15113700</v>
      </c>
      <c r="AV176" s="3" t="s">
        <v>473</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111016400</v>
      </c>
      <c r="AT177">
        <v>1154408900</v>
      </c>
      <c r="AU177">
        <v>60485600</v>
      </c>
      <c r="AV177" s="3" t="s">
        <v>473</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110752600</v>
      </c>
      <c r="AT178">
        <v>1178281500</v>
      </c>
      <c r="AU178">
        <v>24136400</v>
      </c>
      <c r="AV178" s="3" t="s">
        <v>473</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110496500</v>
      </c>
      <c r="AT179">
        <v>1202571900</v>
      </c>
      <c r="AU179">
        <v>24546500</v>
      </c>
      <c r="AV179" s="3" t="s">
        <v>473</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110697800</v>
      </c>
      <c r="AT180">
        <v>1236266400</v>
      </c>
      <c r="AU180">
        <v>33493200</v>
      </c>
      <c r="AV180" s="3" t="s">
        <v>473</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110867250</v>
      </c>
      <c r="AT181">
        <v>1269122600</v>
      </c>
      <c r="AU181">
        <v>32686750</v>
      </c>
      <c r="AV181" s="3" t="s">
        <v>473</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F183"/>
  <sheetViews>
    <sheetView topLeftCell="T66" workbookViewId="0">
      <selection activeCell="AD87" sqref="AD87:AF98"/>
    </sheetView>
  </sheetViews>
  <sheetFormatPr baseColWidth="10" defaultRowHeight="16" x14ac:dyDescent="0.2"/>
  <cols>
    <col min="2" max="2" width="8.6640625" bestFit="1" customWidth="1"/>
    <col min="3" max="3" width="28" customWidth="1"/>
    <col min="4" max="4" width="13.1640625" bestFit="1" customWidth="1"/>
    <col min="5" max="5" width="13.6640625" bestFit="1" customWidth="1"/>
    <col min="6" max="6" width="14.6640625" bestFit="1" customWidth="1"/>
    <col min="7" max="7" width="13.1640625" bestFit="1" customWidth="1"/>
    <col min="8" max="8" width="12.6640625" bestFit="1" customWidth="1"/>
    <col min="9" max="20" width="13.6640625" bestFit="1" customWidth="1"/>
    <col min="21" max="28" width="12.6640625" bestFit="1" customWidth="1"/>
    <col min="30" max="30" width="13.6640625" bestFit="1" customWidth="1"/>
    <col min="31" max="31" width="14.6640625" bestFit="1" customWidth="1"/>
    <col min="32" max="32" width="13.5" bestFit="1" customWidth="1"/>
  </cols>
  <sheetData>
    <row r="2" spans="1:32" x14ac:dyDescent="0.2">
      <c r="B2" t="s">
        <v>52</v>
      </c>
    </row>
    <row r="3" spans="1:32" x14ac:dyDescent="0.2">
      <c r="B3" s="6" t="s">
        <v>107</v>
      </c>
      <c r="C3" s="6" t="s">
        <v>439</v>
      </c>
      <c r="D3" s="6" t="s">
        <v>440</v>
      </c>
      <c r="E3" s="6" t="s">
        <v>471</v>
      </c>
      <c r="F3" s="6" t="s">
        <v>441</v>
      </c>
      <c r="G3" s="6" t="s">
        <v>442</v>
      </c>
      <c r="H3" s="15"/>
      <c r="I3" s="6" t="s">
        <v>443</v>
      </c>
      <c r="J3" s="6" t="s">
        <v>444</v>
      </c>
      <c r="K3" s="6" t="s">
        <v>445</v>
      </c>
      <c r="L3" s="6" t="s">
        <v>446</v>
      </c>
      <c r="M3" s="6" t="s">
        <v>447</v>
      </c>
      <c r="N3" s="6" t="s">
        <v>448</v>
      </c>
      <c r="O3" s="6" t="s">
        <v>449</v>
      </c>
      <c r="P3" s="6" t="s">
        <v>450</v>
      </c>
      <c r="Q3" s="6" t="s">
        <v>451</v>
      </c>
      <c r="R3" s="6" t="s">
        <v>452</v>
      </c>
      <c r="S3" s="6" t="s">
        <v>453</v>
      </c>
      <c r="T3" s="6" t="s">
        <v>454</v>
      </c>
      <c r="U3" s="6" t="s">
        <v>455</v>
      </c>
      <c r="V3" s="6" t="s">
        <v>456</v>
      </c>
      <c r="W3" s="6" t="s">
        <v>457</v>
      </c>
      <c r="X3" s="6" t="s">
        <v>458</v>
      </c>
      <c r="Y3" s="6" t="s">
        <v>459</v>
      </c>
      <c r="Z3" s="6" t="s">
        <v>460</v>
      </c>
      <c r="AA3" s="6" t="s">
        <v>461</v>
      </c>
      <c r="AB3" s="6" t="s">
        <v>462</v>
      </c>
      <c r="AC3" s="15"/>
      <c r="AD3" s="6" t="s">
        <v>106</v>
      </c>
      <c r="AE3" s="6" t="s">
        <v>105</v>
      </c>
      <c r="AF3" s="6" t="s">
        <v>463</v>
      </c>
    </row>
    <row r="4" spans="1:32" x14ac:dyDescent="0.2">
      <c r="B4" s="16" t="s">
        <v>464</v>
      </c>
      <c r="I4" s="17">
        <v>20</v>
      </c>
      <c r="J4" s="17">
        <v>19</v>
      </c>
      <c r="K4" s="17">
        <v>18</v>
      </c>
      <c r="L4" s="17">
        <v>17</v>
      </c>
      <c r="M4" s="17">
        <v>16</v>
      </c>
      <c r="N4" s="17">
        <v>15</v>
      </c>
      <c r="O4" s="17">
        <v>14</v>
      </c>
      <c r="P4" s="17">
        <v>13</v>
      </c>
      <c r="Q4" s="17">
        <v>12</v>
      </c>
      <c r="R4" s="17">
        <v>11</v>
      </c>
      <c r="S4" s="17">
        <v>10</v>
      </c>
      <c r="T4" s="17">
        <v>9</v>
      </c>
      <c r="U4" s="17">
        <v>8</v>
      </c>
      <c r="V4" s="17">
        <v>7</v>
      </c>
      <c r="W4" s="17">
        <v>6</v>
      </c>
      <c r="X4" s="17">
        <v>5</v>
      </c>
      <c r="Y4" s="17">
        <v>4</v>
      </c>
      <c r="Z4" s="17">
        <v>3</v>
      </c>
      <c r="AA4" s="17">
        <v>2</v>
      </c>
      <c r="AB4" s="17">
        <v>1</v>
      </c>
    </row>
    <row r="5" spans="1:32" x14ac:dyDescent="0.2">
      <c r="A5" t="s">
        <v>52</v>
      </c>
      <c r="B5" s="18" t="s">
        <v>100</v>
      </c>
      <c r="C5" s="4">
        <v>3924000000</v>
      </c>
      <c r="D5" s="4">
        <v>5268000000</v>
      </c>
      <c r="E5" s="4">
        <v>7339000000</v>
      </c>
      <c r="F5" s="19">
        <v>20</v>
      </c>
      <c r="G5" s="4">
        <v>1875000000</v>
      </c>
      <c r="I5" s="20">
        <f t="shared" ref="I5:I16" si="0">G5</f>
        <v>1875000000</v>
      </c>
      <c r="J5" s="20">
        <f>$E5/4</f>
        <v>1834750000</v>
      </c>
      <c r="K5" s="20">
        <f>$E5/4</f>
        <v>1834750000</v>
      </c>
      <c r="L5" s="20">
        <f>$E5/4</f>
        <v>1834750000</v>
      </c>
      <c r="M5" s="20">
        <f>$E5/4</f>
        <v>1834750000</v>
      </c>
      <c r="N5" s="20">
        <f>$D5/4</f>
        <v>1317000000</v>
      </c>
      <c r="O5" s="20">
        <f>$D5/4</f>
        <v>1317000000</v>
      </c>
      <c r="P5" s="20">
        <f>$D5/4</f>
        <v>1317000000</v>
      </c>
      <c r="Q5" s="20">
        <f>$D5/4</f>
        <v>1317000000</v>
      </c>
      <c r="R5" s="20">
        <f>$C5/4</f>
        <v>981000000</v>
      </c>
      <c r="S5" s="20">
        <f>$C5/4</f>
        <v>981000000</v>
      </c>
      <c r="T5" s="20">
        <f>$C5/4</f>
        <v>981000000</v>
      </c>
      <c r="U5" s="20">
        <f>$C5/4</f>
        <v>981000000</v>
      </c>
      <c r="V5" s="20">
        <v>0</v>
      </c>
      <c r="W5" s="20">
        <v>0</v>
      </c>
      <c r="X5" s="20">
        <v>0</v>
      </c>
      <c r="Y5" s="20">
        <v>0</v>
      </c>
      <c r="Z5" s="20">
        <v>0</v>
      </c>
      <c r="AA5" s="20">
        <v>0</v>
      </c>
      <c r="AB5" s="20">
        <v>0</v>
      </c>
      <c r="AD5" s="21">
        <f>SUM(I5:AB5)/$F5</f>
        <v>920300000</v>
      </c>
      <c r="AE5" s="21">
        <f>SUMPRODUCT($I$4:$AB$4,I5:AB5)/$F5</f>
        <v>13716425000</v>
      </c>
      <c r="AF5" s="21">
        <f t="shared" ref="AF5:AF16" si="1">G5-AD5</f>
        <v>954700000</v>
      </c>
    </row>
    <row r="6" spans="1:32" x14ac:dyDescent="0.2">
      <c r="A6" t="s">
        <v>52</v>
      </c>
      <c r="B6" s="18" t="s">
        <v>99</v>
      </c>
      <c r="C6" s="22">
        <f>$C5</f>
        <v>3924000000</v>
      </c>
      <c r="D6" s="22">
        <f>$D5</f>
        <v>5268000000</v>
      </c>
      <c r="E6" s="22">
        <f>$E5</f>
        <v>7339000000</v>
      </c>
      <c r="F6" s="23">
        <f>$F$5</f>
        <v>20</v>
      </c>
      <c r="G6" s="4">
        <v>2040000000</v>
      </c>
      <c r="I6" s="20">
        <f t="shared" si="0"/>
        <v>2040000000</v>
      </c>
      <c r="J6" s="20">
        <f t="shared" ref="J6:J16" si="2">G5</f>
        <v>1875000000</v>
      </c>
      <c r="K6" s="20">
        <f>$E5/4</f>
        <v>1834750000</v>
      </c>
      <c r="L6" s="20">
        <f>$E5/4</f>
        <v>1834750000</v>
      </c>
      <c r="M6" s="20">
        <f>$E5/4</f>
        <v>1834750000</v>
      </c>
      <c r="N6" s="20">
        <f>$E5/4</f>
        <v>1834750000</v>
      </c>
      <c r="O6" s="20">
        <f>$D5/4</f>
        <v>1317000000</v>
      </c>
      <c r="P6" s="20">
        <f>$D5/4</f>
        <v>1317000000</v>
      </c>
      <c r="Q6" s="20">
        <f>$D5/4</f>
        <v>1317000000</v>
      </c>
      <c r="R6" s="20">
        <f>$D5/4</f>
        <v>1317000000</v>
      </c>
      <c r="S6" s="20">
        <f>$C5/4</f>
        <v>981000000</v>
      </c>
      <c r="T6" s="20">
        <f>$C5/4</f>
        <v>981000000</v>
      </c>
      <c r="U6" s="20">
        <f>$C5/4</f>
        <v>981000000</v>
      </c>
      <c r="V6" s="20">
        <f>$C5/4</f>
        <v>981000000</v>
      </c>
      <c r="W6" s="20">
        <v>0</v>
      </c>
      <c r="X6" s="20">
        <v>0</v>
      </c>
      <c r="Y6" s="20">
        <v>0</v>
      </c>
      <c r="Z6" s="20">
        <v>0</v>
      </c>
      <c r="AA6" s="20">
        <v>0</v>
      </c>
      <c r="AB6" s="20">
        <v>0</v>
      </c>
      <c r="AD6" s="21">
        <f>SUM(I6:AB6)/$F6</f>
        <v>1022300000</v>
      </c>
      <c r="AE6" s="21">
        <f t="shared" ref="AE6:AE16" si="3">SUMPRODUCT($I$4:$AB$4,I6:AB6)/$F6</f>
        <v>14836125000</v>
      </c>
      <c r="AF6" s="21">
        <f t="shared" si="1"/>
        <v>1017700000</v>
      </c>
    </row>
    <row r="7" spans="1:32" x14ac:dyDescent="0.2">
      <c r="A7" t="s">
        <v>52</v>
      </c>
      <c r="B7" s="18" t="s">
        <v>98</v>
      </c>
      <c r="C7" s="22">
        <f>$C5</f>
        <v>3924000000</v>
      </c>
      <c r="D7" s="22">
        <f>$D5</f>
        <v>5268000000</v>
      </c>
      <c r="E7" s="22">
        <f>$E5</f>
        <v>7339000000</v>
      </c>
      <c r="F7" s="23">
        <f t="shared" ref="F7:F16" si="4">$F$5</f>
        <v>20</v>
      </c>
      <c r="G7" s="4">
        <v>2294000000</v>
      </c>
      <c r="I7" s="20">
        <f t="shared" si="0"/>
        <v>2294000000</v>
      </c>
      <c r="J7" s="20">
        <f t="shared" si="2"/>
        <v>2040000000</v>
      </c>
      <c r="K7" s="20">
        <f t="shared" ref="K7:K16" si="5">G5</f>
        <v>1875000000</v>
      </c>
      <c r="L7" s="20">
        <f>$E5/4</f>
        <v>1834750000</v>
      </c>
      <c r="M7" s="20">
        <f>$E5/4</f>
        <v>1834750000</v>
      </c>
      <c r="N7" s="20">
        <f>$E5/4</f>
        <v>1834750000</v>
      </c>
      <c r="O7" s="20">
        <f>$E5/4</f>
        <v>1834750000</v>
      </c>
      <c r="P7" s="20">
        <f>$D5/4</f>
        <v>1317000000</v>
      </c>
      <c r="Q7" s="20">
        <f>$D5/4</f>
        <v>1317000000</v>
      </c>
      <c r="R7" s="20">
        <f>$D5/4</f>
        <v>1317000000</v>
      </c>
      <c r="S7" s="20">
        <f>$D5/4</f>
        <v>1317000000</v>
      </c>
      <c r="T7" s="20">
        <f>$C5/4</f>
        <v>981000000</v>
      </c>
      <c r="U7" s="20">
        <f>$C5/4</f>
        <v>981000000</v>
      </c>
      <c r="V7" s="20">
        <f>$C5/4</f>
        <v>981000000</v>
      </c>
      <c r="W7" s="20">
        <f>$C5/4</f>
        <v>981000000</v>
      </c>
      <c r="X7" s="20">
        <v>0</v>
      </c>
      <c r="Y7" s="20">
        <v>0</v>
      </c>
      <c r="Z7" s="20">
        <v>0</v>
      </c>
      <c r="AA7" s="20">
        <v>0</v>
      </c>
      <c r="AB7" s="20">
        <v>0</v>
      </c>
      <c r="AD7" s="21">
        <f t="shared" ref="AD7:AD16" si="6">SUM(I7:AB7)/$F7</f>
        <v>1137000000</v>
      </c>
      <c r="AE7" s="21">
        <f t="shared" si="3"/>
        <v>16107825000</v>
      </c>
      <c r="AF7" s="21">
        <f t="shared" si="1"/>
        <v>1157000000</v>
      </c>
    </row>
    <row r="8" spans="1:32" x14ac:dyDescent="0.2">
      <c r="A8" t="s">
        <v>52</v>
      </c>
      <c r="B8" s="18" t="s">
        <v>97</v>
      </c>
      <c r="C8" s="22">
        <f>$C5</f>
        <v>3924000000</v>
      </c>
      <c r="D8" s="22">
        <f>$D5</f>
        <v>5268000000</v>
      </c>
      <c r="E8" s="22">
        <f>$E5</f>
        <v>7339000000</v>
      </c>
      <c r="F8" s="23">
        <f t="shared" si="4"/>
        <v>20</v>
      </c>
      <c r="G8" s="4">
        <v>2466000000</v>
      </c>
      <c r="I8" s="20">
        <f t="shared" si="0"/>
        <v>2466000000</v>
      </c>
      <c r="J8" s="20">
        <f t="shared" si="2"/>
        <v>2294000000</v>
      </c>
      <c r="K8" s="20">
        <f t="shared" si="5"/>
        <v>2040000000</v>
      </c>
      <c r="L8" s="20">
        <f t="shared" ref="L8:L16" si="7">G5</f>
        <v>1875000000</v>
      </c>
      <c r="M8" s="20">
        <f>$E5/4</f>
        <v>1834750000</v>
      </c>
      <c r="N8" s="20">
        <f>$E5/4</f>
        <v>1834750000</v>
      </c>
      <c r="O8" s="20">
        <f>$E5/4</f>
        <v>1834750000</v>
      </c>
      <c r="P8" s="20">
        <f>$E5/4</f>
        <v>1834750000</v>
      </c>
      <c r="Q8" s="20">
        <f>$D5/4</f>
        <v>1317000000</v>
      </c>
      <c r="R8" s="20">
        <f>$D5/4</f>
        <v>1317000000</v>
      </c>
      <c r="S8" s="20">
        <f>$D5/4</f>
        <v>1317000000</v>
      </c>
      <c r="T8" s="20">
        <f>$D5/4</f>
        <v>1317000000</v>
      </c>
      <c r="U8" s="20">
        <f>$C5/4</f>
        <v>981000000</v>
      </c>
      <c r="V8" s="20">
        <f>$C5/4</f>
        <v>981000000</v>
      </c>
      <c r="W8" s="20">
        <f>$C5/4</f>
        <v>981000000</v>
      </c>
      <c r="X8" s="20">
        <f>$C5/4</f>
        <v>981000000</v>
      </c>
      <c r="Y8" s="20">
        <v>0</v>
      </c>
      <c r="Z8" s="20">
        <v>0</v>
      </c>
      <c r="AA8" s="20">
        <v>0</v>
      </c>
      <c r="AB8" s="20">
        <v>0</v>
      </c>
      <c r="AD8" s="21">
        <f t="shared" si="6"/>
        <v>1260300000</v>
      </c>
      <c r="AE8" s="21">
        <f t="shared" si="3"/>
        <v>17436825000</v>
      </c>
      <c r="AF8" s="21">
        <f t="shared" si="1"/>
        <v>1205700000</v>
      </c>
    </row>
    <row r="9" spans="1:32" x14ac:dyDescent="0.2">
      <c r="A9" t="s">
        <v>52</v>
      </c>
      <c r="B9" s="18" t="s">
        <v>96</v>
      </c>
      <c r="C9" s="22">
        <f>$C5</f>
        <v>3924000000</v>
      </c>
      <c r="D9" s="22">
        <f>$D5</f>
        <v>5268000000</v>
      </c>
      <c r="E9" s="22">
        <f>$E5</f>
        <v>7339000000</v>
      </c>
      <c r="F9" s="23">
        <f t="shared" si="4"/>
        <v>20</v>
      </c>
      <c r="G9" s="4">
        <v>2720000000</v>
      </c>
      <c r="I9" s="20">
        <f t="shared" si="0"/>
        <v>2720000000</v>
      </c>
      <c r="J9" s="20">
        <f t="shared" si="2"/>
        <v>2466000000</v>
      </c>
      <c r="K9" s="20">
        <f t="shared" si="5"/>
        <v>2294000000</v>
      </c>
      <c r="L9" s="20">
        <f t="shared" si="7"/>
        <v>2040000000</v>
      </c>
      <c r="M9" s="20">
        <f t="shared" ref="M9:M16" si="8">G5</f>
        <v>1875000000</v>
      </c>
      <c r="N9" s="20">
        <f>$E5/4</f>
        <v>1834750000</v>
      </c>
      <c r="O9" s="20">
        <f>$E5/4</f>
        <v>1834750000</v>
      </c>
      <c r="P9" s="20">
        <f>$E5/4</f>
        <v>1834750000</v>
      </c>
      <c r="Q9" s="20">
        <f>$E5/4</f>
        <v>1834750000</v>
      </c>
      <c r="R9" s="20">
        <f>$D5/4</f>
        <v>1317000000</v>
      </c>
      <c r="S9" s="20">
        <f>$D5/4</f>
        <v>1317000000</v>
      </c>
      <c r="T9" s="20">
        <f>$D5/4</f>
        <v>1317000000</v>
      </c>
      <c r="U9" s="20">
        <f>$D5/4</f>
        <v>1317000000</v>
      </c>
      <c r="V9" s="20">
        <f>$C5/4</f>
        <v>981000000</v>
      </c>
      <c r="W9" s="20">
        <f>$C5/4</f>
        <v>981000000</v>
      </c>
      <c r="X9" s="20">
        <f>$C5/4</f>
        <v>981000000</v>
      </c>
      <c r="Y9" s="20">
        <f>$C5/4</f>
        <v>981000000</v>
      </c>
      <c r="Z9" s="20">
        <v>0</v>
      </c>
      <c r="AA9" s="20">
        <v>0</v>
      </c>
      <c r="AB9" s="20">
        <v>0</v>
      </c>
      <c r="AD9" s="21">
        <f t="shared" si="6"/>
        <v>1396300000</v>
      </c>
      <c r="AE9" s="21">
        <f t="shared" si="3"/>
        <v>18896525000</v>
      </c>
      <c r="AF9" s="21">
        <f t="shared" si="1"/>
        <v>1323700000</v>
      </c>
    </row>
    <row r="10" spans="1:32" x14ac:dyDescent="0.2">
      <c r="A10" t="s">
        <v>52</v>
      </c>
      <c r="B10" s="18" t="s">
        <v>95</v>
      </c>
      <c r="C10" s="22">
        <f>$C5</f>
        <v>3924000000</v>
      </c>
      <c r="D10" s="22">
        <f>$D5</f>
        <v>5268000000</v>
      </c>
      <c r="E10" s="22">
        <f>$E5</f>
        <v>7339000000</v>
      </c>
      <c r="F10" s="23">
        <f t="shared" si="4"/>
        <v>20</v>
      </c>
      <c r="G10" s="4">
        <v>3090000000</v>
      </c>
      <c r="I10" s="20">
        <f t="shared" si="0"/>
        <v>3090000000</v>
      </c>
      <c r="J10" s="20">
        <f t="shared" si="2"/>
        <v>2720000000</v>
      </c>
      <c r="K10" s="20">
        <f t="shared" si="5"/>
        <v>2466000000</v>
      </c>
      <c r="L10" s="20">
        <f t="shared" si="7"/>
        <v>2294000000</v>
      </c>
      <c r="M10" s="20">
        <f t="shared" si="8"/>
        <v>2040000000</v>
      </c>
      <c r="N10" s="20">
        <f t="shared" ref="N10:N16" si="9">G5</f>
        <v>1875000000</v>
      </c>
      <c r="O10" s="20">
        <f>$E5/4</f>
        <v>1834750000</v>
      </c>
      <c r="P10" s="20">
        <f>$E5/4</f>
        <v>1834750000</v>
      </c>
      <c r="Q10" s="20">
        <f>$E5/4</f>
        <v>1834750000</v>
      </c>
      <c r="R10" s="20">
        <f>$E5/4</f>
        <v>1834750000</v>
      </c>
      <c r="S10" s="20">
        <f>$D5/4</f>
        <v>1317000000</v>
      </c>
      <c r="T10" s="20">
        <f>$D5/4</f>
        <v>1317000000</v>
      </c>
      <c r="U10" s="20">
        <f>$D5/4</f>
        <v>1317000000</v>
      </c>
      <c r="V10" s="20">
        <f>$D5/4</f>
        <v>1317000000</v>
      </c>
      <c r="W10" s="20">
        <f>$C5/4</f>
        <v>981000000</v>
      </c>
      <c r="X10" s="20">
        <f>$C5/4</f>
        <v>981000000</v>
      </c>
      <c r="Y10" s="20">
        <f>$C5/4</f>
        <v>981000000</v>
      </c>
      <c r="Z10" s="20">
        <f>$C5/4</f>
        <v>981000000</v>
      </c>
      <c r="AA10" s="20">
        <v>0</v>
      </c>
      <c r="AB10" s="20">
        <v>0</v>
      </c>
      <c r="AD10" s="21">
        <f t="shared" si="6"/>
        <v>1550800000</v>
      </c>
      <c r="AE10" s="21">
        <f t="shared" si="3"/>
        <v>20590225000</v>
      </c>
      <c r="AF10" s="21">
        <f t="shared" si="1"/>
        <v>1539200000</v>
      </c>
    </row>
    <row r="11" spans="1:32" x14ac:dyDescent="0.2">
      <c r="A11" t="s">
        <v>52</v>
      </c>
      <c r="B11" s="18" t="s">
        <v>94</v>
      </c>
      <c r="C11" s="22">
        <f>$C5</f>
        <v>3924000000</v>
      </c>
      <c r="D11" s="22">
        <f>$D5</f>
        <v>5268000000</v>
      </c>
      <c r="E11" s="22">
        <f>$E5</f>
        <v>7339000000</v>
      </c>
      <c r="F11" s="23">
        <f t="shared" si="4"/>
        <v>20</v>
      </c>
      <c r="G11" s="4">
        <v>3390000000</v>
      </c>
      <c r="I11" s="20">
        <f t="shared" si="0"/>
        <v>3390000000</v>
      </c>
      <c r="J11" s="20">
        <f t="shared" si="2"/>
        <v>3090000000</v>
      </c>
      <c r="K11" s="20">
        <f t="shared" si="5"/>
        <v>2720000000</v>
      </c>
      <c r="L11" s="20">
        <f t="shared" si="7"/>
        <v>2466000000</v>
      </c>
      <c r="M11" s="20">
        <f t="shared" si="8"/>
        <v>2294000000</v>
      </c>
      <c r="N11" s="20">
        <f t="shared" si="9"/>
        <v>2040000000</v>
      </c>
      <c r="O11" s="20">
        <f t="shared" ref="O11:O16" si="10">G5</f>
        <v>1875000000</v>
      </c>
      <c r="P11" s="20">
        <f>$E5/4</f>
        <v>1834750000</v>
      </c>
      <c r="Q11" s="20">
        <f>$E5/4</f>
        <v>1834750000</v>
      </c>
      <c r="R11" s="20">
        <f>$E5/4</f>
        <v>1834750000</v>
      </c>
      <c r="S11" s="20">
        <f>$E5/4</f>
        <v>1834750000</v>
      </c>
      <c r="T11" s="20">
        <f>$D5/4</f>
        <v>1317000000</v>
      </c>
      <c r="U11" s="20">
        <f>$D5/4</f>
        <v>1317000000</v>
      </c>
      <c r="V11" s="20">
        <f>$D5/4</f>
        <v>1317000000</v>
      </c>
      <c r="W11" s="20">
        <f>$D5/4</f>
        <v>1317000000</v>
      </c>
      <c r="X11" s="20">
        <f>$C5/4</f>
        <v>981000000</v>
      </c>
      <c r="Y11" s="20">
        <f>$C5/4</f>
        <v>981000000</v>
      </c>
      <c r="Z11" s="20">
        <f>$C5/4</f>
        <v>981000000</v>
      </c>
      <c r="AA11" s="20">
        <f>$C5/4</f>
        <v>981000000</v>
      </c>
      <c r="AB11" s="20">
        <v>0</v>
      </c>
      <c r="AD11" s="21">
        <f t="shared" si="6"/>
        <v>1720300000</v>
      </c>
      <c r="AE11" s="21">
        <f t="shared" si="3"/>
        <v>22429425000</v>
      </c>
      <c r="AF11" s="21">
        <f t="shared" si="1"/>
        <v>1669700000</v>
      </c>
    </row>
    <row r="12" spans="1:32" x14ac:dyDescent="0.2">
      <c r="A12" t="s">
        <v>52</v>
      </c>
      <c r="B12" s="18" t="s">
        <v>93</v>
      </c>
      <c r="C12" s="22">
        <f>$C5</f>
        <v>3924000000</v>
      </c>
      <c r="D12" s="22">
        <f>$D5</f>
        <v>5268000000</v>
      </c>
      <c r="E12" s="22">
        <f>$E5</f>
        <v>7339000000</v>
      </c>
      <c r="F12" s="23">
        <f t="shared" si="4"/>
        <v>20</v>
      </c>
      <c r="G12" s="4">
        <v>6434000000</v>
      </c>
      <c r="I12" s="20">
        <f t="shared" si="0"/>
        <v>6434000000</v>
      </c>
      <c r="J12" s="20">
        <f t="shared" si="2"/>
        <v>3390000000</v>
      </c>
      <c r="K12" s="20">
        <f t="shared" si="5"/>
        <v>3090000000</v>
      </c>
      <c r="L12" s="20">
        <f t="shared" si="7"/>
        <v>2720000000</v>
      </c>
      <c r="M12" s="20">
        <f t="shared" si="8"/>
        <v>2466000000</v>
      </c>
      <c r="N12" s="20">
        <f t="shared" si="9"/>
        <v>2294000000</v>
      </c>
      <c r="O12" s="20">
        <f t="shared" si="10"/>
        <v>2040000000</v>
      </c>
      <c r="P12" s="20">
        <f>G5</f>
        <v>1875000000</v>
      </c>
      <c r="Q12" s="20">
        <f>$E5/4</f>
        <v>1834750000</v>
      </c>
      <c r="R12" s="20">
        <f>$E5/4</f>
        <v>1834750000</v>
      </c>
      <c r="S12" s="20">
        <f>$E5/4</f>
        <v>1834750000</v>
      </c>
      <c r="T12" s="20">
        <f>$E5/4</f>
        <v>1834750000</v>
      </c>
      <c r="U12" s="20">
        <f>$D5/4</f>
        <v>1317000000</v>
      </c>
      <c r="V12" s="20">
        <f>$D5/4</f>
        <v>1317000000</v>
      </c>
      <c r="W12" s="20">
        <f>$D5/4</f>
        <v>1317000000</v>
      </c>
      <c r="X12" s="20">
        <f>$D5/4</f>
        <v>1317000000</v>
      </c>
      <c r="Y12" s="20">
        <f>$C5/4</f>
        <v>981000000</v>
      </c>
      <c r="Z12" s="20">
        <f>$C5/4</f>
        <v>981000000</v>
      </c>
      <c r="AA12" s="20">
        <f>$C5/4</f>
        <v>981000000</v>
      </c>
      <c r="AB12" s="20">
        <f>$C5/4</f>
        <v>981000000</v>
      </c>
      <c r="AD12" s="21">
        <f t="shared" si="6"/>
        <v>2042000000</v>
      </c>
      <c r="AE12" s="21">
        <f t="shared" si="3"/>
        <v>27143125000</v>
      </c>
      <c r="AF12" s="21">
        <f t="shared" si="1"/>
        <v>4392000000</v>
      </c>
    </row>
    <row r="13" spans="1:32" x14ac:dyDescent="0.2">
      <c r="A13" t="s">
        <v>52</v>
      </c>
      <c r="B13" s="18" t="s">
        <v>141</v>
      </c>
      <c r="C13" s="22">
        <f>$C5</f>
        <v>3924000000</v>
      </c>
      <c r="D13" s="22">
        <f>$D5</f>
        <v>5268000000</v>
      </c>
      <c r="E13" s="22">
        <f>$E5</f>
        <v>7339000000</v>
      </c>
      <c r="F13" s="23">
        <f t="shared" si="4"/>
        <v>20</v>
      </c>
      <c r="G13" s="4">
        <v>3989000000</v>
      </c>
      <c r="I13" s="20">
        <f t="shared" si="0"/>
        <v>3989000000</v>
      </c>
      <c r="J13" s="20">
        <f t="shared" si="2"/>
        <v>6434000000</v>
      </c>
      <c r="K13" s="20">
        <f t="shared" si="5"/>
        <v>3390000000</v>
      </c>
      <c r="L13" s="20">
        <f t="shared" si="7"/>
        <v>3090000000</v>
      </c>
      <c r="M13" s="20">
        <f t="shared" si="8"/>
        <v>2720000000</v>
      </c>
      <c r="N13" s="20">
        <f t="shared" si="9"/>
        <v>2466000000</v>
      </c>
      <c r="O13" s="20">
        <f t="shared" si="10"/>
        <v>2294000000</v>
      </c>
      <c r="P13" s="20">
        <f>G6</f>
        <v>2040000000</v>
      </c>
      <c r="Q13" s="20">
        <f>G5</f>
        <v>1875000000</v>
      </c>
      <c r="R13" s="20">
        <f>$E5/4</f>
        <v>1834750000</v>
      </c>
      <c r="S13" s="20">
        <f>$E5/4</f>
        <v>1834750000</v>
      </c>
      <c r="T13" s="20">
        <f>$E5/4</f>
        <v>1834750000</v>
      </c>
      <c r="U13" s="20">
        <f>$E5/4</f>
        <v>1834750000</v>
      </c>
      <c r="V13" s="20">
        <f>$D5/4</f>
        <v>1317000000</v>
      </c>
      <c r="W13" s="20">
        <f>$D5/4</f>
        <v>1317000000</v>
      </c>
      <c r="X13" s="20">
        <f>$D5/4</f>
        <v>1317000000</v>
      </c>
      <c r="Y13" s="20">
        <f>$D5/4</f>
        <v>1317000000</v>
      </c>
      <c r="Z13" s="20">
        <f>$C5/4</f>
        <v>981000000</v>
      </c>
      <c r="AA13" s="20">
        <f>$C5/4</f>
        <v>981000000</v>
      </c>
      <c r="AB13" s="20">
        <f>$C5/4</f>
        <v>981000000</v>
      </c>
      <c r="AD13" s="21">
        <f t="shared" si="6"/>
        <v>2192400000</v>
      </c>
      <c r="AE13" s="21">
        <f t="shared" si="3"/>
        <v>29090125000</v>
      </c>
      <c r="AF13" s="21">
        <f t="shared" si="1"/>
        <v>1796600000</v>
      </c>
    </row>
    <row r="14" spans="1:32" x14ac:dyDescent="0.2">
      <c r="A14" t="s">
        <v>52</v>
      </c>
      <c r="B14" s="18" t="s">
        <v>160</v>
      </c>
      <c r="C14" s="22">
        <f>$C5</f>
        <v>3924000000</v>
      </c>
      <c r="D14" s="22">
        <f>$D5</f>
        <v>5268000000</v>
      </c>
      <c r="E14" s="22">
        <f>$E5</f>
        <v>7339000000</v>
      </c>
      <c r="F14" s="23">
        <f t="shared" si="4"/>
        <v>20</v>
      </c>
      <c r="G14" s="4">
        <v>4291000000</v>
      </c>
      <c r="I14" s="20">
        <f t="shared" si="0"/>
        <v>4291000000</v>
      </c>
      <c r="J14" s="20">
        <f t="shared" si="2"/>
        <v>3989000000</v>
      </c>
      <c r="K14" s="20">
        <f t="shared" si="5"/>
        <v>6434000000</v>
      </c>
      <c r="L14" s="20">
        <f t="shared" si="7"/>
        <v>3390000000</v>
      </c>
      <c r="M14" s="20">
        <f t="shared" si="8"/>
        <v>3090000000</v>
      </c>
      <c r="N14" s="20">
        <f t="shared" si="9"/>
        <v>2720000000</v>
      </c>
      <c r="O14" s="20">
        <f t="shared" si="10"/>
        <v>2466000000</v>
      </c>
      <c r="P14" s="20">
        <f>G7</f>
        <v>2294000000</v>
      </c>
      <c r="Q14" s="20">
        <f>G6</f>
        <v>2040000000</v>
      </c>
      <c r="R14" s="20">
        <f>G5</f>
        <v>1875000000</v>
      </c>
      <c r="S14" s="20">
        <f>$E5/4</f>
        <v>1834750000</v>
      </c>
      <c r="T14" s="20">
        <f>$E5/4</f>
        <v>1834750000</v>
      </c>
      <c r="U14" s="20">
        <f>$E5/4</f>
        <v>1834750000</v>
      </c>
      <c r="V14" s="20">
        <f>$E5/4</f>
        <v>1834750000</v>
      </c>
      <c r="W14" s="20">
        <f>$D5/4</f>
        <v>1317000000</v>
      </c>
      <c r="X14" s="20">
        <f>$D5/4</f>
        <v>1317000000</v>
      </c>
      <c r="Y14" s="20">
        <f>$D5/4</f>
        <v>1317000000</v>
      </c>
      <c r="Z14" s="20">
        <f>$D5/4</f>
        <v>1317000000</v>
      </c>
      <c r="AA14" s="20">
        <f>$C5/4</f>
        <v>981000000</v>
      </c>
      <c r="AB14" s="20">
        <f>$C5/4</f>
        <v>981000000</v>
      </c>
      <c r="AD14" s="21">
        <f t="shared" si="6"/>
        <v>2357900000</v>
      </c>
      <c r="AE14" s="21">
        <f t="shared" si="3"/>
        <v>31188725000</v>
      </c>
      <c r="AF14" s="21">
        <f t="shared" si="1"/>
        <v>1933100000</v>
      </c>
    </row>
    <row r="15" spans="1:32" x14ac:dyDescent="0.2">
      <c r="A15" t="s">
        <v>52</v>
      </c>
      <c r="B15" s="18" t="s">
        <v>161</v>
      </c>
      <c r="C15" s="22">
        <f>$C5</f>
        <v>3924000000</v>
      </c>
      <c r="D15" s="22">
        <f>$D5</f>
        <v>5268000000</v>
      </c>
      <c r="E15" s="22">
        <f>$E5</f>
        <v>7339000000</v>
      </c>
      <c r="F15" s="23">
        <f t="shared" si="4"/>
        <v>20</v>
      </c>
      <c r="G15" s="4">
        <v>4705000000</v>
      </c>
      <c r="I15" s="20">
        <f t="shared" si="0"/>
        <v>4705000000</v>
      </c>
      <c r="J15" s="20">
        <f t="shared" si="2"/>
        <v>4291000000</v>
      </c>
      <c r="K15" s="20">
        <f t="shared" si="5"/>
        <v>3989000000</v>
      </c>
      <c r="L15" s="20">
        <f t="shared" si="7"/>
        <v>6434000000</v>
      </c>
      <c r="M15" s="20">
        <f t="shared" si="8"/>
        <v>3390000000</v>
      </c>
      <c r="N15" s="20">
        <f t="shared" si="9"/>
        <v>3090000000</v>
      </c>
      <c r="O15" s="20">
        <f t="shared" si="10"/>
        <v>2720000000</v>
      </c>
      <c r="P15" s="20">
        <f>G8</f>
        <v>2466000000</v>
      </c>
      <c r="Q15" s="20">
        <f>G7</f>
        <v>2294000000</v>
      </c>
      <c r="R15" s="20">
        <f>G6</f>
        <v>2040000000</v>
      </c>
      <c r="S15" s="20">
        <f>G5</f>
        <v>1875000000</v>
      </c>
      <c r="T15" s="20">
        <f>$E5/4</f>
        <v>1834750000</v>
      </c>
      <c r="U15" s="20">
        <f>$E5/4</f>
        <v>1834750000</v>
      </c>
      <c r="V15" s="20">
        <f>$E5/4</f>
        <v>1834750000</v>
      </c>
      <c r="W15" s="20">
        <f>$E5/4</f>
        <v>1834750000</v>
      </c>
      <c r="X15" s="20">
        <f>$D5/4</f>
        <v>1317000000</v>
      </c>
      <c r="Y15" s="20">
        <f>$D5/4</f>
        <v>1317000000</v>
      </c>
      <c r="Z15" s="20">
        <f>$D5/4</f>
        <v>1317000000</v>
      </c>
      <c r="AA15" s="20">
        <f>$D5/4</f>
        <v>1317000000</v>
      </c>
      <c r="AB15" s="20">
        <f>$C5/4</f>
        <v>981000000</v>
      </c>
      <c r="AD15" s="21">
        <f t="shared" si="6"/>
        <v>2544100000</v>
      </c>
      <c r="AE15" s="21">
        <f t="shared" si="3"/>
        <v>33535825000</v>
      </c>
      <c r="AF15" s="21">
        <f t="shared" si="1"/>
        <v>2160900000</v>
      </c>
    </row>
    <row r="16" spans="1:32" x14ac:dyDescent="0.2">
      <c r="A16" t="s">
        <v>52</v>
      </c>
      <c r="B16" s="18" t="s">
        <v>162</v>
      </c>
      <c r="C16" s="22">
        <f>$C5</f>
        <v>3924000000</v>
      </c>
      <c r="D16" s="22">
        <f>$D5</f>
        <v>5268000000</v>
      </c>
      <c r="E16" s="22">
        <f>$E5</f>
        <v>7339000000</v>
      </c>
      <c r="F16" s="23">
        <f t="shared" si="4"/>
        <v>20</v>
      </c>
      <c r="G16" s="4">
        <v>5512000000</v>
      </c>
      <c r="I16" s="20">
        <f t="shared" si="0"/>
        <v>5512000000</v>
      </c>
      <c r="J16" s="20">
        <f t="shared" si="2"/>
        <v>4705000000</v>
      </c>
      <c r="K16" s="20">
        <f t="shared" si="5"/>
        <v>4291000000</v>
      </c>
      <c r="L16" s="20">
        <f t="shared" si="7"/>
        <v>3989000000</v>
      </c>
      <c r="M16" s="20">
        <f t="shared" si="8"/>
        <v>6434000000</v>
      </c>
      <c r="N16" s="20">
        <f t="shared" si="9"/>
        <v>3390000000</v>
      </c>
      <c r="O16" s="20">
        <f t="shared" si="10"/>
        <v>3090000000</v>
      </c>
      <c r="P16" s="20">
        <f>G9</f>
        <v>2720000000</v>
      </c>
      <c r="Q16" s="20">
        <f>G8</f>
        <v>2466000000</v>
      </c>
      <c r="R16" s="20">
        <f>G7</f>
        <v>2294000000</v>
      </c>
      <c r="S16" s="20">
        <f>G6</f>
        <v>2040000000</v>
      </c>
      <c r="T16" s="20">
        <f>G5</f>
        <v>1875000000</v>
      </c>
      <c r="U16" s="20">
        <f>$E5/4</f>
        <v>1834750000</v>
      </c>
      <c r="V16" s="20">
        <f>$E5/4</f>
        <v>1834750000</v>
      </c>
      <c r="W16" s="20">
        <f>$E5/4</f>
        <v>1834750000</v>
      </c>
      <c r="X16" s="20">
        <f>$E5/4</f>
        <v>1834750000</v>
      </c>
      <c r="Y16" s="20">
        <f>$D5/4</f>
        <v>1317000000</v>
      </c>
      <c r="Z16" s="20">
        <f>$D5/4</f>
        <v>1317000000</v>
      </c>
      <c r="AA16" s="20">
        <f>$D5/4</f>
        <v>1317000000</v>
      </c>
      <c r="AB16" s="20">
        <f>$D5/4</f>
        <v>1317000000</v>
      </c>
      <c r="AD16" s="21">
        <f t="shared" si="6"/>
        <v>2770650000</v>
      </c>
      <c r="AE16" s="21">
        <f t="shared" si="3"/>
        <v>36503725000</v>
      </c>
      <c r="AF16" s="21">
        <f t="shared" si="1"/>
        <v>2741350000</v>
      </c>
    </row>
    <row r="17" spans="1:32" ht="18" customHeight="1" x14ac:dyDescent="0.2"/>
    <row r="18" spans="1:32" x14ac:dyDescent="0.2">
      <c r="B18" t="s">
        <v>77</v>
      </c>
    </row>
    <row r="19" spans="1:32" x14ac:dyDescent="0.2">
      <c r="B19" s="6" t="s">
        <v>107</v>
      </c>
      <c r="C19" s="6" t="s">
        <v>438</v>
      </c>
      <c r="D19" s="6" t="s">
        <v>439</v>
      </c>
      <c r="E19" s="6" t="s">
        <v>440</v>
      </c>
      <c r="F19" s="6" t="s">
        <v>441</v>
      </c>
      <c r="G19" s="6" t="s">
        <v>442</v>
      </c>
      <c r="H19" s="15"/>
      <c r="I19" s="6" t="s">
        <v>443</v>
      </c>
      <c r="J19" s="6" t="s">
        <v>444</v>
      </c>
      <c r="K19" s="6" t="s">
        <v>445</v>
      </c>
      <c r="L19" s="6" t="s">
        <v>446</v>
      </c>
      <c r="M19" s="6" t="s">
        <v>447</v>
      </c>
      <c r="N19" s="6" t="s">
        <v>448</v>
      </c>
      <c r="O19" s="6" t="s">
        <v>449</v>
      </c>
      <c r="P19" s="6" t="s">
        <v>450</v>
      </c>
      <c r="Q19" s="6" t="s">
        <v>451</v>
      </c>
      <c r="R19" s="6" t="s">
        <v>452</v>
      </c>
      <c r="S19" s="6" t="s">
        <v>453</v>
      </c>
      <c r="T19" s="6" t="s">
        <v>454</v>
      </c>
      <c r="U19" s="6" t="s">
        <v>455</v>
      </c>
      <c r="V19" s="6" t="s">
        <v>456</v>
      </c>
      <c r="W19" s="6" t="s">
        <v>457</v>
      </c>
      <c r="X19" s="6" t="s">
        <v>458</v>
      </c>
      <c r="Y19" s="6" t="s">
        <v>459</v>
      </c>
      <c r="Z19" s="6" t="s">
        <v>460</v>
      </c>
      <c r="AA19" s="6" t="s">
        <v>461</v>
      </c>
      <c r="AB19" s="6" t="s">
        <v>462</v>
      </c>
      <c r="AC19" s="15"/>
      <c r="AD19" s="6" t="s">
        <v>106</v>
      </c>
      <c r="AE19" s="6" t="s">
        <v>105</v>
      </c>
      <c r="AF19" s="6" t="s">
        <v>463</v>
      </c>
    </row>
    <row r="20" spans="1:32" x14ac:dyDescent="0.2">
      <c r="B20" s="16" t="s">
        <v>464</v>
      </c>
      <c r="I20" s="17">
        <v>20</v>
      </c>
      <c r="J20" s="17">
        <v>19</v>
      </c>
      <c r="K20" s="17">
        <v>18</v>
      </c>
      <c r="L20" s="17">
        <v>17</v>
      </c>
      <c r="M20" s="17">
        <v>16</v>
      </c>
      <c r="N20" s="17">
        <v>15</v>
      </c>
      <c r="O20" s="17">
        <v>14</v>
      </c>
      <c r="P20" s="17">
        <v>13</v>
      </c>
      <c r="Q20" s="17">
        <v>12</v>
      </c>
      <c r="R20" s="17">
        <v>11</v>
      </c>
      <c r="S20" s="17">
        <v>10</v>
      </c>
      <c r="T20" s="17">
        <v>9</v>
      </c>
      <c r="U20" s="17">
        <v>8</v>
      </c>
      <c r="V20" s="17">
        <v>7</v>
      </c>
      <c r="W20" s="17">
        <v>6</v>
      </c>
      <c r="X20" s="17">
        <v>5</v>
      </c>
      <c r="Y20" s="17">
        <v>4</v>
      </c>
      <c r="Z20" s="17">
        <v>3</v>
      </c>
      <c r="AA20" s="17">
        <v>2</v>
      </c>
      <c r="AB20" s="17">
        <v>1</v>
      </c>
    </row>
    <row r="21" spans="1:32" x14ac:dyDescent="0.2">
      <c r="A21" t="s">
        <v>77</v>
      </c>
      <c r="B21" s="18" t="s">
        <v>104</v>
      </c>
      <c r="C21" s="4">
        <v>113000000</v>
      </c>
      <c r="D21" s="4">
        <v>124000000</v>
      </c>
      <c r="E21" s="4">
        <v>124000000</v>
      </c>
      <c r="F21" s="19">
        <v>20</v>
      </c>
      <c r="G21" s="4">
        <v>33000000</v>
      </c>
      <c r="I21" s="20">
        <f t="shared" ref="I21:I32" si="11">G21</f>
        <v>33000000</v>
      </c>
      <c r="J21" s="20">
        <f>$E21/4</f>
        <v>31000000</v>
      </c>
      <c r="K21" s="20">
        <f>$E21/4</f>
        <v>31000000</v>
      </c>
      <c r="L21" s="20">
        <f>$E21/4</f>
        <v>31000000</v>
      </c>
      <c r="M21" s="20">
        <f>$E21/4</f>
        <v>31000000</v>
      </c>
      <c r="N21" s="20">
        <f>$D21/4</f>
        <v>31000000</v>
      </c>
      <c r="O21" s="20">
        <f>$D21/4</f>
        <v>31000000</v>
      </c>
      <c r="P21" s="20">
        <f>$D21/4</f>
        <v>31000000</v>
      </c>
      <c r="Q21" s="20">
        <f>$D21/4</f>
        <v>31000000</v>
      </c>
      <c r="R21" s="20">
        <f>$C21/4</f>
        <v>28250000</v>
      </c>
      <c r="S21" s="20">
        <f>$C21/4</f>
        <v>28250000</v>
      </c>
      <c r="T21" s="20">
        <f>$C21/4</f>
        <v>28250000</v>
      </c>
      <c r="U21" s="20">
        <f>$C21/4</f>
        <v>28250000</v>
      </c>
      <c r="V21" s="20">
        <v>0</v>
      </c>
      <c r="W21" s="20">
        <v>0</v>
      </c>
      <c r="X21" s="20">
        <v>0</v>
      </c>
      <c r="Y21" s="20">
        <v>0</v>
      </c>
      <c r="Z21" s="20">
        <v>0</v>
      </c>
      <c r="AA21" s="20">
        <v>0</v>
      </c>
      <c r="AB21" s="20">
        <v>0</v>
      </c>
      <c r="AD21" s="21">
        <f>SUM(I21:AB21)/$F21</f>
        <v>19700000</v>
      </c>
      <c r="AE21" s="21">
        <f>SUMPRODUCT($I$20:$AB$20,I21:AB21)/$F21</f>
        <v>278875000</v>
      </c>
      <c r="AF21" s="21">
        <f t="shared" ref="AF21:AF32" si="12">G21-AD21</f>
        <v>13300000</v>
      </c>
    </row>
    <row r="22" spans="1:32" x14ac:dyDescent="0.2">
      <c r="A22" t="s">
        <v>77</v>
      </c>
      <c r="B22" s="18" t="s">
        <v>103</v>
      </c>
      <c r="C22" s="22">
        <f>$C21</f>
        <v>113000000</v>
      </c>
      <c r="D22" s="22">
        <f>$D21</f>
        <v>124000000</v>
      </c>
      <c r="E22" s="22">
        <f>$E21</f>
        <v>124000000</v>
      </c>
      <c r="F22" s="23">
        <f>$F$21</f>
        <v>20</v>
      </c>
      <c r="G22" s="4">
        <v>32000000</v>
      </c>
      <c r="I22" s="20">
        <f t="shared" si="11"/>
        <v>32000000</v>
      </c>
      <c r="J22" s="20">
        <f t="shared" ref="J22:J32" si="13">G21</f>
        <v>33000000</v>
      </c>
      <c r="K22" s="20">
        <f>$E21/4</f>
        <v>31000000</v>
      </c>
      <c r="L22" s="20">
        <f>$E21/4</f>
        <v>31000000</v>
      </c>
      <c r="M22" s="20">
        <f>$E21/4</f>
        <v>31000000</v>
      </c>
      <c r="N22" s="20">
        <f>$E21/4</f>
        <v>31000000</v>
      </c>
      <c r="O22" s="20">
        <f>$D21/4</f>
        <v>31000000</v>
      </c>
      <c r="P22" s="20">
        <f>$D21/4</f>
        <v>31000000</v>
      </c>
      <c r="Q22" s="20">
        <f>$D21/4</f>
        <v>31000000</v>
      </c>
      <c r="R22" s="20">
        <f>$D21/4</f>
        <v>31000000</v>
      </c>
      <c r="S22" s="20">
        <f>$C21/4</f>
        <v>28250000</v>
      </c>
      <c r="T22" s="20">
        <f>$C21/4</f>
        <v>28250000</v>
      </c>
      <c r="U22" s="20">
        <f>$C21/4</f>
        <v>28250000</v>
      </c>
      <c r="V22" s="20">
        <f>$C21/4</f>
        <v>28250000</v>
      </c>
      <c r="W22" s="20">
        <v>0</v>
      </c>
      <c r="X22" s="20">
        <v>0</v>
      </c>
      <c r="Y22" s="20">
        <v>0</v>
      </c>
      <c r="Z22" s="20">
        <v>0</v>
      </c>
      <c r="AA22" s="20">
        <v>0</v>
      </c>
      <c r="AB22" s="20">
        <v>0</v>
      </c>
      <c r="AD22" s="21">
        <f t="shared" ref="AD22:AD32" si="14">SUM(I22:AB22)/$F22</f>
        <v>21300000</v>
      </c>
      <c r="AE22" s="21">
        <f t="shared" ref="AE22:AE32" si="15">SUMPRODUCT($I$20:$AB$20,I22:AB22)/$F22</f>
        <v>291175000</v>
      </c>
      <c r="AF22" s="21">
        <f t="shared" si="12"/>
        <v>10700000</v>
      </c>
    </row>
    <row r="23" spans="1:32" x14ac:dyDescent="0.2">
      <c r="A23" t="s">
        <v>77</v>
      </c>
      <c r="B23" s="18" t="s">
        <v>102</v>
      </c>
      <c r="C23" s="22">
        <f>$C21</f>
        <v>113000000</v>
      </c>
      <c r="D23" s="22">
        <f>$D21</f>
        <v>124000000</v>
      </c>
      <c r="E23" s="22">
        <f>$E21</f>
        <v>124000000</v>
      </c>
      <c r="F23" s="23">
        <f t="shared" ref="F23:F32" si="16">$F$21</f>
        <v>20</v>
      </c>
      <c r="G23" s="4">
        <v>31000000</v>
      </c>
      <c r="I23" s="20">
        <f t="shared" si="11"/>
        <v>31000000</v>
      </c>
      <c r="J23" s="20">
        <f t="shared" si="13"/>
        <v>32000000</v>
      </c>
      <c r="K23" s="20">
        <f t="shared" ref="K23:K32" si="17">G21</f>
        <v>33000000</v>
      </c>
      <c r="L23" s="20">
        <f>$E21/4</f>
        <v>31000000</v>
      </c>
      <c r="M23" s="20">
        <f>$E21/4</f>
        <v>31000000</v>
      </c>
      <c r="N23" s="20">
        <f>$E21/4</f>
        <v>31000000</v>
      </c>
      <c r="O23" s="20">
        <f>$E21/4</f>
        <v>31000000</v>
      </c>
      <c r="P23" s="20">
        <f>$D21/4</f>
        <v>31000000</v>
      </c>
      <c r="Q23" s="20">
        <f>$D21/4</f>
        <v>31000000</v>
      </c>
      <c r="R23" s="20">
        <f>$D21/4</f>
        <v>31000000</v>
      </c>
      <c r="S23" s="20">
        <f>$D21/4</f>
        <v>31000000</v>
      </c>
      <c r="T23" s="20">
        <f>$C21/4</f>
        <v>28250000</v>
      </c>
      <c r="U23" s="20">
        <f>$C21/4</f>
        <v>28250000</v>
      </c>
      <c r="V23" s="20">
        <f>$C21/4</f>
        <v>28250000</v>
      </c>
      <c r="W23" s="20">
        <f>$C21/4</f>
        <v>28250000</v>
      </c>
      <c r="X23" s="20">
        <v>0</v>
      </c>
      <c r="Y23" s="20">
        <v>0</v>
      </c>
      <c r="Z23" s="20">
        <v>0</v>
      </c>
      <c r="AA23" s="20">
        <v>0</v>
      </c>
      <c r="AB23" s="20">
        <v>0</v>
      </c>
      <c r="AD23" s="21">
        <f t="shared" si="14"/>
        <v>22850000</v>
      </c>
      <c r="AE23" s="21">
        <f t="shared" si="15"/>
        <v>300875000</v>
      </c>
      <c r="AF23" s="21">
        <f t="shared" si="12"/>
        <v>8150000</v>
      </c>
    </row>
    <row r="24" spans="1:32" x14ac:dyDescent="0.2">
      <c r="A24" t="s">
        <v>77</v>
      </c>
      <c r="B24" s="18" t="s">
        <v>101</v>
      </c>
      <c r="C24" s="22">
        <f>$C21</f>
        <v>113000000</v>
      </c>
      <c r="D24" s="22">
        <f>$D21</f>
        <v>124000000</v>
      </c>
      <c r="E24" s="22">
        <f>$E21</f>
        <v>124000000</v>
      </c>
      <c r="F24" s="23">
        <f t="shared" si="16"/>
        <v>20</v>
      </c>
      <c r="G24" s="4">
        <v>34000000</v>
      </c>
      <c r="I24" s="20">
        <f t="shared" si="11"/>
        <v>34000000</v>
      </c>
      <c r="J24" s="20">
        <f t="shared" si="13"/>
        <v>31000000</v>
      </c>
      <c r="K24" s="20">
        <f t="shared" si="17"/>
        <v>32000000</v>
      </c>
      <c r="L24" s="20">
        <f t="shared" ref="L24:L32" si="18">G21</f>
        <v>33000000</v>
      </c>
      <c r="M24" s="20">
        <f>$E21/4</f>
        <v>31000000</v>
      </c>
      <c r="N24" s="20">
        <f>$E21/4</f>
        <v>31000000</v>
      </c>
      <c r="O24" s="20">
        <f>$E21/4</f>
        <v>31000000</v>
      </c>
      <c r="P24" s="20">
        <f>$E21/4</f>
        <v>31000000</v>
      </c>
      <c r="Q24" s="20">
        <f>$D21/4</f>
        <v>31000000</v>
      </c>
      <c r="R24" s="20">
        <f>$D21/4</f>
        <v>31000000</v>
      </c>
      <c r="S24" s="20">
        <f>$D21/4</f>
        <v>31000000</v>
      </c>
      <c r="T24" s="20">
        <f>$D21/4</f>
        <v>31000000</v>
      </c>
      <c r="U24" s="20">
        <f>$C21/4</f>
        <v>28250000</v>
      </c>
      <c r="V24" s="20">
        <f>$C21/4</f>
        <v>28250000</v>
      </c>
      <c r="W24" s="20">
        <f>$C21/4</f>
        <v>28250000</v>
      </c>
      <c r="X24" s="20">
        <f>$C21/4</f>
        <v>28250000</v>
      </c>
      <c r="Y24" s="20">
        <v>0</v>
      </c>
      <c r="Z24" s="20">
        <v>0</v>
      </c>
      <c r="AA24" s="20">
        <v>0</v>
      </c>
      <c r="AB24" s="20">
        <v>0</v>
      </c>
      <c r="AD24" s="21">
        <f t="shared" si="14"/>
        <v>24550000</v>
      </c>
      <c r="AE24" s="21">
        <f t="shared" si="15"/>
        <v>312025000</v>
      </c>
      <c r="AF24" s="21">
        <f t="shared" si="12"/>
        <v>9450000</v>
      </c>
    </row>
    <row r="25" spans="1:32" x14ac:dyDescent="0.2">
      <c r="A25" t="s">
        <v>77</v>
      </c>
      <c r="B25" s="18" t="s">
        <v>100</v>
      </c>
      <c r="C25" s="22">
        <f>$C21</f>
        <v>113000000</v>
      </c>
      <c r="D25" s="22">
        <f>$D21</f>
        <v>124000000</v>
      </c>
      <c r="E25" s="22">
        <f>$E21</f>
        <v>124000000</v>
      </c>
      <c r="F25" s="23">
        <f t="shared" si="16"/>
        <v>20</v>
      </c>
      <c r="G25" s="4">
        <v>32000000</v>
      </c>
      <c r="I25" s="20">
        <f t="shared" si="11"/>
        <v>32000000</v>
      </c>
      <c r="J25" s="20">
        <f t="shared" si="13"/>
        <v>34000000</v>
      </c>
      <c r="K25" s="20">
        <f t="shared" si="17"/>
        <v>31000000</v>
      </c>
      <c r="L25" s="20">
        <f t="shared" si="18"/>
        <v>32000000</v>
      </c>
      <c r="M25" s="20">
        <f t="shared" ref="M25:M32" si="19">G21</f>
        <v>33000000</v>
      </c>
      <c r="N25" s="20">
        <f>$E21/4</f>
        <v>31000000</v>
      </c>
      <c r="O25" s="20">
        <f>$E21/4</f>
        <v>31000000</v>
      </c>
      <c r="P25" s="20">
        <f>$E21/4</f>
        <v>31000000</v>
      </c>
      <c r="Q25" s="20">
        <f>$E21/4</f>
        <v>31000000</v>
      </c>
      <c r="R25" s="20">
        <f>$D21/4</f>
        <v>31000000</v>
      </c>
      <c r="S25" s="20">
        <f>$D21/4</f>
        <v>31000000</v>
      </c>
      <c r="T25" s="20">
        <f>$D21/4</f>
        <v>31000000</v>
      </c>
      <c r="U25" s="20">
        <f>$D21/4</f>
        <v>31000000</v>
      </c>
      <c r="V25" s="20">
        <f>$C21/4</f>
        <v>28250000</v>
      </c>
      <c r="W25" s="20">
        <f>$C21/4</f>
        <v>28250000</v>
      </c>
      <c r="X25" s="20">
        <f>$C21/4</f>
        <v>28250000</v>
      </c>
      <c r="Y25" s="20">
        <f>$C21/4</f>
        <v>28250000</v>
      </c>
      <c r="Z25" s="20">
        <v>0</v>
      </c>
      <c r="AA25" s="20">
        <v>0</v>
      </c>
      <c r="AB25" s="20">
        <v>0</v>
      </c>
      <c r="AD25" s="21">
        <f t="shared" si="14"/>
        <v>26150000</v>
      </c>
      <c r="AE25" s="21">
        <f t="shared" si="15"/>
        <v>319475000</v>
      </c>
      <c r="AF25" s="21">
        <f t="shared" si="12"/>
        <v>5850000</v>
      </c>
    </row>
    <row r="26" spans="1:32" x14ac:dyDescent="0.2">
      <c r="A26" t="s">
        <v>77</v>
      </c>
      <c r="B26" s="18" t="s">
        <v>99</v>
      </c>
      <c r="C26" s="22">
        <f>$C21</f>
        <v>113000000</v>
      </c>
      <c r="D26" s="22">
        <f>$D21</f>
        <v>124000000</v>
      </c>
      <c r="E26" s="22">
        <f>$E21</f>
        <v>124000000</v>
      </c>
      <c r="F26" s="23">
        <f t="shared" si="16"/>
        <v>20</v>
      </c>
      <c r="G26" s="4">
        <v>33000000</v>
      </c>
      <c r="I26" s="20">
        <f t="shared" si="11"/>
        <v>33000000</v>
      </c>
      <c r="J26" s="20">
        <f t="shared" si="13"/>
        <v>32000000</v>
      </c>
      <c r="K26" s="20">
        <f t="shared" si="17"/>
        <v>34000000</v>
      </c>
      <c r="L26" s="20">
        <f t="shared" si="18"/>
        <v>31000000</v>
      </c>
      <c r="M26" s="20">
        <f t="shared" si="19"/>
        <v>32000000</v>
      </c>
      <c r="N26" s="20">
        <f t="shared" ref="N26:N32" si="20">G21</f>
        <v>33000000</v>
      </c>
      <c r="O26" s="20">
        <f>$E21/4</f>
        <v>31000000</v>
      </c>
      <c r="P26" s="20">
        <f>$E21/4</f>
        <v>31000000</v>
      </c>
      <c r="Q26" s="20">
        <f>$E21/4</f>
        <v>31000000</v>
      </c>
      <c r="R26" s="20">
        <f>$E21/4</f>
        <v>31000000</v>
      </c>
      <c r="S26" s="20">
        <f>$D21/4</f>
        <v>31000000</v>
      </c>
      <c r="T26" s="20">
        <f>$D21/4</f>
        <v>31000000</v>
      </c>
      <c r="U26" s="20">
        <f>$D21/4</f>
        <v>31000000</v>
      </c>
      <c r="V26" s="20">
        <f>$D21/4</f>
        <v>31000000</v>
      </c>
      <c r="W26" s="20">
        <f>$C21/4</f>
        <v>28250000</v>
      </c>
      <c r="X26" s="20">
        <f>$C21/4</f>
        <v>28250000</v>
      </c>
      <c r="Y26" s="20">
        <f>$C21/4</f>
        <v>28250000</v>
      </c>
      <c r="Z26" s="20">
        <f>$C21/4</f>
        <v>28250000</v>
      </c>
      <c r="AA26" s="20">
        <v>0</v>
      </c>
      <c r="AB26" s="20">
        <v>0</v>
      </c>
      <c r="AD26" s="21">
        <f t="shared" si="14"/>
        <v>27800000</v>
      </c>
      <c r="AE26" s="21">
        <f t="shared" si="15"/>
        <v>326325000</v>
      </c>
      <c r="AF26" s="21">
        <f t="shared" si="12"/>
        <v>5200000</v>
      </c>
    </row>
    <row r="27" spans="1:32" x14ac:dyDescent="0.2">
      <c r="A27" t="s">
        <v>77</v>
      </c>
      <c r="B27" s="18" t="s">
        <v>98</v>
      </c>
      <c r="C27" s="22">
        <f>$C21</f>
        <v>113000000</v>
      </c>
      <c r="D27" s="22">
        <f>$D21</f>
        <v>124000000</v>
      </c>
      <c r="E27" s="22">
        <f>$E21</f>
        <v>124000000</v>
      </c>
      <c r="F27" s="23">
        <f t="shared" si="16"/>
        <v>20</v>
      </c>
      <c r="G27" s="4">
        <v>31000000</v>
      </c>
      <c r="I27" s="20">
        <f t="shared" si="11"/>
        <v>31000000</v>
      </c>
      <c r="J27" s="20">
        <f t="shared" si="13"/>
        <v>33000000</v>
      </c>
      <c r="K27" s="20">
        <f t="shared" si="17"/>
        <v>32000000</v>
      </c>
      <c r="L27" s="20">
        <f t="shared" si="18"/>
        <v>34000000</v>
      </c>
      <c r="M27" s="20">
        <f t="shared" si="19"/>
        <v>31000000</v>
      </c>
      <c r="N27" s="20">
        <f t="shared" si="20"/>
        <v>32000000</v>
      </c>
      <c r="O27" s="20">
        <f t="shared" ref="O27:O32" si="21">G21</f>
        <v>33000000</v>
      </c>
      <c r="P27" s="20">
        <f>$E21/4</f>
        <v>31000000</v>
      </c>
      <c r="Q27" s="20">
        <f>$E21/4</f>
        <v>31000000</v>
      </c>
      <c r="R27" s="20">
        <f>$E21/4</f>
        <v>31000000</v>
      </c>
      <c r="S27" s="20">
        <f>$E21/4</f>
        <v>31000000</v>
      </c>
      <c r="T27" s="20">
        <f>$D21/4</f>
        <v>31000000</v>
      </c>
      <c r="U27" s="20">
        <f>$D21/4</f>
        <v>31000000</v>
      </c>
      <c r="V27" s="20">
        <f>$D21/4</f>
        <v>31000000</v>
      </c>
      <c r="W27" s="20">
        <f>$D21/4</f>
        <v>31000000</v>
      </c>
      <c r="X27" s="20">
        <f>$C21/4</f>
        <v>28250000</v>
      </c>
      <c r="Y27" s="20">
        <f>$C21/4</f>
        <v>28250000</v>
      </c>
      <c r="Z27" s="20">
        <f>$C21/4</f>
        <v>28250000</v>
      </c>
      <c r="AA27" s="20">
        <f>$C21/4</f>
        <v>28250000</v>
      </c>
      <c r="AB27" s="20">
        <v>0</v>
      </c>
      <c r="AD27" s="21">
        <f t="shared" si="14"/>
        <v>29350000</v>
      </c>
      <c r="AE27" s="21">
        <f t="shared" si="15"/>
        <v>329525000</v>
      </c>
      <c r="AF27" s="21">
        <f t="shared" si="12"/>
        <v>1650000</v>
      </c>
    </row>
    <row r="28" spans="1:32" x14ac:dyDescent="0.2">
      <c r="A28" t="s">
        <v>77</v>
      </c>
      <c r="B28" s="18" t="s">
        <v>97</v>
      </c>
      <c r="C28" s="22">
        <f>$C21</f>
        <v>113000000</v>
      </c>
      <c r="D28" s="22">
        <f>$D21</f>
        <v>124000000</v>
      </c>
      <c r="E28" s="22">
        <f>$E21</f>
        <v>124000000</v>
      </c>
      <c r="F28" s="23">
        <f t="shared" si="16"/>
        <v>20</v>
      </c>
      <c r="G28" s="4">
        <v>39000000</v>
      </c>
      <c r="I28" s="20">
        <f t="shared" si="11"/>
        <v>39000000</v>
      </c>
      <c r="J28" s="20">
        <f t="shared" si="13"/>
        <v>31000000</v>
      </c>
      <c r="K28" s="20">
        <f t="shared" si="17"/>
        <v>33000000</v>
      </c>
      <c r="L28" s="20">
        <f t="shared" si="18"/>
        <v>32000000</v>
      </c>
      <c r="M28" s="20">
        <f t="shared" si="19"/>
        <v>34000000</v>
      </c>
      <c r="N28" s="20">
        <f t="shared" si="20"/>
        <v>31000000</v>
      </c>
      <c r="O28" s="20">
        <f t="shared" si="21"/>
        <v>32000000</v>
      </c>
      <c r="P28" s="20">
        <f>G21</f>
        <v>33000000</v>
      </c>
      <c r="Q28" s="20">
        <f>$E21/4</f>
        <v>31000000</v>
      </c>
      <c r="R28" s="20">
        <f>$E21/4</f>
        <v>31000000</v>
      </c>
      <c r="S28" s="20">
        <f>$E21/4</f>
        <v>31000000</v>
      </c>
      <c r="T28" s="20">
        <f>$E21/4</f>
        <v>31000000</v>
      </c>
      <c r="U28" s="20">
        <f>$D21/4</f>
        <v>31000000</v>
      </c>
      <c r="V28" s="20">
        <f>$D21/4</f>
        <v>31000000</v>
      </c>
      <c r="W28" s="20">
        <f>$D21/4</f>
        <v>31000000</v>
      </c>
      <c r="X28" s="20">
        <f>$D21/4</f>
        <v>31000000</v>
      </c>
      <c r="Y28" s="20">
        <f>$C21/4</f>
        <v>28250000</v>
      </c>
      <c r="Z28" s="20">
        <f>$C21/4</f>
        <v>28250000</v>
      </c>
      <c r="AA28" s="20">
        <f>$C21/4</f>
        <v>28250000</v>
      </c>
      <c r="AB28" s="20">
        <f>$C21/4</f>
        <v>28250000</v>
      </c>
      <c r="AD28" s="21">
        <f t="shared" si="14"/>
        <v>31300000</v>
      </c>
      <c r="AE28" s="21">
        <f t="shared" si="15"/>
        <v>339175000</v>
      </c>
      <c r="AF28" s="21">
        <f t="shared" si="12"/>
        <v>7700000</v>
      </c>
    </row>
    <row r="29" spans="1:32" x14ac:dyDescent="0.2">
      <c r="A29" t="s">
        <v>77</v>
      </c>
      <c r="B29" s="18" t="s">
        <v>96</v>
      </c>
      <c r="C29" s="22">
        <f>$C21</f>
        <v>113000000</v>
      </c>
      <c r="D29" s="22">
        <f>$D21</f>
        <v>124000000</v>
      </c>
      <c r="E29" s="22">
        <f>$E21</f>
        <v>124000000</v>
      </c>
      <c r="F29" s="23">
        <f t="shared" si="16"/>
        <v>20</v>
      </c>
      <c r="G29" s="4">
        <v>34000000</v>
      </c>
      <c r="I29" s="20">
        <f t="shared" si="11"/>
        <v>34000000</v>
      </c>
      <c r="J29" s="20">
        <f t="shared" si="13"/>
        <v>39000000</v>
      </c>
      <c r="K29" s="20">
        <f t="shared" si="17"/>
        <v>31000000</v>
      </c>
      <c r="L29" s="20">
        <f t="shared" si="18"/>
        <v>33000000</v>
      </c>
      <c r="M29" s="20">
        <f t="shared" si="19"/>
        <v>32000000</v>
      </c>
      <c r="N29" s="20">
        <f t="shared" si="20"/>
        <v>34000000</v>
      </c>
      <c r="O29" s="20">
        <f t="shared" si="21"/>
        <v>31000000</v>
      </c>
      <c r="P29" s="20">
        <f>G22</f>
        <v>32000000</v>
      </c>
      <c r="Q29" s="20">
        <f>G21</f>
        <v>33000000</v>
      </c>
      <c r="R29" s="20">
        <f>$E21/4</f>
        <v>31000000</v>
      </c>
      <c r="S29" s="20">
        <f>$E21/4</f>
        <v>31000000</v>
      </c>
      <c r="T29" s="20">
        <f>$E21/4</f>
        <v>31000000</v>
      </c>
      <c r="U29" s="20">
        <f>$E21/4</f>
        <v>31000000</v>
      </c>
      <c r="V29" s="20">
        <f>$D21/4</f>
        <v>31000000</v>
      </c>
      <c r="W29" s="20">
        <f>$D21/4</f>
        <v>31000000</v>
      </c>
      <c r="X29" s="20">
        <f>$D21/4</f>
        <v>31000000</v>
      </c>
      <c r="Y29" s="20">
        <f>$D21/4</f>
        <v>31000000</v>
      </c>
      <c r="Z29" s="20">
        <f>$C21/4</f>
        <v>28250000</v>
      </c>
      <c r="AA29" s="20">
        <f>$C21/4</f>
        <v>28250000</v>
      </c>
      <c r="AB29" s="20">
        <f>$C21/4</f>
        <v>28250000</v>
      </c>
      <c r="AD29" s="21">
        <f t="shared" si="14"/>
        <v>31587500</v>
      </c>
      <c r="AE29" s="21">
        <f t="shared" si="15"/>
        <v>341875000</v>
      </c>
      <c r="AF29" s="21">
        <f t="shared" si="12"/>
        <v>2412500</v>
      </c>
    </row>
    <row r="30" spans="1:32" x14ac:dyDescent="0.2">
      <c r="A30" t="s">
        <v>77</v>
      </c>
      <c r="B30" s="18" t="s">
        <v>95</v>
      </c>
      <c r="C30" s="22">
        <f>$C21</f>
        <v>113000000</v>
      </c>
      <c r="D30" s="22">
        <f>$D21</f>
        <v>124000000</v>
      </c>
      <c r="E30" s="22">
        <f>$E21</f>
        <v>124000000</v>
      </c>
      <c r="F30" s="23">
        <f t="shared" si="16"/>
        <v>20</v>
      </c>
      <c r="G30" s="4">
        <v>35000000</v>
      </c>
      <c r="I30" s="20">
        <f t="shared" si="11"/>
        <v>35000000</v>
      </c>
      <c r="J30" s="20">
        <f t="shared" si="13"/>
        <v>34000000</v>
      </c>
      <c r="K30" s="20">
        <f t="shared" si="17"/>
        <v>39000000</v>
      </c>
      <c r="L30" s="20">
        <f t="shared" si="18"/>
        <v>31000000</v>
      </c>
      <c r="M30" s="20">
        <f t="shared" si="19"/>
        <v>33000000</v>
      </c>
      <c r="N30" s="20">
        <f t="shared" si="20"/>
        <v>32000000</v>
      </c>
      <c r="O30" s="20">
        <f t="shared" si="21"/>
        <v>34000000</v>
      </c>
      <c r="P30" s="20">
        <f>G23</f>
        <v>31000000</v>
      </c>
      <c r="Q30" s="20">
        <f>G22</f>
        <v>32000000</v>
      </c>
      <c r="R30" s="20">
        <f>G21</f>
        <v>33000000</v>
      </c>
      <c r="S30" s="20">
        <f>$E21/4</f>
        <v>31000000</v>
      </c>
      <c r="T30" s="20">
        <f>$E21/4</f>
        <v>31000000</v>
      </c>
      <c r="U30" s="20">
        <f>$E21/4</f>
        <v>31000000</v>
      </c>
      <c r="V30" s="20">
        <f>$E21/4</f>
        <v>31000000</v>
      </c>
      <c r="W30" s="20">
        <f>$D21/4</f>
        <v>31000000</v>
      </c>
      <c r="X30" s="20">
        <f>$D21/4</f>
        <v>31000000</v>
      </c>
      <c r="Y30" s="20">
        <f>$D21/4</f>
        <v>31000000</v>
      </c>
      <c r="Z30" s="20">
        <f>$D21/4</f>
        <v>31000000</v>
      </c>
      <c r="AA30" s="20">
        <f>$C21/4</f>
        <v>28250000</v>
      </c>
      <c r="AB30" s="20">
        <f>$C21/4</f>
        <v>28250000</v>
      </c>
      <c r="AD30" s="21">
        <f t="shared" si="14"/>
        <v>31925000</v>
      </c>
      <c r="AE30" s="21">
        <f t="shared" si="15"/>
        <v>345287500</v>
      </c>
      <c r="AF30" s="21">
        <f t="shared" si="12"/>
        <v>3075000</v>
      </c>
    </row>
    <row r="31" spans="1:32" x14ac:dyDescent="0.2">
      <c r="A31" t="s">
        <v>77</v>
      </c>
      <c r="B31" s="18" t="s">
        <v>94</v>
      </c>
      <c r="C31" s="22">
        <f>$C21</f>
        <v>113000000</v>
      </c>
      <c r="D31" s="22">
        <f>$D21</f>
        <v>124000000</v>
      </c>
      <c r="E31" s="22">
        <f>$E21</f>
        <v>124000000</v>
      </c>
      <c r="F31" s="23">
        <f t="shared" si="16"/>
        <v>20</v>
      </c>
      <c r="G31" s="4">
        <v>34000000</v>
      </c>
      <c r="I31" s="20">
        <f t="shared" si="11"/>
        <v>34000000</v>
      </c>
      <c r="J31" s="20">
        <f t="shared" si="13"/>
        <v>35000000</v>
      </c>
      <c r="K31" s="20">
        <f t="shared" si="17"/>
        <v>34000000</v>
      </c>
      <c r="L31" s="20">
        <f t="shared" si="18"/>
        <v>39000000</v>
      </c>
      <c r="M31" s="20">
        <f t="shared" si="19"/>
        <v>31000000</v>
      </c>
      <c r="N31" s="20">
        <f t="shared" si="20"/>
        <v>33000000</v>
      </c>
      <c r="O31" s="20">
        <f t="shared" si="21"/>
        <v>32000000</v>
      </c>
      <c r="P31" s="20">
        <f>G24</f>
        <v>34000000</v>
      </c>
      <c r="Q31" s="20">
        <f>G23</f>
        <v>31000000</v>
      </c>
      <c r="R31" s="20">
        <f>G22</f>
        <v>32000000</v>
      </c>
      <c r="S31" s="20">
        <f>G21</f>
        <v>33000000</v>
      </c>
      <c r="T31" s="20">
        <f>$E21/4</f>
        <v>31000000</v>
      </c>
      <c r="U31" s="20">
        <f>$E21/4</f>
        <v>31000000</v>
      </c>
      <c r="V31" s="20">
        <f>$E21/4</f>
        <v>31000000</v>
      </c>
      <c r="W31" s="20">
        <f>$E21/4</f>
        <v>31000000</v>
      </c>
      <c r="X31" s="20">
        <f>$D21/4</f>
        <v>31000000</v>
      </c>
      <c r="Y31" s="20">
        <f>$D21/4</f>
        <v>31000000</v>
      </c>
      <c r="Z31" s="20">
        <f>$D21/4</f>
        <v>31000000</v>
      </c>
      <c r="AA31" s="20">
        <f>$D21/4</f>
        <v>31000000</v>
      </c>
      <c r="AB31" s="20">
        <f>$C21/4</f>
        <v>28250000</v>
      </c>
      <c r="AD31" s="21">
        <f t="shared" si="14"/>
        <v>32212500</v>
      </c>
      <c r="AE31" s="21">
        <f t="shared" si="15"/>
        <v>347362500</v>
      </c>
      <c r="AF31" s="21">
        <f t="shared" si="12"/>
        <v>1787500</v>
      </c>
    </row>
    <row r="32" spans="1:32" x14ac:dyDescent="0.2">
      <c r="A32" t="s">
        <v>77</v>
      </c>
      <c r="B32" s="18" t="s">
        <v>93</v>
      </c>
      <c r="C32" s="22">
        <f>$C21</f>
        <v>113000000</v>
      </c>
      <c r="D32" s="22">
        <f>$D21</f>
        <v>124000000</v>
      </c>
      <c r="E32" s="22">
        <f>$E21</f>
        <v>124000000</v>
      </c>
      <c r="F32" s="23">
        <f t="shared" si="16"/>
        <v>20</v>
      </c>
      <c r="G32" s="4">
        <v>33000000</v>
      </c>
      <c r="I32" s="20">
        <f t="shared" si="11"/>
        <v>33000000</v>
      </c>
      <c r="J32" s="20">
        <f t="shared" si="13"/>
        <v>34000000</v>
      </c>
      <c r="K32" s="20">
        <f t="shared" si="17"/>
        <v>35000000</v>
      </c>
      <c r="L32" s="20">
        <f t="shared" si="18"/>
        <v>34000000</v>
      </c>
      <c r="M32" s="20">
        <f t="shared" si="19"/>
        <v>39000000</v>
      </c>
      <c r="N32" s="20">
        <f t="shared" si="20"/>
        <v>31000000</v>
      </c>
      <c r="O32" s="20">
        <f t="shared" si="21"/>
        <v>33000000</v>
      </c>
      <c r="P32" s="20">
        <f>G25</f>
        <v>32000000</v>
      </c>
      <c r="Q32" s="20">
        <f>G24</f>
        <v>34000000</v>
      </c>
      <c r="R32" s="20">
        <f>G23</f>
        <v>31000000</v>
      </c>
      <c r="S32" s="20">
        <f>G22</f>
        <v>32000000</v>
      </c>
      <c r="T32" s="20">
        <f>G21</f>
        <v>33000000</v>
      </c>
      <c r="U32" s="20">
        <f>$E21/4</f>
        <v>31000000</v>
      </c>
      <c r="V32" s="20">
        <f>$E21/4</f>
        <v>31000000</v>
      </c>
      <c r="W32" s="20">
        <f>$E21/4</f>
        <v>31000000</v>
      </c>
      <c r="X32" s="20">
        <f>$E21/4</f>
        <v>31000000</v>
      </c>
      <c r="Y32" s="20">
        <f>$D21/4</f>
        <v>31000000</v>
      </c>
      <c r="Z32" s="20">
        <f>$D21/4</f>
        <v>31000000</v>
      </c>
      <c r="AA32" s="20">
        <f>$D21/4</f>
        <v>31000000</v>
      </c>
      <c r="AB32" s="20">
        <f>$D21/4</f>
        <v>31000000</v>
      </c>
      <c r="AD32" s="21">
        <f t="shared" si="14"/>
        <v>32450000</v>
      </c>
      <c r="AE32" s="21">
        <f t="shared" si="15"/>
        <v>348150000</v>
      </c>
      <c r="AF32" s="21">
        <f t="shared" si="12"/>
        <v>550000</v>
      </c>
    </row>
    <row r="34" spans="1:32" x14ac:dyDescent="0.2">
      <c r="B34" t="s">
        <v>113</v>
      </c>
    </row>
    <row r="35" spans="1:32" x14ac:dyDescent="0.2">
      <c r="B35" s="6" t="s">
        <v>107</v>
      </c>
      <c r="C35" s="6" t="s">
        <v>438</v>
      </c>
      <c r="D35" s="6" t="s">
        <v>439</v>
      </c>
      <c r="E35" s="6" t="s">
        <v>440</v>
      </c>
      <c r="F35" s="6" t="s">
        <v>441</v>
      </c>
      <c r="G35" s="6" t="s">
        <v>442</v>
      </c>
      <c r="H35" s="15"/>
      <c r="I35" s="6" t="s">
        <v>443</v>
      </c>
      <c r="J35" s="6" t="s">
        <v>444</v>
      </c>
      <c r="K35" s="6" t="s">
        <v>445</v>
      </c>
      <c r="L35" s="6" t="s">
        <v>446</v>
      </c>
      <c r="M35" s="6" t="s">
        <v>447</v>
      </c>
      <c r="N35" s="6" t="s">
        <v>448</v>
      </c>
      <c r="O35" s="6" t="s">
        <v>449</v>
      </c>
      <c r="P35" s="6" t="s">
        <v>450</v>
      </c>
      <c r="Q35" s="6" t="s">
        <v>451</v>
      </c>
      <c r="R35" s="6" t="s">
        <v>452</v>
      </c>
      <c r="S35" s="6" t="s">
        <v>453</v>
      </c>
      <c r="T35" s="6" t="s">
        <v>454</v>
      </c>
      <c r="U35" s="6" t="s">
        <v>455</v>
      </c>
      <c r="V35" s="6" t="s">
        <v>456</v>
      </c>
      <c r="W35" s="6" t="s">
        <v>457</v>
      </c>
      <c r="X35" s="6" t="s">
        <v>458</v>
      </c>
      <c r="Y35" s="6" t="s">
        <v>459</v>
      </c>
      <c r="Z35" s="6" t="s">
        <v>460</v>
      </c>
      <c r="AA35" s="6" t="s">
        <v>461</v>
      </c>
      <c r="AB35" s="6" t="s">
        <v>462</v>
      </c>
      <c r="AC35" s="15"/>
      <c r="AD35" s="6" t="s">
        <v>106</v>
      </c>
      <c r="AE35" s="6" t="s">
        <v>105</v>
      </c>
      <c r="AF35" s="6" t="s">
        <v>463</v>
      </c>
    </row>
    <row r="36" spans="1:32" x14ac:dyDescent="0.2">
      <c r="B36" s="16" t="s">
        <v>464</v>
      </c>
      <c r="I36" s="17">
        <v>20</v>
      </c>
      <c r="J36" s="17">
        <v>19</v>
      </c>
      <c r="K36" s="17">
        <v>18</v>
      </c>
      <c r="L36" s="17">
        <v>17</v>
      </c>
      <c r="M36" s="17">
        <v>16</v>
      </c>
      <c r="N36" s="17">
        <v>15</v>
      </c>
      <c r="O36" s="17">
        <v>14</v>
      </c>
      <c r="P36" s="17">
        <v>13</v>
      </c>
      <c r="Q36" s="17">
        <v>12</v>
      </c>
      <c r="R36" s="17">
        <v>11</v>
      </c>
      <c r="S36" s="17">
        <v>10</v>
      </c>
      <c r="T36" s="17">
        <v>9</v>
      </c>
      <c r="U36" s="17">
        <v>8</v>
      </c>
      <c r="V36" s="17">
        <v>7</v>
      </c>
      <c r="W36" s="17">
        <v>6</v>
      </c>
      <c r="X36" s="17">
        <v>5</v>
      </c>
      <c r="Y36" s="17">
        <v>4</v>
      </c>
      <c r="Z36" s="17">
        <v>3</v>
      </c>
      <c r="AA36" s="17">
        <v>2</v>
      </c>
      <c r="AB36" s="17">
        <v>1</v>
      </c>
    </row>
    <row r="37" spans="1:32" x14ac:dyDescent="0.2">
      <c r="A37" t="s">
        <v>113</v>
      </c>
      <c r="B37" s="18" t="s">
        <v>103</v>
      </c>
      <c r="C37" s="4">
        <v>0</v>
      </c>
      <c r="D37" s="4">
        <v>0</v>
      </c>
      <c r="E37" s="4">
        <v>124141000</v>
      </c>
      <c r="F37" s="19">
        <v>20</v>
      </c>
      <c r="G37" s="4">
        <v>49666000</v>
      </c>
      <c r="I37" s="20">
        <f t="shared" ref="I37:I48" si="22">G37</f>
        <v>49666000</v>
      </c>
      <c r="J37" s="20">
        <f>$E37/4</f>
        <v>31035250</v>
      </c>
      <c r="K37" s="20">
        <f>$E37/4</f>
        <v>31035250</v>
      </c>
      <c r="L37" s="20">
        <f>$E37/4</f>
        <v>31035250</v>
      </c>
      <c r="M37" s="20">
        <f>$E37/4</f>
        <v>31035250</v>
      </c>
      <c r="N37" s="20">
        <f>$D37/4</f>
        <v>0</v>
      </c>
      <c r="O37" s="20">
        <f>$D37/4</f>
        <v>0</v>
      </c>
      <c r="P37" s="20">
        <f>$D37/4</f>
        <v>0</v>
      </c>
      <c r="Q37" s="20">
        <f>$D37/4</f>
        <v>0</v>
      </c>
      <c r="R37" s="20">
        <f>$C37/4</f>
        <v>0</v>
      </c>
      <c r="S37" s="20">
        <f>$C37/4</f>
        <v>0</v>
      </c>
      <c r="T37" s="20">
        <f>$C37/4</f>
        <v>0</v>
      </c>
      <c r="U37" s="20">
        <f>$C37/4</f>
        <v>0</v>
      </c>
      <c r="V37" s="20">
        <v>0</v>
      </c>
      <c r="W37" s="20">
        <v>0</v>
      </c>
      <c r="X37" s="20">
        <v>0</v>
      </c>
      <c r="Y37" s="20">
        <v>0</v>
      </c>
      <c r="Z37" s="20">
        <v>0</v>
      </c>
      <c r="AA37" s="20">
        <v>0</v>
      </c>
      <c r="AB37" s="20">
        <v>0</v>
      </c>
      <c r="AD37" s="21">
        <f>SUM(I37:AB37)/$F37</f>
        <v>8690350</v>
      </c>
      <c r="AE37" s="21">
        <f>SUMPRODUCT($I$36:$AB$36,I37:AB37)/$F37</f>
        <v>158289375</v>
      </c>
      <c r="AF37" s="21">
        <f t="shared" ref="AF37:AF48" si="23">G37-AD37</f>
        <v>40975650</v>
      </c>
    </row>
    <row r="38" spans="1:32" x14ac:dyDescent="0.2">
      <c r="A38" t="s">
        <v>113</v>
      </c>
      <c r="B38" s="18" t="s">
        <v>102</v>
      </c>
      <c r="C38" s="22">
        <f>$C37</f>
        <v>0</v>
      </c>
      <c r="D38" s="22">
        <f>$D37</f>
        <v>0</v>
      </c>
      <c r="E38" s="22">
        <f>$E37</f>
        <v>124141000</v>
      </c>
      <c r="F38" s="23">
        <f t="shared" ref="F38:F48" si="24">$F$37</f>
        <v>20</v>
      </c>
      <c r="G38" s="4">
        <v>48845000</v>
      </c>
      <c r="I38" s="20">
        <f t="shared" si="22"/>
        <v>48845000</v>
      </c>
      <c r="J38" s="20">
        <f t="shared" ref="J38:J48" si="25">G37</f>
        <v>49666000</v>
      </c>
      <c r="K38" s="20">
        <f>$E37/4</f>
        <v>31035250</v>
      </c>
      <c r="L38" s="20">
        <f>$E37/4</f>
        <v>31035250</v>
      </c>
      <c r="M38" s="20">
        <f>$E37/4</f>
        <v>31035250</v>
      </c>
      <c r="N38" s="20">
        <f>$E37/4</f>
        <v>31035250</v>
      </c>
      <c r="O38" s="20">
        <f>$D37/4</f>
        <v>0</v>
      </c>
      <c r="P38" s="20">
        <f>$D37/4</f>
        <v>0</v>
      </c>
      <c r="Q38" s="20">
        <f>$D37/4</f>
        <v>0</v>
      </c>
      <c r="R38" s="20">
        <f>$D37/4</f>
        <v>0</v>
      </c>
      <c r="S38" s="20">
        <f>$C37/4</f>
        <v>0</v>
      </c>
      <c r="T38" s="20">
        <f>$C37/4</f>
        <v>0</v>
      </c>
      <c r="U38" s="20">
        <f>$C37/4</f>
        <v>0</v>
      </c>
      <c r="V38" s="20">
        <f>$C37/4</f>
        <v>0</v>
      </c>
      <c r="W38" s="20">
        <v>0</v>
      </c>
      <c r="X38" s="20">
        <v>0</v>
      </c>
      <c r="Y38" s="20">
        <v>0</v>
      </c>
      <c r="Z38" s="20">
        <v>0</v>
      </c>
      <c r="AA38" s="20">
        <v>0</v>
      </c>
      <c r="AB38" s="20">
        <v>0</v>
      </c>
      <c r="AD38" s="21">
        <f t="shared" ref="AD38:AD48" si="26">SUM(I38:AB38)/$F38</f>
        <v>11132600</v>
      </c>
      <c r="AE38" s="21">
        <f t="shared" ref="AE38:AE48" si="27">SUMPRODUCT($I$36:$AB$36,I38:AB38)/$F38</f>
        <v>198444025</v>
      </c>
      <c r="AF38" s="21">
        <f t="shared" si="23"/>
        <v>37712400</v>
      </c>
    </row>
    <row r="39" spans="1:32" x14ac:dyDescent="0.2">
      <c r="A39" t="s">
        <v>113</v>
      </c>
      <c r="B39" s="18" t="s">
        <v>101</v>
      </c>
      <c r="C39" s="22">
        <f>$C37</f>
        <v>0</v>
      </c>
      <c r="D39" s="22">
        <f>$D37</f>
        <v>0</v>
      </c>
      <c r="E39" s="22">
        <f>$E37</f>
        <v>124141000</v>
      </c>
      <c r="F39" s="23">
        <f t="shared" si="24"/>
        <v>20</v>
      </c>
      <c r="G39" s="4">
        <v>96531000</v>
      </c>
      <c r="I39" s="20">
        <f t="shared" si="22"/>
        <v>96531000</v>
      </c>
      <c r="J39" s="20">
        <f t="shared" si="25"/>
        <v>48845000</v>
      </c>
      <c r="K39" s="20">
        <f t="shared" ref="K39:K48" si="28">G37</f>
        <v>49666000</v>
      </c>
      <c r="L39" s="20">
        <f>$E37/4</f>
        <v>31035250</v>
      </c>
      <c r="M39" s="20">
        <f>$E37/4</f>
        <v>31035250</v>
      </c>
      <c r="N39" s="20">
        <f>$E37/4</f>
        <v>31035250</v>
      </c>
      <c r="O39" s="20">
        <f>$E37/4</f>
        <v>31035250</v>
      </c>
      <c r="P39" s="20">
        <f>$D37/4</f>
        <v>0</v>
      </c>
      <c r="Q39" s="20">
        <f>$D37/4</f>
        <v>0</v>
      </c>
      <c r="R39" s="20">
        <f>$D37/4</f>
        <v>0</v>
      </c>
      <c r="S39" s="20">
        <f>$D37/4</f>
        <v>0</v>
      </c>
      <c r="T39" s="20">
        <f>$C37/4</f>
        <v>0</v>
      </c>
      <c r="U39" s="20">
        <f>$C37/4</f>
        <v>0</v>
      </c>
      <c r="V39" s="20">
        <f>$C37/4</f>
        <v>0</v>
      </c>
      <c r="W39" s="20">
        <f>$C37/4</f>
        <v>0</v>
      </c>
      <c r="X39" s="20">
        <v>0</v>
      </c>
      <c r="Y39" s="20">
        <v>0</v>
      </c>
      <c r="Z39" s="20">
        <v>0</v>
      </c>
      <c r="AA39" s="20">
        <v>0</v>
      </c>
      <c r="AB39" s="20">
        <v>0</v>
      </c>
      <c r="AD39" s="21">
        <f t="shared" si="26"/>
        <v>15959150</v>
      </c>
      <c r="AE39" s="21">
        <f t="shared" si="27"/>
        <v>283842425</v>
      </c>
      <c r="AF39" s="21">
        <f t="shared" si="23"/>
        <v>80571850</v>
      </c>
    </row>
    <row r="40" spans="1:32" x14ac:dyDescent="0.2">
      <c r="A40" t="s">
        <v>113</v>
      </c>
      <c r="B40" s="18" t="s">
        <v>100</v>
      </c>
      <c r="C40" s="22">
        <f>$C37</f>
        <v>0</v>
      </c>
      <c r="D40" s="22">
        <f>$D37</f>
        <v>0</v>
      </c>
      <c r="E40" s="22">
        <f>$E37</f>
        <v>124141000</v>
      </c>
      <c r="F40" s="23">
        <f t="shared" si="24"/>
        <v>20</v>
      </c>
      <c r="G40" s="4">
        <v>42144000</v>
      </c>
      <c r="I40" s="20">
        <f t="shared" si="22"/>
        <v>42144000</v>
      </c>
      <c r="J40" s="20">
        <f t="shared" si="25"/>
        <v>96531000</v>
      </c>
      <c r="K40" s="20">
        <f t="shared" si="28"/>
        <v>48845000</v>
      </c>
      <c r="L40" s="20">
        <f t="shared" ref="L40:L48" si="29">G37</f>
        <v>49666000</v>
      </c>
      <c r="M40" s="20">
        <f>$E37/4</f>
        <v>31035250</v>
      </c>
      <c r="N40" s="20">
        <f>$E37/4</f>
        <v>31035250</v>
      </c>
      <c r="O40" s="20">
        <f>$E37/4</f>
        <v>31035250</v>
      </c>
      <c r="P40" s="20">
        <f>$E37/4</f>
        <v>31035250</v>
      </c>
      <c r="Q40" s="20">
        <f>$D37/4</f>
        <v>0</v>
      </c>
      <c r="R40" s="20">
        <f>$D37/4</f>
        <v>0</v>
      </c>
      <c r="S40" s="20">
        <f>$D37/4</f>
        <v>0</v>
      </c>
      <c r="T40" s="20">
        <f>$D37/4</f>
        <v>0</v>
      </c>
      <c r="U40" s="20">
        <f>$C37/4</f>
        <v>0</v>
      </c>
      <c r="V40" s="20">
        <f>$C37/4</f>
        <v>0</v>
      </c>
      <c r="W40" s="20">
        <f>$C37/4</f>
        <v>0</v>
      </c>
      <c r="X40" s="20">
        <f>$C37/4</f>
        <v>0</v>
      </c>
      <c r="Y40" s="20">
        <v>0</v>
      </c>
      <c r="Z40" s="20">
        <v>0</v>
      </c>
      <c r="AA40" s="20">
        <v>0</v>
      </c>
      <c r="AB40" s="20">
        <v>0</v>
      </c>
      <c r="AD40" s="21">
        <f t="shared" si="26"/>
        <v>18066350</v>
      </c>
      <c r="AE40" s="21">
        <f t="shared" si="27"/>
        <v>310027275</v>
      </c>
      <c r="AF40" s="21">
        <f t="shared" si="23"/>
        <v>24077650</v>
      </c>
    </row>
    <row r="41" spans="1:32" x14ac:dyDescent="0.2">
      <c r="A41" t="s">
        <v>113</v>
      </c>
      <c r="B41" s="18" t="s">
        <v>99</v>
      </c>
      <c r="C41" s="22">
        <f>$C37</f>
        <v>0</v>
      </c>
      <c r="D41" s="22">
        <f>$D37</f>
        <v>0</v>
      </c>
      <c r="E41" s="22">
        <f>$E37</f>
        <v>124141000</v>
      </c>
      <c r="F41" s="23">
        <f t="shared" si="24"/>
        <v>20</v>
      </c>
      <c r="G41" s="4">
        <v>46462000</v>
      </c>
      <c r="I41" s="20">
        <f t="shared" si="22"/>
        <v>46462000</v>
      </c>
      <c r="J41" s="20">
        <f t="shared" si="25"/>
        <v>42144000</v>
      </c>
      <c r="K41" s="20">
        <f t="shared" si="28"/>
        <v>96531000</v>
      </c>
      <c r="L41" s="20">
        <f t="shared" si="29"/>
        <v>48845000</v>
      </c>
      <c r="M41" s="20">
        <f t="shared" ref="M41:M48" si="30">G37</f>
        <v>49666000</v>
      </c>
      <c r="N41" s="20">
        <f>$E37/4</f>
        <v>31035250</v>
      </c>
      <c r="O41" s="20">
        <f>$E37/4</f>
        <v>31035250</v>
      </c>
      <c r="P41" s="20">
        <f>$E37/4</f>
        <v>31035250</v>
      </c>
      <c r="Q41" s="20">
        <f>$E37/4</f>
        <v>31035250</v>
      </c>
      <c r="R41" s="20">
        <f>$D37/4</f>
        <v>0</v>
      </c>
      <c r="S41" s="20">
        <f>$D37/4</f>
        <v>0</v>
      </c>
      <c r="T41" s="20">
        <f>$D37/4</f>
        <v>0</v>
      </c>
      <c r="U41" s="20">
        <f>$D37/4</f>
        <v>0</v>
      </c>
      <c r="V41" s="20">
        <f>$C37/4</f>
        <v>0</v>
      </c>
      <c r="W41" s="20">
        <f>$C37/4</f>
        <v>0</v>
      </c>
      <c r="X41" s="20">
        <f>$C37/4</f>
        <v>0</v>
      </c>
      <c r="Y41" s="20">
        <f>$C37/4</f>
        <v>0</v>
      </c>
      <c r="Z41" s="20">
        <v>0</v>
      </c>
      <c r="AA41" s="20">
        <v>0</v>
      </c>
      <c r="AB41" s="20">
        <v>0</v>
      </c>
      <c r="AD41" s="21">
        <f t="shared" si="26"/>
        <v>20389450</v>
      </c>
      <c r="AE41" s="21">
        <f t="shared" si="27"/>
        <v>338422925</v>
      </c>
      <c r="AF41" s="21">
        <f t="shared" si="23"/>
        <v>26072550</v>
      </c>
    </row>
    <row r="42" spans="1:32" x14ac:dyDescent="0.2">
      <c r="A42" t="s">
        <v>113</v>
      </c>
      <c r="B42" s="18" t="s">
        <v>98</v>
      </c>
      <c r="C42" s="22">
        <f>$C37</f>
        <v>0</v>
      </c>
      <c r="D42" s="22">
        <f>$D37</f>
        <v>0</v>
      </c>
      <c r="E42" s="22">
        <f>$E37</f>
        <v>124141000</v>
      </c>
      <c r="F42" s="23">
        <f t="shared" si="24"/>
        <v>20</v>
      </c>
      <c r="G42" s="4">
        <v>44722000</v>
      </c>
      <c r="I42" s="20">
        <f t="shared" si="22"/>
        <v>44722000</v>
      </c>
      <c r="J42" s="20">
        <f t="shared" si="25"/>
        <v>46462000</v>
      </c>
      <c r="K42" s="20">
        <f t="shared" si="28"/>
        <v>42144000</v>
      </c>
      <c r="L42" s="20">
        <f t="shared" si="29"/>
        <v>96531000</v>
      </c>
      <c r="M42" s="20">
        <f t="shared" si="30"/>
        <v>48845000</v>
      </c>
      <c r="N42" s="20">
        <f t="shared" ref="N42:N48" si="31">G37</f>
        <v>49666000</v>
      </c>
      <c r="O42" s="20">
        <f>$E37/4</f>
        <v>31035250</v>
      </c>
      <c r="P42" s="20">
        <f>$E37/4</f>
        <v>31035250</v>
      </c>
      <c r="Q42" s="20">
        <f>$E37/4</f>
        <v>31035250</v>
      </c>
      <c r="R42" s="20">
        <f>$E37/4</f>
        <v>31035250</v>
      </c>
      <c r="S42" s="20">
        <f>$D37/4</f>
        <v>0</v>
      </c>
      <c r="T42" s="20">
        <f>$D37/4</f>
        <v>0</v>
      </c>
      <c r="U42" s="20">
        <f>$D37/4</f>
        <v>0</v>
      </c>
      <c r="V42" s="20">
        <f>$D37/4</f>
        <v>0</v>
      </c>
      <c r="W42" s="20">
        <f>$C37/4</f>
        <v>0</v>
      </c>
      <c r="X42" s="20">
        <f>$C37/4</f>
        <v>0</v>
      </c>
      <c r="Y42" s="20">
        <f>$C37/4</f>
        <v>0</v>
      </c>
      <c r="Z42" s="20">
        <f>$C37/4</f>
        <v>0</v>
      </c>
      <c r="AA42" s="20">
        <v>0</v>
      </c>
      <c r="AB42" s="20">
        <v>0</v>
      </c>
      <c r="AD42" s="21">
        <f t="shared" si="26"/>
        <v>22625550</v>
      </c>
      <c r="AE42" s="21">
        <f t="shared" si="27"/>
        <v>362755475</v>
      </c>
      <c r="AF42" s="21">
        <f t="shared" si="23"/>
        <v>22096450</v>
      </c>
    </row>
    <row r="43" spans="1:32" x14ac:dyDescent="0.2">
      <c r="A43" t="s">
        <v>113</v>
      </c>
      <c r="B43" s="18" t="s">
        <v>97</v>
      </c>
      <c r="C43" s="22">
        <f>$C37</f>
        <v>0</v>
      </c>
      <c r="D43" s="22">
        <f>$D37</f>
        <v>0</v>
      </c>
      <c r="E43" s="22">
        <f>$E37</f>
        <v>124141000</v>
      </c>
      <c r="F43" s="23">
        <f t="shared" si="24"/>
        <v>20</v>
      </c>
      <c r="G43" s="4">
        <v>40129000</v>
      </c>
      <c r="I43" s="20">
        <f t="shared" si="22"/>
        <v>40129000</v>
      </c>
      <c r="J43" s="20">
        <f t="shared" si="25"/>
        <v>44722000</v>
      </c>
      <c r="K43" s="20">
        <f t="shared" si="28"/>
        <v>46462000</v>
      </c>
      <c r="L43" s="20">
        <f t="shared" si="29"/>
        <v>42144000</v>
      </c>
      <c r="M43" s="20">
        <f t="shared" si="30"/>
        <v>96531000</v>
      </c>
      <c r="N43" s="20">
        <f t="shared" si="31"/>
        <v>48845000</v>
      </c>
      <c r="O43" s="20">
        <f t="shared" ref="O43:O48" si="32">G37</f>
        <v>49666000</v>
      </c>
      <c r="P43" s="20">
        <f>$E37/4</f>
        <v>31035250</v>
      </c>
      <c r="Q43" s="20">
        <f>$E37/4</f>
        <v>31035250</v>
      </c>
      <c r="R43" s="20">
        <f>$E37/4</f>
        <v>31035250</v>
      </c>
      <c r="S43" s="20">
        <f>$E37/4</f>
        <v>31035250</v>
      </c>
      <c r="T43" s="20">
        <f>$D37/4</f>
        <v>0</v>
      </c>
      <c r="U43" s="20">
        <f>$D37/4</f>
        <v>0</v>
      </c>
      <c r="V43" s="20">
        <f>$D37/4</f>
        <v>0</v>
      </c>
      <c r="W43" s="20">
        <f>$D37/4</f>
        <v>0</v>
      </c>
      <c r="X43" s="20">
        <f>$C37/4</f>
        <v>0</v>
      </c>
      <c r="Y43" s="20">
        <f>$C37/4</f>
        <v>0</v>
      </c>
      <c r="Z43" s="20">
        <f>$C37/4</f>
        <v>0</v>
      </c>
      <c r="AA43" s="20">
        <f>$C37/4</f>
        <v>0</v>
      </c>
      <c r="AB43" s="20">
        <v>0</v>
      </c>
      <c r="AD43" s="21">
        <f t="shared" si="26"/>
        <v>24632000</v>
      </c>
      <c r="AE43" s="21">
        <f t="shared" si="27"/>
        <v>380258925</v>
      </c>
      <c r="AF43" s="21">
        <f t="shared" si="23"/>
        <v>15497000</v>
      </c>
    </row>
    <row r="44" spans="1:32" x14ac:dyDescent="0.2">
      <c r="A44" t="s">
        <v>113</v>
      </c>
      <c r="B44" s="18" t="s">
        <v>96</v>
      </c>
      <c r="C44" s="22">
        <f>$C37</f>
        <v>0</v>
      </c>
      <c r="D44" s="22">
        <f>$D37</f>
        <v>0</v>
      </c>
      <c r="E44" s="22">
        <f>$E37</f>
        <v>124141000</v>
      </c>
      <c r="F44" s="23">
        <f t="shared" si="24"/>
        <v>20</v>
      </c>
      <c r="G44" s="4">
        <v>43592000</v>
      </c>
      <c r="I44" s="20">
        <f t="shared" si="22"/>
        <v>43592000</v>
      </c>
      <c r="J44" s="20">
        <f t="shared" si="25"/>
        <v>40129000</v>
      </c>
      <c r="K44" s="20">
        <f t="shared" si="28"/>
        <v>44722000</v>
      </c>
      <c r="L44" s="20">
        <f t="shared" si="29"/>
        <v>46462000</v>
      </c>
      <c r="M44" s="20">
        <f t="shared" si="30"/>
        <v>42144000</v>
      </c>
      <c r="N44" s="20">
        <f t="shared" si="31"/>
        <v>96531000</v>
      </c>
      <c r="O44" s="20">
        <f t="shared" si="32"/>
        <v>48845000</v>
      </c>
      <c r="P44" s="20">
        <f>G37</f>
        <v>49666000</v>
      </c>
      <c r="Q44" s="20">
        <f>$E37/4</f>
        <v>31035250</v>
      </c>
      <c r="R44" s="20">
        <f>$E37/4</f>
        <v>31035250</v>
      </c>
      <c r="S44" s="20">
        <f>$E37/4</f>
        <v>31035250</v>
      </c>
      <c r="T44" s="20">
        <f>$E37/4</f>
        <v>31035250</v>
      </c>
      <c r="U44" s="20">
        <f>$D37/4</f>
        <v>0</v>
      </c>
      <c r="V44" s="20">
        <f>$D37/4</f>
        <v>0</v>
      </c>
      <c r="W44" s="20">
        <f>$D37/4</f>
        <v>0</v>
      </c>
      <c r="X44" s="20">
        <f>$D37/4</f>
        <v>0</v>
      </c>
      <c r="Y44" s="20">
        <f>$C37/4</f>
        <v>0</v>
      </c>
      <c r="Z44" s="20">
        <f>$C37/4</f>
        <v>0</v>
      </c>
      <c r="AA44" s="20">
        <f>$C37/4</f>
        <v>0</v>
      </c>
      <c r="AB44" s="20">
        <f>$C37/4</f>
        <v>0</v>
      </c>
      <c r="AD44" s="21">
        <f t="shared" si="26"/>
        <v>26811600</v>
      </c>
      <c r="AE44" s="21">
        <f t="shared" si="27"/>
        <v>399218925</v>
      </c>
      <c r="AF44" s="21">
        <f t="shared" si="23"/>
        <v>16780400</v>
      </c>
    </row>
    <row r="45" spans="1:32" x14ac:dyDescent="0.2">
      <c r="A45" t="s">
        <v>113</v>
      </c>
      <c r="B45" s="18" t="s">
        <v>95</v>
      </c>
      <c r="C45" s="22">
        <f>$C37</f>
        <v>0</v>
      </c>
      <c r="D45" s="22">
        <f>$D37</f>
        <v>0</v>
      </c>
      <c r="E45" s="22">
        <f>$E37</f>
        <v>124141000</v>
      </c>
      <c r="F45" s="23">
        <f t="shared" si="24"/>
        <v>20</v>
      </c>
      <c r="G45" s="4">
        <v>61540000</v>
      </c>
      <c r="I45" s="20">
        <f t="shared" si="22"/>
        <v>61540000</v>
      </c>
      <c r="J45" s="20">
        <f t="shared" si="25"/>
        <v>43592000</v>
      </c>
      <c r="K45" s="20">
        <f t="shared" si="28"/>
        <v>40129000</v>
      </c>
      <c r="L45" s="20">
        <f t="shared" si="29"/>
        <v>44722000</v>
      </c>
      <c r="M45" s="20">
        <f t="shared" si="30"/>
        <v>46462000</v>
      </c>
      <c r="N45" s="20">
        <f t="shared" si="31"/>
        <v>42144000</v>
      </c>
      <c r="O45" s="20">
        <f t="shared" si="32"/>
        <v>96531000</v>
      </c>
      <c r="P45" s="20">
        <f>G38</f>
        <v>48845000</v>
      </c>
      <c r="Q45" s="20">
        <f>G37</f>
        <v>49666000</v>
      </c>
      <c r="R45" s="20">
        <f>$E37/4</f>
        <v>31035250</v>
      </c>
      <c r="S45" s="20">
        <f>$E37/4</f>
        <v>31035250</v>
      </c>
      <c r="T45" s="20">
        <f>$E37/4</f>
        <v>31035250</v>
      </c>
      <c r="U45" s="20">
        <f>$E37/4</f>
        <v>31035250</v>
      </c>
      <c r="V45" s="20">
        <f>$D37/4</f>
        <v>0</v>
      </c>
      <c r="W45" s="20">
        <f>$D37/4</f>
        <v>0</v>
      </c>
      <c r="X45" s="20">
        <f>$D37/4</f>
        <v>0</v>
      </c>
      <c r="Y45" s="20">
        <f>$D37/4</f>
        <v>0</v>
      </c>
      <c r="Z45" s="20">
        <f>$C37/4</f>
        <v>0</v>
      </c>
      <c r="AA45" s="20">
        <f>$C37/4</f>
        <v>0</v>
      </c>
      <c r="AB45" s="20">
        <f>$C37/4</f>
        <v>0</v>
      </c>
      <c r="AD45" s="21">
        <f t="shared" si="26"/>
        <v>29888600</v>
      </c>
      <c r="AE45" s="21">
        <f t="shared" si="27"/>
        <v>433947325</v>
      </c>
      <c r="AF45" s="21">
        <f t="shared" si="23"/>
        <v>31651400</v>
      </c>
    </row>
    <row r="46" spans="1:32" x14ac:dyDescent="0.2">
      <c r="A46" t="s">
        <v>113</v>
      </c>
      <c r="B46" s="18" t="s">
        <v>94</v>
      </c>
      <c r="C46" s="22">
        <f>$C37</f>
        <v>0</v>
      </c>
      <c r="D46" s="22">
        <f>$D37</f>
        <v>0</v>
      </c>
      <c r="E46" s="22">
        <f>$E37</f>
        <v>124141000</v>
      </c>
      <c r="F46" s="23">
        <f t="shared" si="24"/>
        <v>20</v>
      </c>
      <c r="G46" s="4">
        <v>52147000</v>
      </c>
      <c r="I46" s="20">
        <f t="shared" si="22"/>
        <v>52147000</v>
      </c>
      <c r="J46" s="20">
        <f t="shared" si="25"/>
        <v>61540000</v>
      </c>
      <c r="K46" s="20">
        <f t="shared" si="28"/>
        <v>43592000</v>
      </c>
      <c r="L46" s="20">
        <f t="shared" si="29"/>
        <v>40129000</v>
      </c>
      <c r="M46" s="20">
        <f t="shared" si="30"/>
        <v>44722000</v>
      </c>
      <c r="N46" s="20">
        <f t="shared" si="31"/>
        <v>46462000</v>
      </c>
      <c r="O46" s="20">
        <f t="shared" si="32"/>
        <v>42144000</v>
      </c>
      <c r="P46" s="20">
        <f>G39</f>
        <v>96531000</v>
      </c>
      <c r="Q46" s="20">
        <f>G38</f>
        <v>48845000</v>
      </c>
      <c r="R46" s="20">
        <f>G37</f>
        <v>49666000</v>
      </c>
      <c r="S46" s="20">
        <f>$E37/4</f>
        <v>31035250</v>
      </c>
      <c r="T46" s="20">
        <f>$E37/4</f>
        <v>31035250</v>
      </c>
      <c r="U46" s="20">
        <f>$E37/4</f>
        <v>31035250</v>
      </c>
      <c r="V46" s="20">
        <f>$E37/4</f>
        <v>31035250</v>
      </c>
      <c r="W46" s="20">
        <f>$D37/4</f>
        <v>0</v>
      </c>
      <c r="X46" s="20">
        <f>$D37/4</f>
        <v>0</v>
      </c>
      <c r="Y46" s="20">
        <f>$D37/4</f>
        <v>0</v>
      </c>
      <c r="Z46" s="20">
        <f>$D37/4</f>
        <v>0</v>
      </c>
      <c r="AA46" s="20">
        <f>$C37/4</f>
        <v>0</v>
      </c>
      <c r="AB46" s="20">
        <f>$C37/4</f>
        <v>0</v>
      </c>
      <c r="AD46" s="21">
        <f t="shared" si="26"/>
        <v>32495950</v>
      </c>
      <c r="AE46" s="21">
        <f t="shared" si="27"/>
        <v>456205725</v>
      </c>
      <c r="AF46" s="21">
        <f t="shared" si="23"/>
        <v>19651050</v>
      </c>
    </row>
    <row r="47" spans="1:32" x14ac:dyDescent="0.2">
      <c r="A47" t="s">
        <v>113</v>
      </c>
      <c r="B47" s="18" t="s">
        <v>93</v>
      </c>
      <c r="C47" s="22">
        <f>$C37</f>
        <v>0</v>
      </c>
      <c r="D47" s="22">
        <f>$D37</f>
        <v>0</v>
      </c>
      <c r="E47" s="22">
        <f>$E37</f>
        <v>124141000</v>
      </c>
      <c r="F47" s="23">
        <f t="shared" si="24"/>
        <v>20</v>
      </c>
      <c r="G47" s="4">
        <v>58734000</v>
      </c>
      <c r="I47" s="20">
        <f t="shared" si="22"/>
        <v>58734000</v>
      </c>
      <c r="J47" s="20">
        <f t="shared" si="25"/>
        <v>52147000</v>
      </c>
      <c r="K47" s="20">
        <f t="shared" si="28"/>
        <v>61540000</v>
      </c>
      <c r="L47" s="20">
        <f t="shared" si="29"/>
        <v>43592000</v>
      </c>
      <c r="M47" s="20">
        <f t="shared" si="30"/>
        <v>40129000</v>
      </c>
      <c r="N47" s="20">
        <f t="shared" si="31"/>
        <v>44722000</v>
      </c>
      <c r="O47" s="20">
        <f t="shared" si="32"/>
        <v>46462000</v>
      </c>
      <c r="P47" s="20">
        <f>G40</f>
        <v>42144000</v>
      </c>
      <c r="Q47" s="20">
        <f>G39</f>
        <v>96531000</v>
      </c>
      <c r="R47" s="20">
        <f>G38</f>
        <v>48845000</v>
      </c>
      <c r="S47" s="20">
        <f>G37</f>
        <v>49666000</v>
      </c>
      <c r="T47" s="20">
        <f>$E37/4</f>
        <v>31035250</v>
      </c>
      <c r="U47" s="20">
        <f>$E37/4</f>
        <v>31035250</v>
      </c>
      <c r="V47" s="20">
        <f>$E37/4</f>
        <v>31035250</v>
      </c>
      <c r="W47" s="20">
        <f>$E37/4</f>
        <v>31035250</v>
      </c>
      <c r="X47" s="20">
        <f>$D37/4</f>
        <v>0</v>
      </c>
      <c r="Y47" s="20">
        <f>$D37/4</f>
        <v>0</v>
      </c>
      <c r="Z47" s="20">
        <f>$D37/4</f>
        <v>0</v>
      </c>
      <c r="AA47" s="20">
        <f>$D37/4</f>
        <v>0</v>
      </c>
      <c r="AB47" s="20">
        <f>$C37/4</f>
        <v>0</v>
      </c>
      <c r="AD47" s="21">
        <f t="shared" si="26"/>
        <v>35432650</v>
      </c>
      <c r="AE47" s="21">
        <f t="shared" si="27"/>
        <v>482443775</v>
      </c>
      <c r="AF47" s="21">
        <f t="shared" si="23"/>
        <v>23301350</v>
      </c>
    </row>
    <row r="48" spans="1:32" x14ac:dyDescent="0.2">
      <c r="A48" t="s">
        <v>113</v>
      </c>
      <c r="B48" s="18" t="s">
        <v>141</v>
      </c>
      <c r="C48" s="22">
        <f>$C37</f>
        <v>0</v>
      </c>
      <c r="D48" s="22">
        <f>$D37</f>
        <v>0</v>
      </c>
      <c r="E48" s="22">
        <f>$E37</f>
        <v>124141000</v>
      </c>
      <c r="F48" s="23">
        <f t="shared" si="24"/>
        <v>20</v>
      </c>
      <c r="G48" s="4">
        <v>43006000</v>
      </c>
      <c r="I48" s="20">
        <f t="shared" si="22"/>
        <v>43006000</v>
      </c>
      <c r="J48" s="20">
        <f t="shared" si="25"/>
        <v>58734000</v>
      </c>
      <c r="K48" s="20">
        <f t="shared" si="28"/>
        <v>52147000</v>
      </c>
      <c r="L48" s="20">
        <f t="shared" si="29"/>
        <v>61540000</v>
      </c>
      <c r="M48" s="20">
        <f t="shared" si="30"/>
        <v>43592000</v>
      </c>
      <c r="N48" s="20">
        <f t="shared" si="31"/>
        <v>40129000</v>
      </c>
      <c r="O48" s="20">
        <f t="shared" si="32"/>
        <v>44722000</v>
      </c>
      <c r="P48" s="20">
        <f>G41</f>
        <v>46462000</v>
      </c>
      <c r="Q48" s="20">
        <f>G40</f>
        <v>42144000</v>
      </c>
      <c r="R48" s="20">
        <f>G39</f>
        <v>96531000</v>
      </c>
      <c r="S48" s="20">
        <f>G38</f>
        <v>48845000</v>
      </c>
      <c r="T48" s="20">
        <f>G37</f>
        <v>49666000</v>
      </c>
      <c r="U48" s="20">
        <f>$E37/4</f>
        <v>31035250</v>
      </c>
      <c r="V48" s="20">
        <f>$E37/4</f>
        <v>31035250</v>
      </c>
      <c r="W48" s="20">
        <f>$E37/4</f>
        <v>31035250</v>
      </c>
      <c r="X48" s="20">
        <f>$E37/4</f>
        <v>31035250</v>
      </c>
      <c r="Y48" s="20">
        <f>$D37/4</f>
        <v>0</v>
      </c>
      <c r="Z48" s="20">
        <f>$D37/4</f>
        <v>0</v>
      </c>
      <c r="AA48" s="20">
        <f>$D37/4</f>
        <v>0</v>
      </c>
      <c r="AB48" s="20">
        <f>$D37/4</f>
        <v>0</v>
      </c>
      <c r="AD48" s="21">
        <f t="shared" si="26"/>
        <v>37582950</v>
      </c>
      <c r="AE48" s="21">
        <f t="shared" si="27"/>
        <v>490017125</v>
      </c>
      <c r="AF48" s="21">
        <f t="shared" si="23"/>
        <v>5423050</v>
      </c>
    </row>
    <row r="50" spans="1:32" x14ac:dyDescent="0.2">
      <c r="H50" s="3"/>
    </row>
    <row r="51" spans="1:32" x14ac:dyDescent="0.2">
      <c r="B51" t="s">
        <v>143</v>
      </c>
    </row>
    <row r="52" spans="1:32" x14ac:dyDescent="0.2">
      <c r="B52" s="6" t="s">
        <v>107</v>
      </c>
      <c r="C52" s="6" t="s">
        <v>438</v>
      </c>
      <c r="D52" s="6" t="s">
        <v>439</v>
      </c>
      <c r="E52" s="6" t="s">
        <v>440</v>
      </c>
      <c r="F52" s="6" t="s">
        <v>441</v>
      </c>
      <c r="G52" s="6" t="s">
        <v>442</v>
      </c>
      <c r="H52" s="15"/>
      <c r="I52" s="6" t="s">
        <v>443</v>
      </c>
      <c r="J52" s="6" t="s">
        <v>444</v>
      </c>
      <c r="K52" s="6" t="s">
        <v>445</v>
      </c>
      <c r="L52" s="6" t="s">
        <v>446</v>
      </c>
      <c r="M52" s="6" t="s">
        <v>447</v>
      </c>
      <c r="N52" s="6" t="s">
        <v>448</v>
      </c>
      <c r="O52" s="6" t="s">
        <v>449</v>
      </c>
      <c r="P52" s="6" t="s">
        <v>450</v>
      </c>
      <c r="Q52" s="6" t="s">
        <v>451</v>
      </c>
      <c r="R52" s="6" t="s">
        <v>452</v>
      </c>
      <c r="S52" s="6" t="s">
        <v>453</v>
      </c>
      <c r="T52" s="6" t="s">
        <v>454</v>
      </c>
      <c r="U52" s="6" t="s">
        <v>455</v>
      </c>
      <c r="V52" s="6" t="s">
        <v>456</v>
      </c>
      <c r="W52" s="6" t="s">
        <v>457</v>
      </c>
      <c r="X52" s="6" t="s">
        <v>458</v>
      </c>
      <c r="Y52" s="6" t="s">
        <v>459</v>
      </c>
      <c r="Z52" s="6" t="s">
        <v>460</v>
      </c>
      <c r="AA52" s="6" t="s">
        <v>461</v>
      </c>
      <c r="AB52" s="6" t="s">
        <v>462</v>
      </c>
      <c r="AC52" s="15"/>
      <c r="AD52" s="6" t="s">
        <v>106</v>
      </c>
      <c r="AE52" s="6" t="s">
        <v>105</v>
      </c>
      <c r="AF52" s="6" t="s">
        <v>463</v>
      </c>
    </row>
    <row r="53" spans="1:32" x14ac:dyDescent="0.2">
      <c r="B53" s="16" t="s">
        <v>464</v>
      </c>
      <c r="I53" s="17">
        <v>20</v>
      </c>
      <c r="J53" s="17">
        <v>19</v>
      </c>
      <c r="K53" s="17">
        <v>18</v>
      </c>
      <c r="L53" s="17">
        <v>17</v>
      </c>
      <c r="M53" s="17">
        <v>16</v>
      </c>
      <c r="N53" s="17">
        <v>15</v>
      </c>
      <c r="O53" s="17">
        <v>14</v>
      </c>
      <c r="P53" s="17">
        <v>13</v>
      </c>
      <c r="Q53" s="17">
        <v>12</v>
      </c>
      <c r="R53" s="17">
        <v>11</v>
      </c>
      <c r="S53" s="17">
        <v>10</v>
      </c>
      <c r="T53" s="17">
        <v>9</v>
      </c>
      <c r="U53" s="17">
        <v>8</v>
      </c>
      <c r="V53" s="17">
        <v>7</v>
      </c>
      <c r="W53" s="17">
        <v>6</v>
      </c>
      <c r="X53" s="17">
        <v>5</v>
      </c>
      <c r="Y53" s="17">
        <v>4</v>
      </c>
      <c r="Z53" s="17">
        <v>3</v>
      </c>
      <c r="AA53" s="17">
        <v>2</v>
      </c>
      <c r="AB53" s="17">
        <v>1</v>
      </c>
    </row>
    <row r="54" spans="1:32" x14ac:dyDescent="0.2">
      <c r="A54" t="s">
        <v>143</v>
      </c>
      <c r="B54" s="18" t="s">
        <v>100</v>
      </c>
      <c r="C54" s="4">
        <v>2455000000</v>
      </c>
      <c r="D54" s="4">
        <v>2577000000</v>
      </c>
      <c r="E54" s="4">
        <v>2779000000</v>
      </c>
      <c r="F54" s="19">
        <v>20</v>
      </c>
      <c r="G54" s="4">
        <v>688000000</v>
      </c>
      <c r="I54" s="20">
        <f t="shared" ref="I54:I65" si="33">G54</f>
        <v>688000000</v>
      </c>
      <c r="J54" s="20">
        <f>$E54/4</f>
        <v>694750000</v>
      </c>
      <c r="K54" s="20">
        <f>$E54/4</f>
        <v>694750000</v>
      </c>
      <c r="L54" s="20">
        <f>$E54/4</f>
        <v>694750000</v>
      </c>
      <c r="M54" s="20">
        <f>$E54/4</f>
        <v>694750000</v>
      </c>
      <c r="N54" s="20">
        <f>$D54/4</f>
        <v>644250000</v>
      </c>
      <c r="O54" s="20">
        <f>$D54/4</f>
        <v>644250000</v>
      </c>
      <c r="P54" s="20">
        <f>$D54/4</f>
        <v>644250000</v>
      </c>
      <c r="Q54" s="20">
        <f>$D54/4</f>
        <v>644250000</v>
      </c>
      <c r="R54" s="20">
        <f>$C54/4</f>
        <v>613750000</v>
      </c>
      <c r="S54" s="20">
        <f>$C54/4</f>
        <v>613750000</v>
      </c>
      <c r="T54" s="20">
        <f>$C54/4</f>
        <v>613750000</v>
      </c>
      <c r="U54" s="20">
        <f>$C54/4</f>
        <v>613750000</v>
      </c>
      <c r="V54" s="20">
        <v>0</v>
      </c>
      <c r="W54" s="20">
        <v>0</v>
      </c>
      <c r="X54" s="20">
        <v>0</v>
      </c>
      <c r="Y54" s="20">
        <v>0</v>
      </c>
      <c r="Z54" s="20">
        <v>0</v>
      </c>
      <c r="AA54" s="20">
        <v>0</v>
      </c>
      <c r="AB54" s="20">
        <v>0</v>
      </c>
      <c r="AD54" s="21">
        <f>SUM(I54:AB54)/$F54</f>
        <v>424950000</v>
      </c>
      <c r="AE54" s="21">
        <f>SUMPRODUCT($I$53:$AB$53,I54:AB54)/$F54</f>
        <v>6025225000</v>
      </c>
      <c r="AF54" s="21">
        <f t="shared" ref="AF54:AF65" si="34">G54-AD54</f>
        <v>263050000</v>
      </c>
    </row>
    <row r="55" spans="1:32" x14ac:dyDescent="0.2">
      <c r="A55" t="s">
        <v>143</v>
      </c>
      <c r="B55" s="18" t="s">
        <v>99</v>
      </c>
      <c r="C55" s="22">
        <f>$C54</f>
        <v>2455000000</v>
      </c>
      <c r="D55" s="22">
        <f>$D54</f>
        <v>2577000000</v>
      </c>
      <c r="E55" s="22">
        <f>$E54</f>
        <v>2779000000</v>
      </c>
      <c r="F55" s="23">
        <f>$F$54</f>
        <v>20</v>
      </c>
      <c r="G55" s="4">
        <v>705000000</v>
      </c>
      <c r="I55" s="20">
        <f t="shared" si="33"/>
        <v>705000000</v>
      </c>
      <c r="J55" s="20">
        <f t="shared" ref="J55:J65" si="35">G54</f>
        <v>688000000</v>
      </c>
      <c r="K55" s="20">
        <f>$E54/4</f>
        <v>694750000</v>
      </c>
      <c r="L55" s="20">
        <f>$E54/4</f>
        <v>694750000</v>
      </c>
      <c r="M55" s="20">
        <f>$E54/4</f>
        <v>694750000</v>
      </c>
      <c r="N55" s="20">
        <f>$E54/4</f>
        <v>694750000</v>
      </c>
      <c r="O55" s="20">
        <f>$D54/4</f>
        <v>644250000</v>
      </c>
      <c r="P55" s="20">
        <f>$D54/4</f>
        <v>644250000</v>
      </c>
      <c r="Q55" s="20">
        <f>$D54/4</f>
        <v>644250000</v>
      </c>
      <c r="R55" s="20">
        <f>$D54/4</f>
        <v>644250000</v>
      </c>
      <c r="S55" s="20">
        <f>$C54/4</f>
        <v>613750000</v>
      </c>
      <c r="T55" s="20">
        <f>$C54/4</f>
        <v>613750000</v>
      </c>
      <c r="U55" s="20">
        <f>$C54/4</f>
        <v>613750000</v>
      </c>
      <c r="V55" s="20">
        <f>$C54/4</f>
        <v>613750000</v>
      </c>
      <c r="W55" s="20">
        <v>0</v>
      </c>
      <c r="X55" s="20">
        <v>0</v>
      </c>
      <c r="Y55" s="20">
        <v>0</v>
      </c>
      <c r="Z55" s="20">
        <v>0</v>
      </c>
      <c r="AA55" s="20">
        <v>0</v>
      </c>
      <c r="AB55" s="20">
        <v>0</v>
      </c>
      <c r="AD55" s="21">
        <f t="shared" ref="AD55:AD65" si="36">SUM(I55:AB55)/$F55</f>
        <v>460200000</v>
      </c>
      <c r="AE55" s="21">
        <f t="shared" ref="AE55:AE65" si="37">SUMPRODUCT($I$53:$AB$53,I55:AB55)/$F55</f>
        <v>6305275000</v>
      </c>
      <c r="AF55" s="21">
        <f t="shared" si="34"/>
        <v>244800000</v>
      </c>
    </row>
    <row r="56" spans="1:32" x14ac:dyDescent="0.2">
      <c r="A56" t="s">
        <v>143</v>
      </c>
      <c r="B56" s="18" t="s">
        <v>98</v>
      </c>
      <c r="C56" s="22">
        <f>$C54</f>
        <v>2455000000</v>
      </c>
      <c r="D56" s="22">
        <f>$D54</f>
        <v>2577000000</v>
      </c>
      <c r="E56" s="22">
        <f>$E54</f>
        <v>2779000000</v>
      </c>
      <c r="F56" s="23">
        <f t="shared" ref="F56:F65" si="38">$F$54</f>
        <v>20</v>
      </c>
      <c r="G56" s="4">
        <v>692000000</v>
      </c>
      <c r="I56" s="20">
        <f t="shared" si="33"/>
        <v>692000000</v>
      </c>
      <c r="J56" s="20">
        <f t="shared" si="35"/>
        <v>705000000</v>
      </c>
      <c r="K56" s="20">
        <f t="shared" ref="K56:K65" si="39">G54</f>
        <v>688000000</v>
      </c>
      <c r="L56" s="20">
        <f>$E54/4</f>
        <v>694750000</v>
      </c>
      <c r="M56" s="20">
        <f>$E54/4</f>
        <v>694750000</v>
      </c>
      <c r="N56" s="20">
        <f>$E54/4</f>
        <v>694750000</v>
      </c>
      <c r="O56" s="20">
        <f>$E54/4</f>
        <v>694750000</v>
      </c>
      <c r="P56" s="20">
        <f>$D54/4</f>
        <v>644250000</v>
      </c>
      <c r="Q56" s="20">
        <f>$D54/4</f>
        <v>644250000</v>
      </c>
      <c r="R56" s="20">
        <f>$D54/4</f>
        <v>644250000</v>
      </c>
      <c r="S56" s="20">
        <f>$D54/4</f>
        <v>644250000</v>
      </c>
      <c r="T56" s="20">
        <f>$C54/4</f>
        <v>613750000</v>
      </c>
      <c r="U56" s="20">
        <f>$C54/4</f>
        <v>613750000</v>
      </c>
      <c r="V56" s="20">
        <f>$C54/4</f>
        <v>613750000</v>
      </c>
      <c r="W56" s="20">
        <f>$C54/4</f>
        <v>613750000</v>
      </c>
      <c r="X56" s="20">
        <v>0</v>
      </c>
      <c r="Y56" s="20">
        <v>0</v>
      </c>
      <c r="Z56" s="20">
        <v>0</v>
      </c>
      <c r="AA56" s="20">
        <v>0</v>
      </c>
      <c r="AB56" s="20">
        <v>0</v>
      </c>
      <c r="AD56" s="21">
        <f t="shared" si="36"/>
        <v>494800000</v>
      </c>
      <c r="AE56" s="21">
        <f t="shared" si="37"/>
        <v>6537075000</v>
      </c>
      <c r="AF56" s="21">
        <f t="shared" si="34"/>
        <v>197200000</v>
      </c>
    </row>
    <row r="57" spans="1:32" x14ac:dyDescent="0.2">
      <c r="A57" t="s">
        <v>143</v>
      </c>
      <c r="B57" s="18" t="s">
        <v>97</v>
      </c>
      <c r="C57" s="22">
        <f>$C54</f>
        <v>2455000000</v>
      </c>
      <c r="D57" s="22">
        <f>$D54</f>
        <v>2577000000</v>
      </c>
      <c r="E57" s="22">
        <f>$E54</f>
        <v>2779000000</v>
      </c>
      <c r="F57" s="23">
        <f t="shared" si="38"/>
        <v>20</v>
      </c>
      <c r="G57" s="4">
        <v>716000000</v>
      </c>
      <c r="I57" s="20">
        <f t="shared" si="33"/>
        <v>716000000</v>
      </c>
      <c r="J57" s="20">
        <f t="shared" si="35"/>
        <v>692000000</v>
      </c>
      <c r="K57" s="20">
        <f t="shared" si="39"/>
        <v>705000000</v>
      </c>
      <c r="L57" s="20">
        <f t="shared" ref="L57:L65" si="40">G54</f>
        <v>688000000</v>
      </c>
      <c r="M57" s="20">
        <f>$E54/4</f>
        <v>694750000</v>
      </c>
      <c r="N57" s="20">
        <f>$E54/4</f>
        <v>694750000</v>
      </c>
      <c r="O57" s="20">
        <f>$E54/4</f>
        <v>694750000</v>
      </c>
      <c r="P57" s="20">
        <f>$E54/4</f>
        <v>694750000</v>
      </c>
      <c r="Q57" s="20">
        <f>$D54/4</f>
        <v>644250000</v>
      </c>
      <c r="R57" s="20">
        <f>$D54/4</f>
        <v>644250000</v>
      </c>
      <c r="S57" s="20">
        <f>$D54/4</f>
        <v>644250000</v>
      </c>
      <c r="T57" s="20">
        <f>$D54/4</f>
        <v>644250000</v>
      </c>
      <c r="U57" s="20">
        <f>$C54/4</f>
        <v>613750000</v>
      </c>
      <c r="V57" s="20">
        <f>$C54/4</f>
        <v>613750000</v>
      </c>
      <c r="W57" s="20">
        <f>$C54/4</f>
        <v>613750000</v>
      </c>
      <c r="X57" s="20">
        <f>$C54/4</f>
        <v>613750000</v>
      </c>
      <c r="Y57" s="20">
        <v>0</v>
      </c>
      <c r="Z57" s="20">
        <v>0</v>
      </c>
      <c r="AA57" s="20">
        <v>0</v>
      </c>
      <c r="AB57" s="20">
        <v>0</v>
      </c>
      <c r="AD57" s="21">
        <f t="shared" si="36"/>
        <v>530600000</v>
      </c>
      <c r="AE57" s="21">
        <f t="shared" si="37"/>
        <v>6758275000</v>
      </c>
      <c r="AF57" s="21">
        <f t="shared" si="34"/>
        <v>185400000</v>
      </c>
    </row>
    <row r="58" spans="1:32" x14ac:dyDescent="0.2">
      <c r="A58" t="s">
        <v>143</v>
      </c>
      <c r="B58" s="18" t="s">
        <v>96</v>
      </c>
      <c r="C58" s="22">
        <f>$C54</f>
        <v>2455000000</v>
      </c>
      <c r="D58" s="22">
        <f>$D54</f>
        <v>2577000000</v>
      </c>
      <c r="E58" s="22">
        <f>$E54</f>
        <v>2779000000</v>
      </c>
      <c r="F58" s="23">
        <f t="shared" si="38"/>
        <v>20</v>
      </c>
      <c r="G58" s="4">
        <v>763000000</v>
      </c>
      <c r="I58" s="20">
        <f t="shared" si="33"/>
        <v>763000000</v>
      </c>
      <c r="J58" s="20">
        <f t="shared" si="35"/>
        <v>716000000</v>
      </c>
      <c r="K58" s="20">
        <f t="shared" si="39"/>
        <v>692000000</v>
      </c>
      <c r="L58" s="20">
        <f t="shared" si="40"/>
        <v>705000000</v>
      </c>
      <c r="M58" s="20">
        <f t="shared" ref="M58:M65" si="41">G54</f>
        <v>688000000</v>
      </c>
      <c r="N58" s="20">
        <f>$E54/4</f>
        <v>694750000</v>
      </c>
      <c r="O58" s="20">
        <f>$E54/4</f>
        <v>694750000</v>
      </c>
      <c r="P58" s="20">
        <f>$E54/4</f>
        <v>694750000</v>
      </c>
      <c r="Q58" s="20">
        <f>$E54/4</f>
        <v>694750000</v>
      </c>
      <c r="R58" s="20">
        <f>$D54/4</f>
        <v>644250000</v>
      </c>
      <c r="S58" s="20">
        <f>$D54/4</f>
        <v>644250000</v>
      </c>
      <c r="T58" s="20">
        <f>$D54/4</f>
        <v>644250000</v>
      </c>
      <c r="U58" s="20">
        <f>$D54/4</f>
        <v>644250000</v>
      </c>
      <c r="V58" s="20">
        <f>$C54/4</f>
        <v>613750000</v>
      </c>
      <c r="W58" s="20">
        <f>$C54/4</f>
        <v>613750000</v>
      </c>
      <c r="X58" s="20">
        <f>$C54/4</f>
        <v>613750000</v>
      </c>
      <c r="Y58" s="20">
        <f>$C54/4</f>
        <v>613750000</v>
      </c>
      <c r="Z58" s="20">
        <v>0</v>
      </c>
      <c r="AA58" s="20">
        <v>0</v>
      </c>
      <c r="AB58" s="20">
        <v>0</v>
      </c>
      <c r="AD58" s="21">
        <f t="shared" si="36"/>
        <v>568750000</v>
      </c>
      <c r="AE58" s="21">
        <f t="shared" si="37"/>
        <v>6990675000</v>
      </c>
      <c r="AF58" s="21">
        <f t="shared" si="34"/>
        <v>194250000</v>
      </c>
    </row>
    <row r="59" spans="1:32" x14ac:dyDescent="0.2">
      <c r="A59" t="s">
        <v>143</v>
      </c>
      <c r="B59" s="18" t="s">
        <v>95</v>
      </c>
      <c r="C59" s="22">
        <f>$C54</f>
        <v>2455000000</v>
      </c>
      <c r="D59" s="22">
        <f>$D54</f>
        <v>2577000000</v>
      </c>
      <c r="E59" s="22">
        <f>$E54</f>
        <v>2779000000</v>
      </c>
      <c r="F59" s="23">
        <f t="shared" si="38"/>
        <v>20</v>
      </c>
      <c r="G59" s="4">
        <v>780000000</v>
      </c>
      <c r="I59" s="20">
        <f t="shared" si="33"/>
        <v>780000000</v>
      </c>
      <c r="J59" s="20">
        <f t="shared" si="35"/>
        <v>763000000</v>
      </c>
      <c r="K59" s="20">
        <f t="shared" si="39"/>
        <v>716000000</v>
      </c>
      <c r="L59" s="20">
        <f t="shared" si="40"/>
        <v>692000000</v>
      </c>
      <c r="M59" s="20">
        <f t="shared" si="41"/>
        <v>705000000</v>
      </c>
      <c r="N59" s="20">
        <f t="shared" ref="N59:N65" si="42">G54</f>
        <v>688000000</v>
      </c>
      <c r="O59" s="20">
        <f>$E54/4</f>
        <v>694750000</v>
      </c>
      <c r="P59" s="20">
        <f>$E54/4</f>
        <v>694750000</v>
      </c>
      <c r="Q59" s="20">
        <f>$E54/4</f>
        <v>694750000</v>
      </c>
      <c r="R59" s="20">
        <f>$E54/4</f>
        <v>694750000</v>
      </c>
      <c r="S59" s="20">
        <f>$D54/4</f>
        <v>644250000</v>
      </c>
      <c r="T59" s="20">
        <f>$D54/4</f>
        <v>644250000</v>
      </c>
      <c r="U59" s="20">
        <f>$D54/4</f>
        <v>644250000</v>
      </c>
      <c r="V59" s="20">
        <f>$D54/4</f>
        <v>644250000</v>
      </c>
      <c r="W59" s="20">
        <f>$C54/4</f>
        <v>613750000</v>
      </c>
      <c r="X59" s="20">
        <f>$C54/4</f>
        <v>613750000</v>
      </c>
      <c r="Y59" s="20">
        <f>$C54/4</f>
        <v>613750000</v>
      </c>
      <c r="Z59" s="20">
        <f>$C54/4</f>
        <v>613750000</v>
      </c>
      <c r="AA59" s="20">
        <v>0</v>
      </c>
      <c r="AB59" s="20">
        <v>0</v>
      </c>
      <c r="AD59" s="21">
        <f t="shared" si="36"/>
        <v>607750000</v>
      </c>
      <c r="AE59" s="21">
        <f t="shared" si="37"/>
        <v>7201925000</v>
      </c>
      <c r="AF59" s="21">
        <f t="shared" si="34"/>
        <v>172250000</v>
      </c>
    </row>
    <row r="60" spans="1:32" x14ac:dyDescent="0.2">
      <c r="A60" t="s">
        <v>143</v>
      </c>
      <c r="B60" s="18" t="s">
        <v>94</v>
      </c>
      <c r="C60" s="22">
        <f>$C54</f>
        <v>2455000000</v>
      </c>
      <c r="D60" s="22">
        <f>$D54</f>
        <v>2577000000</v>
      </c>
      <c r="E60" s="22">
        <f>$E54</f>
        <v>2779000000</v>
      </c>
      <c r="F60" s="23">
        <f t="shared" si="38"/>
        <v>20</v>
      </c>
      <c r="G60" s="4">
        <v>745000000</v>
      </c>
      <c r="I60" s="20">
        <f t="shared" si="33"/>
        <v>745000000</v>
      </c>
      <c r="J60" s="20">
        <f t="shared" si="35"/>
        <v>780000000</v>
      </c>
      <c r="K60" s="20">
        <f t="shared" si="39"/>
        <v>763000000</v>
      </c>
      <c r="L60" s="20">
        <f t="shared" si="40"/>
        <v>716000000</v>
      </c>
      <c r="M60" s="20">
        <f t="shared" si="41"/>
        <v>692000000</v>
      </c>
      <c r="N60" s="20">
        <f t="shared" si="42"/>
        <v>705000000</v>
      </c>
      <c r="O60" s="20">
        <f t="shared" ref="O60:O65" si="43">G54</f>
        <v>688000000</v>
      </c>
      <c r="P60" s="20">
        <f>$E54/4</f>
        <v>694750000</v>
      </c>
      <c r="Q60" s="20">
        <f>$E54/4</f>
        <v>694750000</v>
      </c>
      <c r="R60" s="20">
        <f>$E54/4</f>
        <v>694750000</v>
      </c>
      <c r="S60" s="20">
        <f>$E54/4</f>
        <v>694750000</v>
      </c>
      <c r="T60" s="20">
        <f>$D54/4</f>
        <v>644250000</v>
      </c>
      <c r="U60" s="20">
        <f>$D54/4</f>
        <v>644250000</v>
      </c>
      <c r="V60" s="20">
        <f>$D54/4</f>
        <v>644250000</v>
      </c>
      <c r="W60" s="20">
        <f>$D54/4</f>
        <v>644250000</v>
      </c>
      <c r="X60" s="20">
        <f>$C54/4</f>
        <v>613750000</v>
      </c>
      <c r="Y60" s="20">
        <f>$C54/4</f>
        <v>613750000</v>
      </c>
      <c r="Z60" s="20">
        <f>$C54/4</f>
        <v>613750000</v>
      </c>
      <c r="AA60" s="20">
        <f>$C54/4</f>
        <v>613750000</v>
      </c>
      <c r="AB60" s="20">
        <v>0</v>
      </c>
      <c r="AD60" s="21">
        <f t="shared" si="36"/>
        <v>645000000</v>
      </c>
      <c r="AE60" s="21">
        <f t="shared" si="37"/>
        <v>7339175000</v>
      </c>
      <c r="AF60" s="21">
        <f t="shared" si="34"/>
        <v>100000000</v>
      </c>
    </row>
    <row r="61" spans="1:32" x14ac:dyDescent="0.2">
      <c r="A61" t="s">
        <v>143</v>
      </c>
      <c r="B61" s="18" t="s">
        <v>93</v>
      </c>
      <c r="C61" s="22">
        <f>$C54</f>
        <v>2455000000</v>
      </c>
      <c r="D61" s="22">
        <f>$D54</f>
        <v>2577000000</v>
      </c>
      <c r="E61" s="22">
        <f>$E54</f>
        <v>2779000000</v>
      </c>
      <c r="F61" s="23">
        <f t="shared" si="38"/>
        <v>20</v>
      </c>
      <c r="G61" s="4">
        <v>773000000</v>
      </c>
      <c r="I61" s="20">
        <f t="shared" si="33"/>
        <v>773000000</v>
      </c>
      <c r="J61" s="20">
        <f t="shared" si="35"/>
        <v>745000000</v>
      </c>
      <c r="K61" s="20">
        <f t="shared" si="39"/>
        <v>780000000</v>
      </c>
      <c r="L61" s="20">
        <f t="shared" si="40"/>
        <v>763000000</v>
      </c>
      <c r="M61" s="20">
        <f t="shared" si="41"/>
        <v>716000000</v>
      </c>
      <c r="N61" s="20">
        <f t="shared" si="42"/>
        <v>692000000</v>
      </c>
      <c r="O61" s="20">
        <f t="shared" si="43"/>
        <v>705000000</v>
      </c>
      <c r="P61" s="20">
        <f>G54</f>
        <v>688000000</v>
      </c>
      <c r="Q61" s="20">
        <f>$E54/4</f>
        <v>694750000</v>
      </c>
      <c r="R61" s="20">
        <f>$E54/4</f>
        <v>694750000</v>
      </c>
      <c r="S61" s="20">
        <f>$E54/4</f>
        <v>694750000</v>
      </c>
      <c r="T61" s="20">
        <f>$E54/4</f>
        <v>694750000</v>
      </c>
      <c r="U61" s="20">
        <f>$D54/4</f>
        <v>644250000</v>
      </c>
      <c r="V61" s="20">
        <f>$D54/4</f>
        <v>644250000</v>
      </c>
      <c r="W61" s="20">
        <f>$D54/4</f>
        <v>644250000</v>
      </c>
      <c r="X61" s="20">
        <f>$D54/4</f>
        <v>644250000</v>
      </c>
      <c r="Y61" s="20">
        <f>$C54/4</f>
        <v>613750000</v>
      </c>
      <c r="Z61" s="20">
        <f>$C54/4</f>
        <v>613750000</v>
      </c>
      <c r="AA61" s="20">
        <f>$C54/4</f>
        <v>613750000</v>
      </c>
      <c r="AB61" s="20">
        <f>$C54/4</f>
        <v>613750000</v>
      </c>
      <c r="AD61" s="21">
        <f t="shared" si="36"/>
        <v>683650000</v>
      </c>
      <c r="AE61" s="21">
        <f t="shared" si="37"/>
        <v>7467175000</v>
      </c>
      <c r="AF61" s="21">
        <f t="shared" si="34"/>
        <v>89350000</v>
      </c>
    </row>
    <row r="62" spans="1:32" x14ac:dyDescent="0.2">
      <c r="A62" t="s">
        <v>143</v>
      </c>
      <c r="B62" s="18" t="s">
        <v>141</v>
      </c>
      <c r="C62" s="22">
        <f>$C54</f>
        <v>2455000000</v>
      </c>
      <c r="D62" s="22">
        <f>$D54</f>
        <v>2577000000</v>
      </c>
      <c r="E62" s="22">
        <f>$E54</f>
        <v>2779000000</v>
      </c>
      <c r="F62" s="23">
        <f t="shared" si="38"/>
        <v>20</v>
      </c>
      <c r="G62" s="4">
        <v>808000000</v>
      </c>
      <c r="I62" s="20">
        <f t="shared" si="33"/>
        <v>808000000</v>
      </c>
      <c r="J62" s="20">
        <f t="shared" si="35"/>
        <v>773000000</v>
      </c>
      <c r="K62" s="20">
        <f t="shared" si="39"/>
        <v>745000000</v>
      </c>
      <c r="L62" s="20">
        <f t="shared" si="40"/>
        <v>780000000</v>
      </c>
      <c r="M62" s="20">
        <f t="shared" si="41"/>
        <v>763000000</v>
      </c>
      <c r="N62" s="20">
        <f t="shared" si="42"/>
        <v>716000000</v>
      </c>
      <c r="O62" s="20">
        <f t="shared" si="43"/>
        <v>692000000</v>
      </c>
      <c r="P62" s="20">
        <f>G55</f>
        <v>705000000</v>
      </c>
      <c r="Q62" s="20">
        <f>G54</f>
        <v>688000000</v>
      </c>
      <c r="R62" s="20">
        <f>$E54/4</f>
        <v>694750000</v>
      </c>
      <c r="S62" s="20">
        <f>$E54/4</f>
        <v>694750000</v>
      </c>
      <c r="T62" s="20">
        <f>$E54/4</f>
        <v>694750000</v>
      </c>
      <c r="U62" s="20">
        <f>$E54/4</f>
        <v>694750000</v>
      </c>
      <c r="V62" s="20">
        <f>$D54/4</f>
        <v>644250000</v>
      </c>
      <c r="W62" s="20">
        <f>$D54/4</f>
        <v>644250000</v>
      </c>
      <c r="X62" s="20">
        <f>$D54/4</f>
        <v>644250000</v>
      </c>
      <c r="Y62" s="20">
        <f>$D54/4</f>
        <v>644250000</v>
      </c>
      <c r="Z62" s="20">
        <f>$C54/4</f>
        <v>613750000</v>
      </c>
      <c r="AA62" s="20">
        <f>$C54/4</f>
        <v>613750000</v>
      </c>
      <c r="AB62" s="20">
        <f>$C54/4</f>
        <v>613750000</v>
      </c>
      <c r="AD62" s="21">
        <f t="shared" si="36"/>
        <v>693362500</v>
      </c>
      <c r="AE62" s="21">
        <f t="shared" si="37"/>
        <v>7591525000</v>
      </c>
      <c r="AF62" s="21">
        <f t="shared" si="34"/>
        <v>114637500</v>
      </c>
    </row>
    <row r="63" spans="1:32" x14ac:dyDescent="0.2">
      <c r="A63" t="s">
        <v>143</v>
      </c>
      <c r="B63" s="18" t="s">
        <v>160</v>
      </c>
      <c r="C63" s="22">
        <f>$C54</f>
        <v>2455000000</v>
      </c>
      <c r="D63" s="22">
        <f>$D54</f>
        <v>2577000000</v>
      </c>
      <c r="E63" s="22">
        <f>$E54</f>
        <v>2779000000</v>
      </c>
      <c r="F63" s="23">
        <f t="shared" si="38"/>
        <v>20</v>
      </c>
      <c r="G63" s="4">
        <v>785000000</v>
      </c>
      <c r="I63" s="20">
        <f t="shared" si="33"/>
        <v>785000000</v>
      </c>
      <c r="J63" s="20">
        <f t="shared" si="35"/>
        <v>808000000</v>
      </c>
      <c r="K63" s="20">
        <f t="shared" si="39"/>
        <v>773000000</v>
      </c>
      <c r="L63" s="20">
        <f t="shared" si="40"/>
        <v>745000000</v>
      </c>
      <c r="M63" s="20">
        <f t="shared" si="41"/>
        <v>780000000</v>
      </c>
      <c r="N63" s="20">
        <f t="shared" si="42"/>
        <v>763000000</v>
      </c>
      <c r="O63" s="20">
        <f t="shared" si="43"/>
        <v>716000000</v>
      </c>
      <c r="P63" s="20">
        <f>G56</f>
        <v>692000000</v>
      </c>
      <c r="Q63" s="20">
        <f>G55</f>
        <v>705000000</v>
      </c>
      <c r="R63" s="20">
        <f>G54</f>
        <v>688000000</v>
      </c>
      <c r="S63" s="20">
        <f>$E54/4</f>
        <v>694750000</v>
      </c>
      <c r="T63" s="20">
        <f>$E54/4</f>
        <v>694750000</v>
      </c>
      <c r="U63" s="20">
        <f>$E54/4</f>
        <v>694750000</v>
      </c>
      <c r="V63" s="20">
        <f>$E54/4</f>
        <v>694750000</v>
      </c>
      <c r="W63" s="20">
        <f>$D54/4</f>
        <v>644250000</v>
      </c>
      <c r="X63" s="20">
        <f>$D54/4</f>
        <v>644250000</v>
      </c>
      <c r="Y63" s="20">
        <f>$D54/4</f>
        <v>644250000</v>
      </c>
      <c r="Z63" s="20">
        <f>$D54/4</f>
        <v>644250000</v>
      </c>
      <c r="AA63" s="20">
        <f>$C54/4</f>
        <v>613750000</v>
      </c>
      <c r="AB63" s="20">
        <f>$C54/4</f>
        <v>613750000</v>
      </c>
      <c r="AD63" s="21">
        <f t="shared" si="36"/>
        <v>701925000</v>
      </c>
      <c r="AE63" s="21">
        <f t="shared" si="37"/>
        <v>7683162500</v>
      </c>
      <c r="AF63" s="21">
        <f t="shared" si="34"/>
        <v>83075000</v>
      </c>
    </row>
    <row r="64" spans="1:32" x14ac:dyDescent="0.2">
      <c r="A64" t="s">
        <v>143</v>
      </c>
      <c r="B64" s="18" t="s">
        <v>161</v>
      </c>
      <c r="C64" s="22">
        <f>$C54</f>
        <v>2455000000</v>
      </c>
      <c r="D64" s="22">
        <f>$D54</f>
        <v>2577000000</v>
      </c>
      <c r="E64" s="22">
        <f>$E54</f>
        <v>2779000000</v>
      </c>
      <c r="F64" s="23">
        <f t="shared" si="38"/>
        <v>20</v>
      </c>
      <c r="G64" s="4">
        <v>752000000</v>
      </c>
      <c r="I64" s="20">
        <f t="shared" si="33"/>
        <v>752000000</v>
      </c>
      <c r="J64" s="20">
        <f t="shared" si="35"/>
        <v>785000000</v>
      </c>
      <c r="K64" s="20">
        <f t="shared" si="39"/>
        <v>808000000</v>
      </c>
      <c r="L64" s="20">
        <f t="shared" si="40"/>
        <v>773000000</v>
      </c>
      <c r="M64" s="20">
        <f t="shared" si="41"/>
        <v>745000000</v>
      </c>
      <c r="N64" s="20">
        <f t="shared" si="42"/>
        <v>780000000</v>
      </c>
      <c r="O64" s="20">
        <f t="shared" si="43"/>
        <v>763000000</v>
      </c>
      <c r="P64" s="20">
        <f>G57</f>
        <v>716000000</v>
      </c>
      <c r="Q64" s="20">
        <f>G56</f>
        <v>692000000</v>
      </c>
      <c r="R64" s="20">
        <f>G55</f>
        <v>705000000</v>
      </c>
      <c r="S64" s="20">
        <f>G54</f>
        <v>688000000</v>
      </c>
      <c r="T64" s="20">
        <f>$E54/4</f>
        <v>694750000</v>
      </c>
      <c r="U64" s="20">
        <f>$E54/4</f>
        <v>694750000</v>
      </c>
      <c r="V64" s="20">
        <f>$E54/4</f>
        <v>694750000</v>
      </c>
      <c r="W64" s="20">
        <f>$E54/4</f>
        <v>694750000</v>
      </c>
      <c r="X64" s="20">
        <f>$D54/4</f>
        <v>644250000</v>
      </c>
      <c r="Y64" s="20">
        <f>$D54/4</f>
        <v>644250000</v>
      </c>
      <c r="Z64" s="20">
        <f>$D54/4</f>
        <v>644250000</v>
      </c>
      <c r="AA64" s="20">
        <f>$D54/4</f>
        <v>644250000</v>
      </c>
      <c r="AB64" s="20">
        <f>$C54/4</f>
        <v>613750000</v>
      </c>
      <c r="AD64" s="21">
        <f t="shared" si="36"/>
        <v>708837500</v>
      </c>
      <c r="AE64" s="21">
        <f t="shared" si="37"/>
        <v>7733237500</v>
      </c>
      <c r="AF64" s="21">
        <f t="shared" si="34"/>
        <v>43162500</v>
      </c>
    </row>
    <row r="65" spans="1:32" x14ac:dyDescent="0.2">
      <c r="A65" t="s">
        <v>143</v>
      </c>
      <c r="B65" s="18" t="s">
        <v>162</v>
      </c>
      <c r="C65" s="22">
        <f>$C54</f>
        <v>2455000000</v>
      </c>
      <c r="D65" s="22">
        <f>$D54</f>
        <v>2577000000</v>
      </c>
      <c r="E65" s="22">
        <f>$E54</f>
        <v>2779000000</v>
      </c>
      <c r="F65" s="23">
        <f t="shared" si="38"/>
        <v>20</v>
      </c>
      <c r="G65" s="4">
        <v>797000000</v>
      </c>
      <c r="I65" s="20">
        <f t="shared" si="33"/>
        <v>797000000</v>
      </c>
      <c r="J65" s="20">
        <f t="shared" si="35"/>
        <v>752000000</v>
      </c>
      <c r="K65" s="20">
        <f t="shared" si="39"/>
        <v>785000000</v>
      </c>
      <c r="L65" s="20">
        <f t="shared" si="40"/>
        <v>808000000</v>
      </c>
      <c r="M65" s="20">
        <f t="shared" si="41"/>
        <v>773000000</v>
      </c>
      <c r="N65" s="20">
        <f t="shared" si="42"/>
        <v>745000000</v>
      </c>
      <c r="O65" s="20">
        <f t="shared" si="43"/>
        <v>780000000</v>
      </c>
      <c r="P65" s="20">
        <f>G58</f>
        <v>763000000</v>
      </c>
      <c r="Q65" s="20">
        <f>G57</f>
        <v>716000000</v>
      </c>
      <c r="R65" s="20">
        <f>G56</f>
        <v>692000000</v>
      </c>
      <c r="S65" s="20">
        <f>G55</f>
        <v>705000000</v>
      </c>
      <c r="T65" s="20">
        <f>G54</f>
        <v>688000000</v>
      </c>
      <c r="U65" s="20">
        <f>$E54/4</f>
        <v>694750000</v>
      </c>
      <c r="V65" s="20">
        <f>$E54/4</f>
        <v>694750000</v>
      </c>
      <c r="W65" s="20">
        <f>$E54/4</f>
        <v>694750000</v>
      </c>
      <c r="X65" s="20">
        <f>$E54/4</f>
        <v>694750000</v>
      </c>
      <c r="Y65" s="20">
        <f>$D54/4</f>
        <v>644250000</v>
      </c>
      <c r="Z65" s="20">
        <f>$D54/4</f>
        <v>644250000</v>
      </c>
      <c r="AA65" s="20">
        <f>$D54/4</f>
        <v>644250000</v>
      </c>
      <c r="AB65" s="20">
        <f>$D54/4</f>
        <v>644250000</v>
      </c>
      <c r="AD65" s="21">
        <f t="shared" si="36"/>
        <v>718000000</v>
      </c>
      <c r="AE65" s="21">
        <f t="shared" si="37"/>
        <v>7821400000</v>
      </c>
      <c r="AF65" s="21">
        <f t="shared" si="34"/>
        <v>79000000</v>
      </c>
    </row>
    <row r="66" spans="1:32" x14ac:dyDescent="0.2">
      <c r="H66" s="3"/>
    </row>
    <row r="68" spans="1:32" x14ac:dyDescent="0.2">
      <c r="B68" t="s">
        <v>163</v>
      </c>
    </row>
    <row r="69" spans="1:32" x14ac:dyDescent="0.2">
      <c r="B69" s="6" t="s">
        <v>107</v>
      </c>
      <c r="C69" s="6" t="s">
        <v>438</v>
      </c>
      <c r="D69" s="6" t="s">
        <v>439</v>
      </c>
      <c r="E69" s="6" t="s">
        <v>440</v>
      </c>
      <c r="F69" s="6" t="s">
        <v>441</v>
      </c>
      <c r="G69" s="6" t="s">
        <v>442</v>
      </c>
      <c r="H69" s="15"/>
      <c r="I69" s="6" t="s">
        <v>443</v>
      </c>
      <c r="J69" s="6" t="s">
        <v>444</v>
      </c>
      <c r="K69" s="6" t="s">
        <v>445</v>
      </c>
      <c r="L69" s="6" t="s">
        <v>446</v>
      </c>
      <c r="M69" s="6" t="s">
        <v>447</v>
      </c>
      <c r="N69" s="6" t="s">
        <v>448</v>
      </c>
      <c r="O69" s="6" t="s">
        <v>449</v>
      </c>
      <c r="P69" s="6" t="s">
        <v>450</v>
      </c>
      <c r="Q69" s="6" t="s">
        <v>451</v>
      </c>
      <c r="R69" s="6" t="s">
        <v>452</v>
      </c>
      <c r="S69" s="6" t="s">
        <v>453</v>
      </c>
      <c r="T69" s="6" t="s">
        <v>454</v>
      </c>
      <c r="U69" s="6" t="s">
        <v>455</v>
      </c>
      <c r="V69" s="6" t="s">
        <v>456</v>
      </c>
      <c r="W69" s="6" t="s">
        <v>457</v>
      </c>
      <c r="X69" s="6" t="s">
        <v>458</v>
      </c>
      <c r="Y69" s="6" t="s">
        <v>459</v>
      </c>
      <c r="Z69" s="6" t="s">
        <v>460</v>
      </c>
      <c r="AA69" s="6" t="s">
        <v>461</v>
      </c>
      <c r="AB69" s="6" t="s">
        <v>462</v>
      </c>
      <c r="AC69" s="15"/>
      <c r="AD69" s="6" t="s">
        <v>106</v>
      </c>
      <c r="AE69" s="6" t="s">
        <v>105</v>
      </c>
      <c r="AF69" s="6" t="s">
        <v>463</v>
      </c>
    </row>
    <row r="70" spans="1:32" x14ac:dyDescent="0.2">
      <c r="B70" s="16" t="s">
        <v>464</v>
      </c>
      <c r="I70" s="17">
        <v>20</v>
      </c>
      <c r="J70" s="17">
        <v>19</v>
      </c>
      <c r="K70" s="17">
        <v>18</v>
      </c>
      <c r="L70" s="17">
        <v>17</v>
      </c>
      <c r="M70" s="17">
        <v>16</v>
      </c>
      <c r="N70" s="17">
        <v>15</v>
      </c>
      <c r="O70" s="17">
        <v>14</v>
      </c>
      <c r="P70" s="17">
        <v>13</v>
      </c>
      <c r="Q70" s="17">
        <v>12</v>
      </c>
      <c r="R70" s="17">
        <v>11</v>
      </c>
      <c r="S70" s="17">
        <v>10</v>
      </c>
      <c r="T70" s="17">
        <v>9</v>
      </c>
      <c r="U70" s="17">
        <v>8</v>
      </c>
      <c r="V70" s="17">
        <v>7</v>
      </c>
      <c r="W70" s="17">
        <v>6</v>
      </c>
      <c r="X70" s="17">
        <v>5</v>
      </c>
      <c r="Y70" s="17">
        <v>4</v>
      </c>
      <c r="Z70" s="17">
        <v>3</v>
      </c>
      <c r="AA70" s="17">
        <v>2</v>
      </c>
      <c r="AB70" s="17">
        <v>1</v>
      </c>
    </row>
    <row r="71" spans="1:32" x14ac:dyDescent="0.2">
      <c r="A71" t="s">
        <v>163</v>
      </c>
      <c r="B71" s="18" t="s">
        <v>102</v>
      </c>
      <c r="C71" s="4">
        <v>19269000000</v>
      </c>
      <c r="D71" s="4">
        <v>20716000000</v>
      </c>
      <c r="E71" s="4">
        <v>24512000000</v>
      </c>
      <c r="F71" s="19">
        <v>20</v>
      </c>
      <c r="G71" s="4">
        <v>6984000000</v>
      </c>
      <c r="I71" s="20">
        <f t="shared" ref="I71:I82" si="44">G71</f>
        <v>6984000000</v>
      </c>
      <c r="J71" s="20">
        <f>$E71/4</f>
        <v>6128000000</v>
      </c>
      <c r="K71" s="20">
        <f>$E71/4</f>
        <v>6128000000</v>
      </c>
      <c r="L71" s="20">
        <f>$E71/4</f>
        <v>6128000000</v>
      </c>
      <c r="M71" s="20">
        <f>$E71/4</f>
        <v>6128000000</v>
      </c>
      <c r="N71" s="20">
        <f>$D71/4</f>
        <v>5179000000</v>
      </c>
      <c r="O71" s="20">
        <f>$D71/4</f>
        <v>5179000000</v>
      </c>
      <c r="P71" s="20">
        <f>$D71/4</f>
        <v>5179000000</v>
      </c>
      <c r="Q71" s="20">
        <f>$D71/4</f>
        <v>5179000000</v>
      </c>
      <c r="R71" s="20">
        <f>$C71/4</f>
        <v>4817250000</v>
      </c>
      <c r="S71" s="20">
        <f>$C71/4</f>
        <v>4817250000</v>
      </c>
      <c r="T71" s="20">
        <f>$C71/4</f>
        <v>4817250000</v>
      </c>
      <c r="U71" s="20">
        <f>$C71/4</f>
        <v>4817250000</v>
      </c>
      <c r="V71" s="20">
        <v>0</v>
      </c>
      <c r="W71" s="20">
        <v>0</v>
      </c>
      <c r="X71" s="20">
        <v>0</v>
      </c>
      <c r="Y71" s="20">
        <v>0</v>
      </c>
      <c r="Z71" s="20">
        <v>0</v>
      </c>
      <c r="AA71" s="20">
        <v>0</v>
      </c>
      <c r="AB71" s="20">
        <v>0</v>
      </c>
      <c r="AD71" s="21">
        <f>SUM(I71:AB71)/$F71</f>
        <v>3574050000</v>
      </c>
      <c r="AE71" s="21">
        <f>SUMPRODUCT($I$70:$AB$70,I71:AB71)/$F71</f>
        <v>51568075000</v>
      </c>
      <c r="AF71" s="21">
        <f t="shared" ref="AF71:AF82" si="45">G71-AD71</f>
        <v>3409950000</v>
      </c>
    </row>
    <row r="72" spans="1:32" x14ac:dyDescent="0.2">
      <c r="A72" t="s">
        <v>163</v>
      </c>
      <c r="B72" s="18" t="s">
        <v>101</v>
      </c>
      <c r="C72" s="22">
        <f>$C71</f>
        <v>19269000000</v>
      </c>
      <c r="D72" s="22">
        <f>$D71</f>
        <v>20716000000</v>
      </c>
      <c r="E72" s="22">
        <f>$E71</f>
        <v>24512000000</v>
      </c>
      <c r="F72" s="23">
        <f>$F$71</f>
        <v>20</v>
      </c>
      <c r="G72" s="4">
        <v>6739000000</v>
      </c>
      <c r="I72" s="20">
        <f t="shared" si="44"/>
        <v>6739000000</v>
      </c>
      <c r="J72" s="20">
        <f t="shared" ref="J72:J82" si="46">G71</f>
        <v>6984000000</v>
      </c>
      <c r="K72" s="20">
        <f>$E71/4</f>
        <v>6128000000</v>
      </c>
      <c r="L72" s="20">
        <f>$E71/4</f>
        <v>6128000000</v>
      </c>
      <c r="M72" s="20">
        <f>$E71/4</f>
        <v>6128000000</v>
      </c>
      <c r="N72" s="20">
        <f>$E71/4</f>
        <v>6128000000</v>
      </c>
      <c r="O72" s="20">
        <f>$D71/4</f>
        <v>5179000000</v>
      </c>
      <c r="P72" s="20">
        <f>$D71/4</f>
        <v>5179000000</v>
      </c>
      <c r="Q72" s="20">
        <f>$D71/4</f>
        <v>5179000000</v>
      </c>
      <c r="R72" s="20">
        <f>$D71/4</f>
        <v>5179000000</v>
      </c>
      <c r="S72" s="20">
        <f>$C71/4</f>
        <v>4817250000</v>
      </c>
      <c r="T72" s="20">
        <f>$C71/4</f>
        <v>4817250000</v>
      </c>
      <c r="U72" s="20">
        <f>$C71/4</f>
        <v>4817250000</v>
      </c>
      <c r="V72" s="20">
        <f>$C71/4</f>
        <v>4817250000</v>
      </c>
      <c r="W72" s="20">
        <v>0</v>
      </c>
      <c r="X72" s="20">
        <v>0</v>
      </c>
      <c r="Y72" s="20">
        <v>0</v>
      </c>
      <c r="Z72" s="20">
        <v>0</v>
      </c>
      <c r="AA72" s="20">
        <v>0</v>
      </c>
      <c r="AB72" s="20">
        <v>0</v>
      </c>
      <c r="AD72" s="21">
        <f t="shared" ref="AD72:AD82" si="47">SUM(I72:AB72)/$F72</f>
        <v>3911000000</v>
      </c>
      <c r="AE72" s="21">
        <f t="shared" ref="AE72:AE82" si="48">SUMPRODUCT($I$70:$AB$70,I72:AB72)/$F72</f>
        <v>54733025000</v>
      </c>
      <c r="AF72" s="21">
        <f t="shared" si="45"/>
        <v>2828000000</v>
      </c>
    </row>
    <row r="73" spans="1:32" x14ac:dyDescent="0.2">
      <c r="A73" t="s">
        <v>163</v>
      </c>
      <c r="B73" s="18" t="s">
        <v>100</v>
      </c>
      <c r="C73" s="22">
        <f>$C71</f>
        <v>19269000000</v>
      </c>
      <c r="D73" s="22">
        <f>$D71</f>
        <v>20716000000</v>
      </c>
      <c r="E73" s="22">
        <f>$E71</f>
        <v>24512000000</v>
      </c>
      <c r="F73" s="23">
        <f t="shared" ref="F73:F82" si="49">$F$71</f>
        <v>20</v>
      </c>
      <c r="G73" s="4">
        <v>6659000000</v>
      </c>
      <c r="I73" s="20">
        <f t="shared" si="44"/>
        <v>6659000000</v>
      </c>
      <c r="J73" s="20">
        <f t="shared" si="46"/>
        <v>6739000000</v>
      </c>
      <c r="K73" s="20">
        <f t="shared" ref="K73:K82" si="50">G71</f>
        <v>6984000000</v>
      </c>
      <c r="L73" s="20">
        <f>$E71/4</f>
        <v>6128000000</v>
      </c>
      <c r="M73" s="20">
        <f>$E71/4</f>
        <v>6128000000</v>
      </c>
      <c r="N73" s="20">
        <f>$E71/4</f>
        <v>6128000000</v>
      </c>
      <c r="O73" s="20">
        <f>$E71/4</f>
        <v>6128000000</v>
      </c>
      <c r="P73" s="20">
        <f>$D71/4</f>
        <v>5179000000</v>
      </c>
      <c r="Q73" s="20">
        <f>$D71/4</f>
        <v>5179000000</v>
      </c>
      <c r="R73" s="20">
        <f>$D71/4</f>
        <v>5179000000</v>
      </c>
      <c r="S73" s="20">
        <f>$D71/4</f>
        <v>5179000000</v>
      </c>
      <c r="T73" s="20">
        <f>$C71/4</f>
        <v>4817250000</v>
      </c>
      <c r="U73" s="20">
        <f>$C71/4</f>
        <v>4817250000</v>
      </c>
      <c r="V73" s="20">
        <f>$C71/4</f>
        <v>4817250000</v>
      </c>
      <c r="W73" s="20">
        <f>$C71/4</f>
        <v>4817250000</v>
      </c>
      <c r="X73" s="20">
        <v>0</v>
      </c>
      <c r="Y73" s="20">
        <v>0</v>
      </c>
      <c r="Z73" s="20">
        <v>0</v>
      </c>
      <c r="AA73" s="20">
        <v>0</v>
      </c>
      <c r="AB73" s="20">
        <v>0</v>
      </c>
      <c r="AD73" s="21">
        <f t="shared" si="47"/>
        <v>4243950000</v>
      </c>
      <c r="AE73" s="21">
        <f t="shared" si="48"/>
        <v>57481025000</v>
      </c>
      <c r="AF73" s="21">
        <f t="shared" si="45"/>
        <v>2415050000</v>
      </c>
    </row>
    <row r="74" spans="1:32" x14ac:dyDescent="0.2">
      <c r="A74" t="s">
        <v>163</v>
      </c>
      <c r="B74" s="18" t="s">
        <v>99</v>
      </c>
      <c r="C74" s="22">
        <f>$C71</f>
        <v>19269000000</v>
      </c>
      <c r="D74" s="22">
        <f>$D71</f>
        <v>20716000000</v>
      </c>
      <c r="E74" s="22">
        <f>$E71</f>
        <v>24512000000</v>
      </c>
      <c r="F74" s="23">
        <f t="shared" si="49"/>
        <v>20</v>
      </c>
      <c r="G74" s="4">
        <v>7142000000</v>
      </c>
      <c r="I74" s="20">
        <f t="shared" si="44"/>
        <v>7142000000</v>
      </c>
      <c r="J74" s="20">
        <f t="shared" si="46"/>
        <v>6659000000</v>
      </c>
      <c r="K74" s="20">
        <f t="shared" si="50"/>
        <v>6739000000</v>
      </c>
      <c r="L74" s="20">
        <f t="shared" ref="L74:L82" si="51">G71</f>
        <v>6984000000</v>
      </c>
      <c r="M74" s="20">
        <f>$E71/4</f>
        <v>6128000000</v>
      </c>
      <c r="N74" s="20">
        <f>$E71/4</f>
        <v>6128000000</v>
      </c>
      <c r="O74" s="20">
        <f>$E71/4</f>
        <v>6128000000</v>
      </c>
      <c r="P74" s="20">
        <f>$E71/4</f>
        <v>6128000000</v>
      </c>
      <c r="Q74" s="20">
        <f>$D71/4</f>
        <v>5179000000</v>
      </c>
      <c r="R74" s="20">
        <f>$D71/4</f>
        <v>5179000000</v>
      </c>
      <c r="S74" s="20">
        <f>$D71/4</f>
        <v>5179000000</v>
      </c>
      <c r="T74" s="20">
        <f>$D71/4</f>
        <v>5179000000</v>
      </c>
      <c r="U74" s="20">
        <f>$C71/4</f>
        <v>4817250000</v>
      </c>
      <c r="V74" s="20">
        <f>$C71/4</f>
        <v>4817250000</v>
      </c>
      <c r="W74" s="20">
        <f>$C71/4</f>
        <v>4817250000</v>
      </c>
      <c r="X74" s="20">
        <f>$C71/4</f>
        <v>4817250000</v>
      </c>
      <c r="Y74" s="20">
        <v>0</v>
      </c>
      <c r="Z74" s="20">
        <v>0</v>
      </c>
      <c r="AA74" s="20">
        <v>0</v>
      </c>
      <c r="AB74" s="20">
        <v>0</v>
      </c>
      <c r="AD74" s="21">
        <f t="shared" si="47"/>
        <v>4601050000</v>
      </c>
      <c r="AE74" s="21">
        <f t="shared" si="48"/>
        <v>60379075000</v>
      </c>
      <c r="AF74" s="21">
        <f t="shared" si="45"/>
        <v>2540950000</v>
      </c>
    </row>
    <row r="75" spans="1:32" x14ac:dyDescent="0.2">
      <c r="A75" t="s">
        <v>163</v>
      </c>
      <c r="B75" s="18" t="s">
        <v>98</v>
      </c>
      <c r="C75" s="22">
        <f>$C71</f>
        <v>19269000000</v>
      </c>
      <c r="D75" s="22">
        <f>$D71</f>
        <v>20716000000</v>
      </c>
      <c r="E75" s="22">
        <f>$E71</f>
        <v>24512000000</v>
      </c>
      <c r="F75" s="23">
        <f t="shared" si="49"/>
        <v>20</v>
      </c>
      <c r="G75" s="4">
        <v>7653000000</v>
      </c>
      <c r="I75" s="20">
        <f t="shared" si="44"/>
        <v>7653000000</v>
      </c>
      <c r="J75" s="20">
        <f t="shared" si="46"/>
        <v>7142000000</v>
      </c>
      <c r="K75" s="20">
        <f t="shared" si="50"/>
        <v>6659000000</v>
      </c>
      <c r="L75" s="20">
        <f t="shared" si="51"/>
        <v>6739000000</v>
      </c>
      <c r="M75" s="20">
        <f t="shared" ref="M75:M82" si="52">G71</f>
        <v>6984000000</v>
      </c>
      <c r="N75" s="20">
        <f>$E71/4</f>
        <v>6128000000</v>
      </c>
      <c r="O75" s="20">
        <f>$E71/4</f>
        <v>6128000000</v>
      </c>
      <c r="P75" s="20">
        <f>$E71/4</f>
        <v>6128000000</v>
      </c>
      <c r="Q75" s="20">
        <f>$E71/4</f>
        <v>6128000000</v>
      </c>
      <c r="R75" s="20">
        <f>$D71/4</f>
        <v>5179000000</v>
      </c>
      <c r="S75" s="20">
        <f>$D71/4</f>
        <v>5179000000</v>
      </c>
      <c r="T75" s="20">
        <f>$D71/4</f>
        <v>5179000000</v>
      </c>
      <c r="U75" s="20">
        <f>$D71/4</f>
        <v>5179000000</v>
      </c>
      <c r="V75" s="20">
        <f>$C71/4</f>
        <v>4817250000</v>
      </c>
      <c r="W75" s="20">
        <f>$C71/4</f>
        <v>4817250000</v>
      </c>
      <c r="X75" s="20">
        <f>$C71/4</f>
        <v>4817250000</v>
      </c>
      <c r="Y75" s="20">
        <f>$C71/4</f>
        <v>4817250000</v>
      </c>
      <c r="Z75" s="20">
        <v>0</v>
      </c>
      <c r="AA75" s="20">
        <v>0</v>
      </c>
      <c r="AB75" s="20">
        <v>0</v>
      </c>
      <c r="AD75" s="21">
        <f t="shared" si="47"/>
        <v>4983700000</v>
      </c>
      <c r="AE75" s="21">
        <f t="shared" si="48"/>
        <v>63431025000</v>
      </c>
      <c r="AF75" s="21">
        <f t="shared" si="45"/>
        <v>2669300000</v>
      </c>
    </row>
    <row r="76" spans="1:32" x14ac:dyDescent="0.2">
      <c r="A76" t="s">
        <v>163</v>
      </c>
      <c r="B76" s="18" t="s">
        <v>97</v>
      </c>
      <c r="C76" s="22">
        <f>$C71</f>
        <v>19269000000</v>
      </c>
      <c r="D76" s="22">
        <f>$D71</f>
        <v>20716000000</v>
      </c>
      <c r="E76" s="22">
        <f>$E71</f>
        <v>24512000000</v>
      </c>
      <c r="F76" s="23">
        <f t="shared" si="49"/>
        <v>20</v>
      </c>
      <c r="G76" s="4">
        <v>8056000000</v>
      </c>
      <c r="I76" s="20">
        <f t="shared" si="44"/>
        <v>8056000000</v>
      </c>
      <c r="J76" s="20">
        <f t="shared" si="46"/>
        <v>7653000000</v>
      </c>
      <c r="K76" s="20">
        <f t="shared" si="50"/>
        <v>7142000000</v>
      </c>
      <c r="L76" s="20">
        <f t="shared" si="51"/>
        <v>6659000000</v>
      </c>
      <c r="M76" s="20">
        <f t="shared" si="52"/>
        <v>6739000000</v>
      </c>
      <c r="N76" s="20">
        <f t="shared" ref="N76:N82" si="53">G71</f>
        <v>6984000000</v>
      </c>
      <c r="O76" s="20">
        <f>$E71/4</f>
        <v>6128000000</v>
      </c>
      <c r="P76" s="20">
        <f>$E71/4</f>
        <v>6128000000</v>
      </c>
      <c r="Q76" s="20">
        <f>$E71/4</f>
        <v>6128000000</v>
      </c>
      <c r="R76" s="20">
        <f>$E71/4</f>
        <v>6128000000</v>
      </c>
      <c r="S76" s="20">
        <f>$D71/4</f>
        <v>5179000000</v>
      </c>
      <c r="T76" s="20">
        <f>$D71/4</f>
        <v>5179000000</v>
      </c>
      <c r="U76" s="20">
        <f>$D71/4</f>
        <v>5179000000</v>
      </c>
      <c r="V76" s="20">
        <f>$D71/4</f>
        <v>5179000000</v>
      </c>
      <c r="W76" s="20">
        <f>$C71/4</f>
        <v>4817250000</v>
      </c>
      <c r="X76" s="20">
        <f>$C71/4</f>
        <v>4817250000</v>
      </c>
      <c r="Y76" s="20">
        <f>$C71/4</f>
        <v>4817250000</v>
      </c>
      <c r="Z76" s="20">
        <f>$C71/4</f>
        <v>4817250000</v>
      </c>
      <c r="AA76" s="20">
        <v>0</v>
      </c>
      <c r="AB76" s="20">
        <v>0</v>
      </c>
      <c r="AD76" s="21">
        <f t="shared" si="47"/>
        <v>5386500000</v>
      </c>
      <c r="AE76" s="21">
        <f t="shared" si="48"/>
        <v>66503325000</v>
      </c>
      <c r="AF76" s="21">
        <f t="shared" si="45"/>
        <v>2669500000</v>
      </c>
    </row>
    <row r="77" spans="1:32" x14ac:dyDescent="0.2">
      <c r="A77" t="s">
        <v>163</v>
      </c>
      <c r="B77" s="18" t="s">
        <v>96</v>
      </c>
      <c r="C77" s="22">
        <f>$C71</f>
        <v>19269000000</v>
      </c>
      <c r="D77" s="22">
        <f>$D71</f>
        <v>20716000000</v>
      </c>
      <c r="E77" s="22">
        <f>$E71</f>
        <v>24512000000</v>
      </c>
      <c r="F77" s="23">
        <f t="shared" si="49"/>
        <v>20</v>
      </c>
      <c r="G77" s="4">
        <v>7544000000</v>
      </c>
      <c r="I77" s="20">
        <f t="shared" si="44"/>
        <v>7544000000</v>
      </c>
      <c r="J77" s="20">
        <f t="shared" si="46"/>
        <v>8056000000</v>
      </c>
      <c r="K77" s="20">
        <f t="shared" si="50"/>
        <v>7653000000</v>
      </c>
      <c r="L77" s="20">
        <f t="shared" si="51"/>
        <v>7142000000</v>
      </c>
      <c r="M77" s="20">
        <f t="shared" si="52"/>
        <v>6659000000</v>
      </c>
      <c r="N77" s="20">
        <f t="shared" si="53"/>
        <v>6739000000</v>
      </c>
      <c r="O77" s="20">
        <f t="shared" ref="O77:O82" si="54">G71</f>
        <v>6984000000</v>
      </c>
      <c r="P77" s="20">
        <f>$E71/4</f>
        <v>6128000000</v>
      </c>
      <c r="Q77" s="20">
        <f>$E71/4</f>
        <v>6128000000</v>
      </c>
      <c r="R77" s="20">
        <f>$E71/4</f>
        <v>6128000000</v>
      </c>
      <c r="S77" s="20">
        <f>$E71/4</f>
        <v>6128000000</v>
      </c>
      <c r="T77" s="20">
        <f>$D71/4</f>
        <v>5179000000</v>
      </c>
      <c r="U77" s="20">
        <f>$D71/4</f>
        <v>5179000000</v>
      </c>
      <c r="V77" s="20">
        <f>$D71/4</f>
        <v>5179000000</v>
      </c>
      <c r="W77" s="20">
        <f>$D71/4</f>
        <v>5179000000</v>
      </c>
      <c r="X77" s="20">
        <f>$C71/4</f>
        <v>4817250000</v>
      </c>
      <c r="Y77" s="20">
        <f>$C71/4</f>
        <v>4817250000</v>
      </c>
      <c r="Z77" s="20">
        <f>$C71/4</f>
        <v>4817250000</v>
      </c>
      <c r="AA77" s="20">
        <f>$C71/4</f>
        <v>4817250000</v>
      </c>
      <c r="AB77" s="20">
        <v>0</v>
      </c>
      <c r="AD77" s="21">
        <f t="shared" si="47"/>
        <v>5763700000</v>
      </c>
      <c r="AE77" s="21">
        <f t="shared" si="48"/>
        <v>68660825000</v>
      </c>
      <c r="AF77" s="21">
        <f t="shared" si="45"/>
        <v>1780300000</v>
      </c>
    </row>
    <row r="78" spans="1:32" x14ac:dyDescent="0.2">
      <c r="A78" t="s">
        <v>163</v>
      </c>
      <c r="B78" s="18" t="s">
        <v>95</v>
      </c>
      <c r="C78" s="22">
        <f>$C71</f>
        <v>19269000000</v>
      </c>
      <c r="D78" s="22">
        <f>$D71</f>
        <v>20716000000</v>
      </c>
      <c r="E78" s="22">
        <f>$E71</f>
        <v>24512000000</v>
      </c>
      <c r="F78" s="23">
        <f t="shared" si="49"/>
        <v>20</v>
      </c>
      <c r="G78" s="4">
        <v>7917000000</v>
      </c>
      <c r="I78" s="20">
        <f t="shared" si="44"/>
        <v>7917000000</v>
      </c>
      <c r="J78" s="20">
        <f t="shared" si="46"/>
        <v>7544000000</v>
      </c>
      <c r="K78" s="20">
        <f t="shared" si="50"/>
        <v>8056000000</v>
      </c>
      <c r="L78" s="20">
        <f t="shared" si="51"/>
        <v>7653000000</v>
      </c>
      <c r="M78" s="20">
        <f t="shared" si="52"/>
        <v>7142000000</v>
      </c>
      <c r="N78" s="20">
        <f t="shared" si="53"/>
        <v>6659000000</v>
      </c>
      <c r="O78" s="20">
        <f t="shared" si="54"/>
        <v>6739000000</v>
      </c>
      <c r="P78" s="20">
        <f>G71</f>
        <v>6984000000</v>
      </c>
      <c r="Q78" s="20">
        <f>$E71/4</f>
        <v>6128000000</v>
      </c>
      <c r="R78" s="20">
        <f>$E71/4</f>
        <v>6128000000</v>
      </c>
      <c r="S78" s="20">
        <f>$E71/4</f>
        <v>6128000000</v>
      </c>
      <c r="T78" s="20">
        <f>$E71/4</f>
        <v>6128000000</v>
      </c>
      <c r="U78" s="20">
        <f>$D71/4</f>
        <v>5179000000</v>
      </c>
      <c r="V78" s="20">
        <f>$D71/4</f>
        <v>5179000000</v>
      </c>
      <c r="W78" s="20">
        <f>$D71/4</f>
        <v>5179000000</v>
      </c>
      <c r="X78" s="20">
        <f>$D71/4</f>
        <v>5179000000</v>
      </c>
      <c r="Y78" s="20">
        <f>$C71/4</f>
        <v>4817250000</v>
      </c>
      <c r="Z78" s="20">
        <f>$C71/4</f>
        <v>4817250000</v>
      </c>
      <c r="AA78" s="20">
        <f>$C71/4</f>
        <v>4817250000</v>
      </c>
      <c r="AB78" s="20">
        <f>$C71/4</f>
        <v>4817250000</v>
      </c>
      <c r="AD78" s="21">
        <f t="shared" si="47"/>
        <v>6159550000</v>
      </c>
      <c r="AE78" s="21">
        <f t="shared" si="48"/>
        <v>70814125000</v>
      </c>
      <c r="AF78" s="21">
        <f t="shared" si="45"/>
        <v>1757450000</v>
      </c>
    </row>
    <row r="79" spans="1:32" x14ac:dyDescent="0.2">
      <c r="A79" t="s">
        <v>163</v>
      </c>
      <c r="B79" s="18" t="s">
        <v>94</v>
      </c>
      <c r="C79" s="22">
        <f>$C71</f>
        <v>19269000000</v>
      </c>
      <c r="D79" s="22">
        <f>$D71</f>
        <v>20716000000</v>
      </c>
      <c r="E79" s="22">
        <f>$E71</f>
        <v>24512000000</v>
      </c>
      <c r="F79" s="23">
        <f t="shared" si="49"/>
        <v>20</v>
      </c>
      <c r="G79" s="4">
        <v>8198000000</v>
      </c>
      <c r="I79" s="20">
        <f t="shared" si="44"/>
        <v>8198000000</v>
      </c>
      <c r="J79" s="20">
        <f t="shared" si="46"/>
        <v>7917000000</v>
      </c>
      <c r="K79" s="20">
        <f t="shared" si="50"/>
        <v>7544000000</v>
      </c>
      <c r="L79" s="20">
        <f t="shared" si="51"/>
        <v>8056000000</v>
      </c>
      <c r="M79" s="20">
        <f t="shared" si="52"/>
        <v>7653000000</v>
      </c>
      <c r="N79" s="20">
        <f t="shared" si="53"/>
        <v>7142000000</v>
      </c>
      <c r="O79" s="20">
        <f t="shared" si="54"/>
        <v>6659000000</v>
      </c>
      <c r="P79" s="20">
        <f>G72</f>
        <v>6739000000</v>
      </c>
      <c r="Q79" s="20">
        <f>G71</f>
        <v>6984000000</v>
      </c>
      <c r="R79" s="20">
        <f>$E71/4</f>
        <v>6128000000</v>
      </c>
      <c r="S79" s="20">
        <f>$E71/4</f>
        <v>6128000000</v>
      </c>
      <c r="T79" s="20">
        <f>$E71/4</f>
        <v>6128000000</v>
      </c>
      <c r="U79" s="20">
        <f>$E71/4</f>
        <v>6128000000</v>
      </c>
      <c r="V79" s="20">
        <f>$D71/4</f>
        <v>5179000000</v>
      </c>
      <c r="W79" s="20">
        <f>$D71/4</f>
        <v>5179000000</v>
      </c>
      <c r="X79" s="20">
        <f>$D71/4</f>
        <v>5179000000</v>
      </c>
      <c r="Y79" s="20">
        <f>$D71/4</f>
        <v>5179000000</v>
      </c>
      <c r="Z79" s="20">
        <f>$C71/4</f>
        <v>4817250000</v>
      </c>
      <c r="AA79" s="20">
        <f>$C71/4</f>
        <v>4817250000</v>
      </c>
      <c r="AB79" s="20">
        <f>$C71/4</f>
        <v>4817250000</v>
      </c>
      <c r="AD79" s="21">
        <f t="shared" si="47"/>
        <v>6328587500</v>
      </c>
      <c r="AE79" s="21">
        <f t="shared" si="48"/>
        <v>72852575000</v>
      </c>
      <c r="AF79" s="21">
        <f t="shared" si="45"/>
        <v>1869412500</v>
      </c>
    </row>
    <row r="80" spans="1:32" x14ac:dyDescent="0.2">
      <c r="A80" t="s">
        <v>163</v>
      </c>
      <c r="B80" s="18" t="s">
        <v>93</v>
      </c>
      <c r="C80" s="22">
        <f>$C71</f>
        <v>19269000000</v>
      </c>
      <c r="D80" s="22">
        <f>$D71</f>
        <v>20716000000</v>
      </c>
      <c r="E80" s="22">
        <f>$E71</f>
        <v>24512000000</v>
      </c>
      <c r="F80" s="23">
        <f t="shared" si="49"/>
        <v>20</v>
      </c>
      <c r="G80" s="4">
        <v>8829000000</v>
      </c>
      <c r="I80" s="20">
        <f t="shared" si="44"/>
        <v>8829000000</v>
      </c>
      <c r="J80" s="20">
        <f t="shared" si="46"/>
        <v>8198000000</v>
      </c>
      <c r="K80" s="20">
        <f t="shared" si="50"/>
        <v>7917000000</v>
      </c>
      <c r="L80" s="20">
        <f t="shared" si="51"/>
        <v>7544000000</v>
      </c>
      <c r="M80" s="20">
        <f t="shared" si="52"/>
        <v>8056000000</v>
      </c>
      <c r="N80" s="20">
        <f t="shared" si="53"/>
        <v>7653000000</v>
      </c>
      <c r="O80" s="20">
        <f t="shared" si="54"/>
        <v>7142000000</v>
      </c>
      <c r="P80" s="20">
        <f>G73</f>
        <v>6659000000</v>
      </c>
      <c r="Q80" s="20">
        <f>G72</f>
        <v>6739000000</v>
      </c>
      <c r="R80" s="20">
        <f>G71</f>
        <v>6984000000</v>
      </c>
      <c r="S80" s="20">
        <f>$E71/4</f>
        <v>6128000000</v>
      </c>
      <c r="T80" s="20">
        <f>$E71/4</f>
        <v>6128000000</v>
      </c>
      <c r="U80" s="20">
        <f>$E71/4</f>
        <v>6128000000</v>
      </c>
      <c r="V80" s="20">
        <f>$E71/4</f>
        <v>6128000000</v>
      </c>
      <c r="W80" s="20">
        <f>$D71/4</f>
        <v>5179000000</v>
      </c>
      <c r="X80" s="20">
        <f>$D71/4</f>
        <v>5179000000</v>
      </c>
      <c r="Y80" s="20">
        <f>$D71/4</f>
        <v>5179000000</v>
      </c>
      <c r="Z80" s="20">
        <f>$D71/4</f>
        <v>5179000000</v>
      </c>
      <c r="AA80" s="20">
        <f>$C71/4</f>
        <v>4817250000</v>
      </c>
      <c r="AB80" s="20">
        <f>$C71/4</f>
        <v>4817250000</v>
      </c>
      <c r="AD80" s="21">
        <f t="shared" si="47"/>
        <v>6529175000</v>
      </c>
      <c r="AE80" s="21">
        <f t="shared" si="48"/>
        <v>75352987500</v>
      </c>
      <c r="AF80" s="21">
        <f t="shared" si="45"/>
        <v>2299825000</v>
      </c>
    </row>
    <row r="81" spans="1:32" x14ac:dyDescent="0.2">
      <c r="A81" t="s">
        <v>163</v>
      </c>
      <c r="B81" s="18" t="s">
        <v>141</v>
      </c>
      <c r="C81" s="22">
        <f>$C71</f>
        <v>19269000000</v>
      </c>
      <c r="D81" s="22">
        <f>$D71</f>
        <v>20716000000</v>
      </c>
      <c r="E81" s="22">
        <f>$E71</f>
        <v>24512000000</v>
      </c>
      <c r="F81" s="23">
        <f t="shared" si="49"/>
        <v>20</v>
      </c>
      <c r="G81" s="4">
        <v>8146000000</v>
      </c>
      <c r="I81" s="20">
        <f t="shared" si="44"/>
        <v>8146000000</v>
      </c>
      <c r="J81" s="20">
        <f t="shared" si="46"/>
        <v>8829000000</v>
      </c>
      <c r="K81" s="20">
        <f t="shared" si="50"/>
        <v>8198000000</v>
      </c>
      <c r="L81" s="20">
        <f t="shared" si="51"/>
        <v>7917000000</v>
      </c>
      <c r="M81" s="20">
        <f t="shared" si="52"/>
        <v>7544000000</v>
      </c>
      <c r="N81" s="20">
        <f t="shared" si="53"/>
        <v>8056000000</v>
      </c>
      <c r="O81" s="20">
        <f t="shared" si="54"/>
        <v>7653000000</v>
      </c>
      <c r="P81" s="20">
        <f>G74</f>
        <v>7142000000</v>
      </c>
      <c r="Q81" s="20">
        <f>G73</f>
        <v>6659000000</v>
      </c>
      <c r="R81" s="20">
        <f>G72</f>
        <v>6739000000</v>
      </c>
      <c r="S81" s="20">
        <f>G71</f>
        <v>6984000000</v>
      </c>
      <c r="T81" s="20">
        <f>$E71/4</f>
        <v>6128000000</v>
      </c>
      <c r="U81" s="20">
        <f>$E71/4</f>
        <v>6128000000</v>
      </c>
      <c r="V81" s="20">
        <f>$E71/4</f>
        <v>6128000000</v>
      </c>
      <c r="W81" s="20">
        <f>$E71/4</f>
        <v>6128000000</v>
      </c>
      <c r="X81" s="20">
        <f>$D71/4</f>
        <v>5179000000</v>
      </c>
      <c r="Y81" s="20">
        <f>$D71/4</f>
        <v>5179000000</v>
      </c>
      <c r="Z81" s="20">
        <f>$D71/4</f>
        <v>5179000000</v>
      </c>
      <c r="AA81" s="20">
        <f>$D71/4</f>
        <v>5179000000</v>
      </c>
      <c r="AB81" s="20">
        <f>$C71/4</f>
        <v>4817250000</v>
      </c>
      <c r="AD81" s="21">
        <f t="shared" si="47"/>
        <v>6695612500</v>
      </c>
      <c r="AE81" s="21">
        <f t="shared" si="48"/>
        <v>76969812500</v>
      </c>
      <c r="AF81" s="21">
        <f t="shared" si="45"/>
        <v>1450387500</v>
      </c>
    </row>
    <row r="82" spans="1:32" x14ac:dyDescent="0.2">
      <c r="A82" t="s">
        <v>163</v>
      </c>
      <c r="B82" s="18" t="s">
        <v>160</v>
      </c>
      <c r="C82" s="22">
        <f>$C71</f>
        <v>19269000000</v>
      </c>
      <c r="D82" s="22">
        <f>$D71</f>
        <v>20716000000</v>
      </c>
      <c r="E82" s="22">
        <f>$E71</f>
        <v>24512000000</v>
      </c>
      <c r="F82" s="23">
        <f t="shared" si="49"/>
        <v>20</v>
      </c>
      <c r="G82" s="4">
        <v>8504000000</v>
      </c>
      <c r="I82" s="20">
        <f t="shared" si="44"/>
        <v>8504000000</v>
      </c>
      <c r="J82" s="20">
        <f t="shared" si="46"/>
        <v>8146000000</v>
      </c>
      <c r="K82" s="20">
        <f t="shared" si="50"/>
        <v>8829000000</v>
      </c>
      <c r="L82" s="20">
        <f t="shared" si="51"/>
        <v>8198000000</v>
      </c>
      <c r="M82" s="20">
        <f t="shared" si="52"/>
        <v>7917000000</v>
      </c>
      <c r="N82" s="20">
        <f t="shared" si="53"/>
        <v>7544000000</v>
      </c>
      <c r="O82" s="20">
        <f t="shared" si="54"/>
        <v>8056000000</v>
      </c>
      <c r="P82" s="20">
        <f>G75</f>
        <v>7653000000</v>
      </c>
      <c r="Q82" s="20">
        <f>G74</f>
        <v>7142000000</v>
      </c>
      <c r="R82" s="20">
        <f>G73</f>
        <v>6659000000</v>
      </c>
      <c r="S82" s="20">
        <f>G72</f>
        <v>6739000000</v>
      </c>
      <c r="T82" s="20">
        <f>G71</f>
        <v>6984000000</v>
      </c>
      <c r="U82" s="20">
        <f>$E71/4</f>
        <v>6128000000</v>
      </c>
      <c r="V82" s="20">
        <f>$E71/4</f>
        <v>6128000000</v>
      </c>
      <c r="W82" s="20">
        <f>$E71/4</f>
        <v>6128000000</v>
      </c>
      <c r="X82" s="20">
        <f>$E71/4</f>
        <v>6128000000</v>
      </c>
      <c r="Y82" s="20">
        <f>$D71/4</f>
        <v>5179000000</v>
      </c>
      <c r="Z82" s="20">
        <f>$D71/4</f>
        <v>5179000000</v>
      </c>
      <c r="AA82" s="20">
        <f>$D71/4</f>
        <v>5179000000</v>
      </c>
      <c r="AB82" s="20">
        <f>$D71/4</f>
        <v>5179000000</v>
      </c>
      <c r="AD82" s="21">
        <f t="shared" si="47"/>
        <v>6879950000</v>
      </c>
      <c r="AE82" s="21">
        <f t="shared" si="48"/>
        <v>78778200000</v>
      </c>
      <c r="AF82" s="21">
        <f t="shared" si="45"/>
        <v>1624050000</v>
      </c>
    </row>
    <row r="84" spans="1:32" x14ac:dyDescent="0.2">
      <c r="B84" t="s">
        <v>179</v>
      </c>
    </row>
    <row r="85" spans="1:32" x14ac:dyDescent="0.2">
      <c r="B85" s="6" t="s">
        <v>107</v>
      </c>
      <c r="C85" s="6" t="s">
        <v>438</v>
      </c>
      <c r="D85" s="6" t="s">
        <v>439</v>
      </c>
      <c r="E85" s="6" t="s">
        <v>440</v>
      </c>
      <c r="F85" s="6" t="s">
        <v>441</v>
      </c>
      <c r="G85" s="6" t="s">
        <v>442</v>
      </c>
      <c r="H85" s="15"/>
      <c r="I85" s="6" t="s">
        <v>443</v>
      </c>
      <c r="J85" s="6" t="s">
        <v>444</v>
      </c>
      <c r="K85" s="6" t="s">
        <v>445</v>
      </c>
      <c r="L85" s="6" t="s">
        <v>446</v>
      </c>
      <c r="M85" s="6" t="s">
        <v>447</v>
      </c>
      <c r="N85" s="6" t="s">
        <v>448</v>
      </c>
      <c r="O85" s="6" t="s">
        <v>449</v>
      </c>
      <c r="P85" s="6" t="s">
        <v>450</v>
      </c>
      <c r="Q85" s="6" t="s">
        <v>451</v>
      </c>
      <c r="R85" s="6" t="s">
        <v>452</v>
      </c>
      <c r="S85" s="6" t="s">
        <v>453</v>
      </c>
      <c r="T85" s="6" t="s">
        <v>454</v>
      </c>
      <c r="U85" s="6" t="s">
        <v>455</v>
      </c>
      <c r="V85" s="6" t="s">
        <v>456</v>
      </c>
      <c r="W85" s="6" t="s">
        <v>457</v>
      </c>
      <c r="X85" s="6" t="s">
        <v>458</v>
      </c>
      <c r="Y85" s="6" t="s">
        <v>459</v>
      </c>
      <c r="Z85" s="6" t="s">
        <v>460</v>
      </c>
      <c r="AA85" s="6" t="s">
        <v>461</v>
      </c>
      <c r="AB85" s="6" t="s">
        <v>462</v>
      </c>
      <c r="AC85" s="15"/>
      <c r="AD85" s="6" t="s">
        <v>106</v>
      </c>
      <c r="AE85" s="6" t="s">
        <v>105</v>
      </c>
      <c r="AF85" s="6" t="s">
        <v>463</v>
      </c>
    </row>
    <row r="86" spans="1:32" x14ac:dyDescent="0.2">
      <c r="B86" s="16" t="s">
        <v>464</v>
      </c>
      <c r="I86" s="17">
        <v>20</v>
      </c>
      <c r="J86" s="17">
        <v>19</v>
      </c>
      <c r="K86" s="17">
        <v>18</v>
      </c>
      <c r="L86" s="17">
        <v>17</v>
      </c>
      <c r="M86" s="17">
        <v>16</v>
      </c>
      <c r="N86" s="17">
        <v>15</v>
      </c>
      <c r="O86" s="17">
        <v>14</v>
      </c>
      <c r="P86" s="17">
        <v>13</v>
      </c>
      <c r="Q86" s="17">
        <v>12</v>
      </c>
      <c r="R86" s="17">
        <v>11</v>
      </c>
      <c r="S86" s="17">
        <v>10</v>
      </c>
      <c r="T86" s="17">
        <v>9</v>
      </c>
      <c r="U86" s="17">
        <v>8</v>
      </c>
      <c r="V86" s="17">
        <v>7</v>
      </c>
      <c r="W86" s="17">
        <v>6</v>
      </c>
      <c r="X86" s="17">
        <v>5</v>
      </c>
      <c r="Y86" s="17">
        <v>4</v>
      </c>
      <c r="Z86" s="17">
        <v>3</v>
      </c>
      <c r="AA86" s="17">
        <v>2</v>
      </c>
      <c r="AB86" s="17">
        <v>1</v>
      </c>
    </row>
    <row r="87" spans="1:32" x14ac:dyDescent="0.2">
      <c r="A87" t="s">
        <v>179</v>
      </c>
      <c r="B87" s="18" t="s">
        <v>102</v>
      </c>
      <c r="C87" s="4">
        <v>768100000</v>
      </c>
      <c r="D87" s="4">
        <v>1140400000</v>
      </c>
      <c r="E87" s="4">
        <v>1417700000</v>
      </c>
      <c r="F87" s="19">
        <v>20</v>
      </c>
      <c r="G87" s="4">
        <v>413700000</v>
      </c>
      <c r="I87" s="20">
        <f t="shared" ref="I87:I98" si="55">G87</f>
        <v>413700000</v>
      </c>
      <c r="J87" s="20">
        <f>$E87/4</f>
        <v>354425000</v>
      </c>
      <c r="K87" s="20">
        <f>$E87/4</f>
        <v>354425000</v>
      </c>
      <c r="L87" s="20">
        <f>$E87/4</f>
        <v>354425000</v>
      </c>
      <c r="M87" s="20">
        <f>$E87/4</f>
        <v>354425000</v>
      </c>
      <c r="N87" s="20">
        <f>$D87/4</f>
        <v>285100000</v>
      </c>
      <c r="O87" s="20">
        <f>$D87/4</f>
        <v>285100000</v>
      </c>
      <c r="P87" s="20">
        <f>$D87/4</f>
        <v>285100000</v>
      </c>
      <c r="Q87" s="20">
        <f>$D87/4</f>
        <v>285100000</v>
      </c>
      <c r="R87" s="20">
        <f>$C87/4</f>
        <v>192025000</v>
      </c>
      <c r="S87" s="20">
        <f>$C87/4</f>
        <v>192025000</v>
      </c>
      <c r="T87" s="20">
        <f>$C87/4</f>
        <v>192025000</v>
      </c>
      <c r="U87" s="20">
        <f>$C87/4</f>
        <v>192025000</v>
      </c>
      <c r="V87" s="20">
        <v>0</v>
      </c>
      <c r="W87" s="20">
        <v>0</v>
      </c>
      <c r="X87" s="20">
        <v>0</v>
      </c>
      <c r="Y87" s="20">
        <v>0</v>
      </c>
      <c r="Z87" s="20">
        <v>0</v>
      </c>
      <c r="AA87" s="20">
        <v>0</v>
      </c>
      <c r="AB87" s="20">
        <v>0</v>
      </c>
      <c r="AD87" s="21">
        <f>SUM(I87:AB87)/$F87</f>
        <v>186995000</v>
      </c>
      <c r="AE87" s="21">
        <f>SUMPRODUCT($I$86:$AB$86,I87:AB87)/$F87</f>
        <v>2788805000</v>
      </c>
      <c r="AF87" s="21">
        <f t="shared" ref="AF87:AF98" si="56">G87-AD87</f>
        <v>226705000</v>
      </c>
    </row>
    <row r="88" spans="1:32" x14ac:dyDescent="0.2">
      <c r="A88" t="s">
        <v>179</v>
      </c>
      <c r="B88" s="18" t="s">
        <v>101</v>
      </c>
      <c r="C88" s="22">
        <f>$C87</f>
        <v>768100000</v>
      </c>
      <c r="D88" s="22">
        <f>$D87</f>
        <v>1140400000</v>
      </c>
      <c r="E88" s="22">
        <f>$E87</f>
        <v>1417700000</v>
      </c>
      <c r="F88" s="23">
        <f>$F$87</f>
        <v>20</v>
      </c>
      <c r="G88" s="4">
        <v>414399999.99999994</v>
      </c>
      <c r="I88" s="20">
        <f t="shared" si="55"/>
        <v>414399999.99999994</v>
      </c>
      <c r="J88" s="20">
        <f t="shared" ref="J88:J98" si="57">G87</f>
        <v>413700000</v>
      </c>
      <c r="K88" s="20">
        <f>$E87/4</f>
        <v>354425000</v>
      </c>
      <c r="L88" s="20">
        <f>$E87/4</f>
        <v>354425000</v>
      </c>
      <c r="M88" s="20">
        <f>$E87/4</f>
        <v>354425000</v>
      </c>
      <c r="N88" s="20">
        <f>$E87/4</f>
        <v>354425000</v>
      </c>
      <c r="O88" s="20">
        <f>$D87/4</f>
        <v>285100000</v>
      </c>
      <c r="P88" s="20">
        <f>$D87/4</f>
        <v>285100000</v>
      </c>
      <c r="Q88" s="20">
        <f>$D87/4</f>
        <v>285100000</v>
      </c>
      <c r="R88" s="20">
        <f>$D87/4</f>
        <v>285100000</v>
      </c>
      <c r="S88" s="20">
        <f>$C87/4</f>
        <v>192025000</v>
      </c>
      <c r="T88" s="20">
        <f>$C87/4</f>
        <v>192025000</v>
      </c>
      <c r="U88" s="20">
        <f>$C87/4</f>
        <v>192025000</v>
      </c>
      <c r="V88" s="20">
        <f>$C87/4</f>
        <v>192025000</v>
      </c>
      <c r="W88" s="20">
        <v>0</v>
      </c>
      <c r="X88" s="20">
        <v>0</v>
      </c>
      <c r="Y88" s="20">
        <v>0</v>
      </c>
      <c r="Z88" s="20">
        <v>0</v>
      </c>
      <c r="AA88" s="20">
        <v>0</v>
      </c>
      <c r="AB88" s="20">
        <v>0</v>
      </c>
      <c r="AD88" s="21">
        <f t="shared" ref="AD88:AD98" si="58">SUM(I88:AB88)/$F88</f>
        <v>207715000</v>
      </c>
      <c r="AE88" s="21">
        <f t="shared" ref="AE88:AE98" si="59">SUMPRODUCT($I$86:$AB$86,I88:AB88)/$F88</f>
        <v>3016210000</v>
      </c>
      <c r="AF88" s="21">
        <f t="shared" si="56"/>
        <v>206684999.99999994</v>
      </c>
    </row>
    <row r="89" spans="1:32" x14ac:dyDescent="0.2">
      <c r="A89" t="s">
        <v>179</v>
      </c>
      <c r="B89" s="18" t="s">
        <v>100</v>
      </c>
      <c r="C89" s="22">
        <f>$C87</f>
        <v>768100000</v>
      </c>
      <c r="D89" s="22">
        <f>$D87</f>
        <v>1140400000</v>
      </c>
      <c r="E89" s="22">
        <f>$E87</f>
        <v>1417700000</v>
      </c>
      <c r="F89" s="23">
        <f t="shared" ref="F89:F98" si="60">$F$87</f>
        <v>20</v>
      </c>
      <c r="G89" s="4">
        <v>409500000</v>
      </c>
      <c r="I89" s="20">
        <f t="shared" si="55"/>
        <v>409500000</v>
      </c>
      <c r="J89" s="20">
        <f t="shared" si="57"/>
        <v>414399999.99999994</v>
      </c>
      <c r="K89" s="20">
        <f t="shared" ref="K89:K98" si="61">G87</f>
        <v>413700000</v>
      </c>
      <c r="L89" s="20">
        <f>$E87/4</f>
        <v>354425000</v>
      </c>
      <c r="M89" s="20">
        <f>$E87/4</f>
        <v>354425000</v>
      </c>
      <c r="N89" s="20">
        <f>$E87/4</f>
        <v>354425000</v>
      </c>
      <c r="O89" s="20">
        <f>$E87/4</f>
        <v>354425000</v>
      </c>
      <c r="P89" s="20">
        <f>$D87/4</f>
        <v>285100000</v>
      </c>
      <c r="Q89" s="20">
        <f>$D87/4</f>
        <v>285100000</v>
      </c>
      <c r="R89" s="20">
        <f>$D87/4</f>
        <v>285100000</v>
      </c>
      <c r="S89" s="20">
        <f>$D87/4</f>
        <v>285100000</v>
      </c>
      <c r="T89" s="20">
        <f>$C87/4</f>
        <v>192025000</v>
      </c>
      <c r="U89" s="20">
        <f>$C87/4</f>
        <v>192025000</v>
      </c>
      <c r="V89" s="20">
        <f>$C87/4</f>
        <v>192025000</v>
      </c>
      <c r="W89" s="20">
        <f>$C87/4</f>
        <v>192025000</v>
      </c>
      <c r="X89" s="20">
        <v>0</v>
      </c>
      <c r="Y89" s="20">
        <v>0</v>
      </c>
      <c r="Z89" s="20">
        <v>0</v>
      </c>
      <c r="AA89" s="20">
        <v>0</v>
      </c>
      <c r="AB89" s="20">
        <v>0</v>
      </c>
      <c r="AD89" s="21">
        <f t="shared" si="58"/>
        <v>228190000</v>
      </c>
      <c r="AE89" s="21">
        <f t="shared" si="59"/>
        <v>3217995000</v>
      </c>
      <c r="AF89" s="21">
        <f t="shared" si="56"/>
        <v>181310000</v>
      </c>
    </row>
    <row r="90" spans="1:32" x14ac:dyDescent="0.2">
      <c r="A90" t="s">
        <v>179</v>
      </c>
      <c r="B90" s="18" t="s">
        <v>99</v>
      </c>
      <c r="C90" s="22">
        <f>$C87</f>
        <v>768100000</v>
      </c>
      <c r="D90" s="22">
        <f>$D87</f>
        <v>1140400000</v>
      </c>
      <c r="E90" s="22">
        <f>$E87</f>
        <v>1417700000</v>
      </c>
      <c r="F90" s="23">
        <f t="shared" si="60"/>
        <v>20</v>
      </c>
      <c r="G90" s="4">
        <v>447900000</v>
      </c>
      <c r="I90" s="20">
        <f t="shared" si="55"/>
        <v>447900000</v>
      </c>
      <c r="J90" s="20">
        <f t="shared" si="57"/>
        <v>409500000</v>
      </c>
      <c r="K90" s="20">
        <f t="shared" si="61"/>
        <v>414399999.99999994</v>
      </c>
      <c r="L90" s="20">
        <f t="shared" ref="L90:L98" si="62">G87</f>
        <v>413700000</v>
      </c>
      <c r="M90" s="20">
        <f>$E87/4</f>
        <v>354425000</v>
      </c>
      <c r="N90" s="20">
        <f>$E87/4</f>
        <v>354425000</v>
      </c>
      <c r="O90" s="20">
        <f>$E87/4</f>
        <v>354425000</v>
      </c>
      <c r="P90" s="20">
        <f>$E87/4</f>
        <v>354425000</v>
      </c>
      <c r="Q90" s="20">
        <f>$D87/4</f>
        <v>285100000</v>
      </c>
      <c r="R90" s="20">
        <f>$D87/4</f>
        <v>285100000</v>
      </c>
      <c r="S90" s="20">
        <f>$D87/4</f>
        <v>285100000</v>
      </c>
      <c r="T90" s="20">
        <f>$D87/4</f>
        <v>285100000</v>
      </c>
      <c r="U90" s="20">
        <f>$C87/4</f>
        <v>192025000</v>
      </c>
      <c r="V90" s="20">
        <f>$C87/4</f>
        <v>192025000</v>
      </c>
      <c r="W90" s="20">
        <f>$C87/4</f>
        <v>192025000</v>
      </c>
      <c r="X90" s="20">
        <f>$C87/4</f>
        <v>192025000</v>
      </c>
      <c r="Y90" s="20">
        <v>0</v>
      </c>
      <c r="Z90" s="20">
        <v>0</v>
      </c>
      <c r="AA90" s="20">
        <v>0</v>
      </c>
      <c r="AB90" s="20">
        <v>0</v>
      </c>
      <c r="AD90" s="21">
        <f t="shared" si="58"/>
        <v>250585000</v>
      </c>
      <c r="AE90" s="21">
        <f t="shared" si="59"/>
        <v>3437705000</v>
      </c>
      <c r="AF90" s="21">
        <f t="shared" si="56"/>
        <v>197315000</v>
      </c>
    </row>
    <row r="91" spans="1:32" x14ac:dyDescent="0.2">
      <c r="A91" t="s">
        <v>179</v>
      </c>
      <c r="B91" s="18" t="s">
        <v>98</v>
      </c>
      <c r="C91" s="22">
        <f>$C87</f>
        <v>768100000</v>
      </c>
      <c r="D91" s="22">
        <f>$D87</f>
        <v>1140400000</v>
      </c>
      <c r="E91" s="22">
        <f>$E87</f>
        <v>1417700000</v>
      </c>
      <c r="F91" s="23">
        <f t="shared" si="60"/>
        <v>20</v>
      </c>
      <c r="G91" s="4">
        <v>457200000</v>
      </c>
      <c r="I91" s="20">
        <f t="shared" si="55"/>
        <v>457200000</v>
      </c>
      <c r="J91" s="20">
        <f t="shared" si="57"/>
        <v>447900000</v>
      </c>
      <c r="K91" s="20">
        <f t="shared" si="61"/>
        <v>409500000</v>
      </c>
      <c r="L91" s="20">
        <f t="shared" si="62"/>
        <v>414399999.99999994</v>
      </c>
      <c r="M91" s="20">
        <f t="shared" ref="M91:M98" si="63">G87</f>
        <v>413700000</v>
      </c>
      <c r="N91" s="20">
        <f>$E87/4</f>
        <v>354425000</v>
      </c>
      <c r="O91" s="20">
        <f>$E87/4</f>
        <v>354425000</v>
      </c>
      <c r="P91" s="20">
        <f>$E87/4</f>
        <v>354425000</v>
      </c>
      <c r="Q91" s="20">
        <f>$E87/4</f>
        <v>354425000</v>
      </c>
      <c r="R91" s="20">
        <f>$D87/4</f>
        <v>285100000</v>
      </c>
      <c r="S91" s="20">
        <f>$D87/4</f>
        <v>285100000</v>
      </c>
      <c r="T91" s="20">
        <f>$D87/4</f>
        <v>285100000</v>
      </c>
      <c r="U91" s="20">
        <f>$D87/4</f>
        <v>285100000</v>
      </c>
      <c r="V91" s="20">
        <f>$C87/4</f>
        <v>192025000</v>
      </c>
      <c r="W91" s="20">
        <f>$C87/4</f>
        <v>192025000</v>
      </c>
      <c r="X91" s="20">
        <f>$C87/4</f>
        <v>192025000</v>
      </c>
      <c r="Y91" s="20">
        <f>$C87/4</f>
        <v>192025000</v>
      </c>
      <c r="Z91" s="20">
        <v>0</v>
      </c>
      <c r="AA91" s="20">
        <v>0</v>
      </c>
      <c r="AB91" s="20">
        <v>0</v>
      </c>
      <c r="AD91" s="21">
        <f t="shared" si="58"/>
        <v>273445000</v>
      </c>
      <c r="AE91" s="21">
        <f t="shared" si="59"/>
        <v>3644320000</v>
      </c>
      <c r="AF91" s="21">
        <f t="shared" si="56"/>
        <v>183755000</v>
      </c>
    </row>
    <row r="92" spans="1:32" x14ac:dyDescent="0.2">
      <c r="A92" t="s">
        <v>179</v>
      </c>
      <c r="B92" s="18" t="s">
        <v>97</v>
      </c>
      <c r="C92" s="22">
        <f>$C87</f>
        <v>768100000</v>
      </c>
      <c r="D92" s="22">
        <f>$D87</f>
        <v>1140400000</v>
      </c>
      <c r="E92" s="22">
        <f>$E87</f>
        <v>1417700000</v>
      </c>
      <c r="F92" s="23">
        <f t="shared" si="60"/>
        <v>20</v>
      </c>
      <c r="G92" s="4">
        <v>494800000.00000006</v>
      </c>
      <c r="I92" s="20">
        <f t="shared" si="55"/>
        <v>494800000.00000006</v>
      </c>
      <c r="J92" s="20">
        <f t="shared" si="57"/>
        <v>457200000</v>
      </c>
      <c r="K92" s="20">
        <f t="shared" si="61"/>
        <v>447900000</v>
      </c>
      <c r="L92" s="20">
        <f t="shared" si="62"/>
        <v>409500000</v>
      </c>
      <c r="M92" s="20">
        <f t="shared" si="63"/>
        <v>414399999.99999994</v>
      </c>
      <c r="N92" s="20">
        <f t="shared" ref="N92:N98" si="64">G87</f>
        <v>413700000</v>
      </c>
      <c r="O92" s="20">
        <f>$E87/4</f>
        <v>354425000</v>
      </c>
      <c r="P92" s="20">
        <f>$E87/4</f>
        <v>354425000</v>
      </c>
      <c r="Q92" s="20">
        <f>$E87/4</f>
        <v>354425000</v>
      </c>
      <c r="R92" s="20">
        <f>$E87/4</f>
        <v>354425000</v>
      </c>
      <c r="S92" s="20">
        <f>$D87/4</f>
        <v>285100000</v>
      </c>
      <c r="T92" s="20">
        <f>$D87/4</f>
        <v>285100000</v>
      </c>
      <c r="U92" s="20">
        <f>$D87/4</f>
        <v>285100000</v>
      </c>
      <c r="V92" s="20">
        <f>$D87/4</f>
        <v>285100000</v>
      </c>
      <c r="W92" s="20">
        <f>$C87/4</f>
        <v>192025000</v>
      </c>
      <c r="X92" s="20">
        <f>$C87/4</f>
        <v>192025000</v>
      </c>
      <c r="Y92" s="20">
        <f>$C87/4</f>
        <v>192025000</v>
      </c>
      <c r="Z92" s="20">
        <f>$C87/4</f>
        <v>192025000</v>
      </c>
      <c r="AA92" s="20">
        <v>0</v>
      </c>
      <c r="AB92" s="20">
        <v>0</v>
      </c>
      <c r="AD92" s="21">
        <f t="shared" si="58"/>
        <v>298185000</v>
      </c>
      <c r="AE92" s="21">
        <f t="shared" si="59"/>
        <v>3865675000</v>
      </c>
      <c r="AF92" s="21">
        <f t="shared" si="56"/>
        <v>196615000.00000006</v>
      </c>
    </row>
    <row r="93" spans="1:32" x14ac:dyDescent="0.2">
      <c r="A93" t="s">
        <v>179</v>
      </c>
      <c r="B93" s="18" t="s">
        <v>96</v>
      </c>
      <c r="C93" s="22">
        <f>$C87</f>
        <v>768100000</v>
      </c>
      <c r="D93" s="22">
        <f>$D87</f>
        <v>1140400000</v>
      </c>
      <c r="E93" s="22">
        <f>$E87</f>
        <v>1417700000</v>
      </c>
      <c r="F93" s="23">
        <f t="shared" si="60"/>
        <v>20</v>
      </c>
      <c r="G93" s="4">
        <v>480400000</v>
      </c>
      <c r="I93" s="20">
        <f t="shared" si="55"/>
        <v>480400000</v>
      </c>
      <c r="J93" s="20">
        <f t="shared" si="57"/>
        <v>494800000.00000006</v>
      </c>
      <c r="K93" s="20">
        <f t="shared" si="61"/>
        <v>457200000</v>
      </c>
      <c r="L93" s="20">
        <f t="shared" si="62"/>
        <v>447900000</v>
      </c>
      <c r="M93" s="20">
        <f t="shared" si="63"/>
        <v>409500000</v>
      </c>
      <c r="N93" s="20">
        <f t="shared" si="64"/>
        <v>414399999.99999994</v>
      </c>
      <c r="O93" s="20">
        <f t="shared" ref="O93:O98" si="65">G87</f>
        <v>413700000</v>
      </c>
      <c r="P93" s="20">
        <f>$E87/4</f>
        <v>354425000</v>
      </c>
      <c r="Q93" s="20">
        <f>$E87/4</f>
        <v>354425000</v>
      </c>
      <c r="R93" s="20">
        <f>$E87/4</f>
        <v>354425000</v>
      </c>
      <c r="S93" s="20">
        <f>$E87/4</f>
        <v>354425000</v>
      </c>
      <c r="T93" s="20">
        <f>$D87/4</f>
        <v>285100000</v>
      </c>
      <c r="U93" s="20">
        <f>$D87/4</f>
        <v>285100000</v>
      </c>
      <c r="V93" s="20">
        <f>$D87/4</f>
        <v>285100000</v>
      </c>
      <c r="W93" s="20">
        <f>$D87/4</f>
        <v>285100000</v>
      </c>
      <c r="X93" s="20">
        <f>$C87/4</f>
        <v>192025000</v>
      </c>
      <c r="Y93" s="20">
        <f>$C87/4</f>
        <v>192025000</v>
      </c>
      <c r="Z93" s="20">
        <f>$C87/4</f>
        <v>192025000</v>
      </c>
      <c r="AA93" s="20">
        <f>$C87/4</f>
        <v>192025000</v>
      </c>
      <c r="AB93" s="20">
        <v>0</v>
      </c>
      <c r="AD93" s="21">
        <f t="shared" si="58"/>
        <v>322205000</v>
      </c>
      <c r="AE93" s="21">
        <f t="shared" si="59"/>
        <v>4047890000</v>
      </c>
      <c r="AF93" s="21">
        <f t="shared" si="56"/>
        <v>158195000</v>
      </c>
    </row>
    <row r="94" spans="1:32" x14ac:dyDescent="0.2">
      <c r="A94" t="s">
        <v>179</v>
      </c>
      <c r="B94" s="18" t="s">
        <v>95</v>
      </c>
      <c r="C94" s="22">
        <f>$C87</f>
        <v>768100000</v>
      </c>
      <c r="D94" s="22">
        <f>$D87</f>
        <v>1140400000</v>
      </c>
      <c r="E94" s="22">
        <f>$E87</f>
        <v>1417700000</v>
      </c>
      <c r="F94" s="23">
        <f t="shared" si="60"/>
        <v>20</v>
      </c>
      <c r="G94" s="4">
        <v>505700000</v>
      </c>
      <c r="I94" s="20">
        <f t="shared" si="55"/>
        <v>505700000</v>
      </c>
      <c r="J94" s="20">
        <f t="shared" si="57"/>
        <v>480400000</v>
      </c>
      <c r="K94" s="20">
        <f t="shared" si="61"/>
        <v>494800000.00000006</v>
      </c>
      <c r="L94" s="20">
        <f t="shared" si="62"/>
        <v>457200000</v>
      </c>
      <c r="M94" s="20">
        <f t="shared" si="63"/>
        <v>447900000</v>
      </c>
      <c r="N94" s="20">
        <f t="shared" si="64"/>
        <v>409500000</v>
      </c>
      <c r="O94" s="20">
        <f t="shared" si="65"/>
        <v>414399999.99999994</v>
      </c>
      <c r="P94" s="20">
        <f>G87</f>
        <v>413700000</v>
      </c>
      <c r="Q94" s="20">
        <f>$E87/4</f>
        <v>354425000</v>
      </c>
      <c r="R94" s="20">
        <f>$E87/4</f>
        <v>354425000</v>
      </c>
      <c r="S94" s="20">
        <f>$E87/4</f>
        <v>354425000</v>
      </c>
      <c r="T94" s="20">
        <f>$E87/4</f>
        <v>354425000</v>
      </c>
      <c r="U94" s="20">
        <f>$D87/4</f>
        <v>285100000</v>
      </c>
      <c r="V94" s="20">
        <f>$D87/4</f>
        <v>285100000</v>
      </c>
      <c r="W94" s="20">
        <f>$D87/4</f>
        <v>285100000</v>
      </c>
      <c r="X94" s="20">
        <f>$D87/4</f>
        <v>285100000</v>
      </c>
      <c r="Y94" s="20">
        <f>$C87/4</f>
        <v>192025000</v>
      </c>
      <c r="Z94" s="20">
        <f>$C87/4</f>
        <v>192025000</v>
      </c>
      <c r="AA94" s="20">
        <f>$C87/4</f>
        <v>192025000</v>
      </c>
      <c r="AB94" s="20">
        <f>$C87/4</f>
        <v>192025000</v>
      </c>
      <c r="AD94" s="21">
        <f t="shared" si="58"/>
        <v>347490000</v>
      </c>
      <c r="AE94" s="21">
        <f t="shared" si="59"/>
        <v>4231385000</v>
      </c>
      <c r="AF94" s="21">
        <f t="shared" si="56"/>
        <v>158210000</v>
      </c>
    </row>
    <row r="95" spans="1:32" x14ac:dyDescent="0.2">
      <c r="A95" t="s">
        <v>179</v>
      </c>
      <c r="B95" s="18" t="s">
        <v>94</v>
      </c>
      <c r="C95" s="22">
        <f>$C87</f>
        <v>768100000</v>
      </c>
      <c r="D95" s="22">
        <f>$D87</f>
        <v>1140400000</v>
      </c>
      <c r="E95" s="22">
        <f>$E87</f>
        <v>1417700000</v>
      </c>
      <c r="F95" s="23">
        <f t="shared" si="60"/>
        <v>20</v>
      </c>
      <c r="G95" s="4">
        <v>494500000</v>
      </c>
      <c r="I95" s="20">
        <f t="shared" si="55"/>
        <v>494500000</v>
      </c>
      <c r="J95" s="20">
        <f t="shared" si="57"/>
        <v>505700000</v>
      </c>
      <c r="K95" s="20">
        <f t="shared" si="61"/>
        <v>480400000</v>
      </c>
      <c r="L95" s="20">
        <f t="shared" si="62"/>
        <v>494800000.00000006</v>
      </c>
      <c r="M95" s="20">
        <f t="shared" si="63"/>
        <v>457200000</v>
      </c>
      <c r="N95" s="20">
        <f t="shared" si="64"/>
        <v>447900000</v>
      </c>
      <c r="O95" s="20">
        <f t="shared" si="65"/>
        <v>409500000</v>
      </c>
      <c r="P95" s="20">
        <f>G88</f>
        <v>414399999.99999994</v>
      </c>
      <c r="Q95" s="20">
        <f>G87</f>
        <v>413700000</v>
      </c>
      <c r="R95" s="20">
        <f>$E87/4</f>
        <v>354425000</v>
      </c>
      <c r="S95" s="20">
        <f>$E87/4</f>
        <v>354425000</v>
      </c>
      <c r="T95" s="20">
        <f>$E87/4</f>
        <v>354425000</v>
      </c>
      <c r="U95" s="20">
        <f>$E87/4</f>
        <v>354425000</v>
      </c>
      <c r="V95" s="20">
        <f>$D87/4</f>
        <v>285100000</v>
      </c>
      <c r="W95" s="20">
        <f>$D87/4</f>
        <v>285100000</v>
      </c>
      <c r="X95" s="20">
        <f>$D87/4</f>
        <v>285100000</v>
      </c>
      <c r="Y95" s="20">
        <f>$D87/4</f>
        <v>285100000</v>
      </c>
      <c r="Z95" s="20">
        <f>$C87/4</f>
        <v>192025000</v>
      </c>
      <c r="AA95" s="20">
        <f>$C87/4</f>
        <v>192025000</v>
      </c>
      <c r="AB95" s="20">
        <f>$C87/4</f>
        <v>192025000</v>
      </c>
      <c r="AD95" s="21">
        <f t="shared" si="58"/>
        <v>362613750</v>
      </c>
      <c r="AE95" s="21">
        <f t="shared" si="59"/>
        <v>4378395000</v>
      </c>
      <c r="AF95" s="21">
        <f t="shared" si="56"/>
        <v>131886250</v>
      </c>
    </row>
    <row r="96" spans="1:32" x14ac:dyDescent="0.2">
      <c r="A96" t="s">
        <v>179</v>
      </c>
      <c r="B96" s="18" t="s">
        <v>93</v>
      </c>
      <c r="C96" s="22">
        <f>$C87</f>
        <v>768100000</v>
      </c>
      <c r="D96" s="22">
        <f>$D87</f>
        <v>1140400000</v>
      </c>
      <c r="E96" s="22">
        <f>$E87</f>
        <v>1417700000</v>
      </c>
      <c r="F96" s="23">
        <f t="shared" si="60"/>
        <v>20</v>
      </c>
      <c r="G96" s="4">
        <v>503499999.99999988</v>
      </c>
      <c r="I96" s="20">
        <f t="shared" si="55"/>
        <v>503499999.99999988</v>
      </c>
      <c r="J96" s="20">
        <f t="shared" si="57"/>
        <v>494500000</v>
      </c>
      <c r="K96" s="20">
        <f t="shared" si="61"/>
        <v>505700000</v>
      </c>
      <c r="L96" s="20">
        <f t="shared" si="62"/>
        <v>480400000</v>
      </c>
      <c r="M96" s="20">
        <f t="shared" si="63"/>
        <v>494800000.00000006</v>
      </c>
      <c r="N96" s="20">
        <f t="shared" si="64"/>
        <v>457200000</v>
      </c>
      <c r="O96" s="20">
        <f t="shared" si="65"/>
        <v>447900000</v>
      </c>
      <c r="P96" s="20">
        <f>G89</f>
        <v>409500000</v>
      </c>
      <c r="Q96" s="20">
        <f>G88</f>
        <v>414399999.99999994</v>
      </c>
      <c r="R96" s="20">
        <f>G87</f>
        <v>413700000</v>
      </c>
      <c r="S96" s="20">
        <f>$E87/4</f>
        <v>354425000</v>
      </c>
      <c r="T96" s="20">
        <f>$E87/4</f>
        <v>354425000</v>
      </c>
      <c r="U96" s="20">
        <f>$E87/4</f>
        <v>354425000</v>
      </c>
      <c r="V96" s="20">
        <f>$E87/4</f>
        <v>354425000</v>
      </c>
      <c r="W96" s="20">
        <f>$D87/4</f>
        <v>285100000</v>
      </c>
      <c r="X96" s="20">
        <f>$D87/4</f>
        <v>285100000</v>
      </c>
      <c r="Y96" s="20">
        <f>$D87/4</f>
        <v>285100000</v>
      </c>
      <c r="Z96" s="20">
        <f>$D87/4</f>
        <v>285100000</v>
      </c>
      <c r="AA96" s="20">
        <f>$C87/4</f>
        <v>192025000</v>
      </c>
      <c r="AB96" s="20">
        <f>$C87/4</f>
        <v>192025000</v>
      </c>
      <c r="AD96" s="21">
        <f t="shared" si="58"/>
        <v>378187500</v>
      </c>
      <c r="AE96" s="21">
        <f t="shared" si="59"/>
        <v>4519281250</v>
      </c>
      <c r="AF96" s="21">
        <f t="shared" si="56"/>
        <v>125312499.99999988</v>
      </c>
    </row>
    <row r="97" spans="1:32" x14ac:dyDescent="0.2">
      <c r="A97" t="s">
        <v>179</v>
      </c>
      <c r="B97" s="18" t="s">
        <v>141</v>
      </c>
      <c r="C97" s="22">
        <f>$C87</f>
        <v>768100000</v>
      </c>
      <c r="D97" s="22">
        <f>$D87</f>
        <v>1140400000</v>
      </c>
      <c r="E97" s="22">
        <f>$E87</f>
        <v>1417700000</v>
      </c>
      <c r="F97" s="23">
        <f t="shared" si="60"/>
        <v>20</v>
      </c>
      <c r="G97" s="4">
        <v>528000000</v>
      </c>
      <c r="I97" s="20">
        <f t="shared" si="55"/>
        <v>528000000</v>
      </c>
      <c r="J97" s="20">
        <f t="shared" si="57"/>
        <v>503499999.99999988</v>
      </c>
      <c r="K97" s="20">
        <f t="shared" si="61"/>
        <v>494500000</v>
      </c>
      <c r="L97" s="20">
        <f t="shared" si="62"/>
        <v>505700000</v>
      </c>
      <c r="M97" s="20">
        <f t="shared" si="63"/>
        <v>480400000</v>
      </c>
      <c r="N97" s="20">
        <f t="shared" si="64"/>
        <v>494800000.00000006</v>
      </c>
      <c r="O97" s="20">
        <f t="shared" si="65"/>
        <v>457200000</v>
      </c>
      <c r="P97" s="20">
        <f>G90</f>
        <v>447900000</v>
      </c>
      <c r="Q97" s="20">
        <f>G89</f>
        <v>409500000</v>
      </c>
      <c r="R97" s="20">
        <f>G88</f>
        <v>414399999.99999994</v>
      </c>
      <c r="S97" s="20">
        <f>G87</f>
        <v>413700000</v>
      </c>
      <c r="T97" s="20">
        <f>$E87/4</f>
        <v>354425000</v>
      </c>
      <c r="U97" s="20">
        <f>$E87/4</f>
        <v>354425000</v>
      </c>
      <c r="V97" s="20">
        <f>$E87/4</f>
        <v>354425000</v>
      </c>
      <c r="W97" s="20">
        <f>$E87/4</f>
        <v>354425000</v>
      </c>
      <c r="X97" s="20">
        <f>$D87/4</f>
        <v>285100000</v>
      </c>
      <c r="Y97" s="20">
        <f>$D87/4</f>
        <v>285100000</v>
      </c>
      <c r="Z97" s="20">
        <f>$D87/4</f>
        <v>285100000</v>
      </c>
      <c r="AA97" s="20">
        <f>$D87/4</f>
        <v>285100000</v>
      </c>
      <c r="AB97" s="20">
        <f>$C87/4</f>
        <v>192025000</v>
      </c>
      <c r="AD97" s="21">
        <f t="shared" si="58"/>
        <v>394986250</v>
      </c>
      <c r="AE97" s="21">
        <f t="shared" si="59"/>
        <v>4669093750</v>
      </c>
      <c r="AF97" s="21">
        <f t="shared" si="56"/>
        <v>133013750</v>
      </c>
    </row>
    <row r="98" spans="1:32" x14ac:dyDescent="0.2">
      <c r="A98" t="s">
        <v>179</v>
      </c>
      <c r="B98" s="18" t="s">
        <v>160</v>
      </c>
      <c r="C98" s="22">
        <f>$C87</f>
        <v>768100000</v>
      </c>
      <c r="D98" s="22">
        <f>$D87</f>
        <v>1140400000</v>
      </c>
      <c r="E98" s="22">
        <f>$E87</f>
        <v>1417700000</v>
      </c>
      <c r="F98" s="23">
        <f t="shared" si="60"/>
        <v>20</v>
      </c>
      <c r="G98" s="4">
        <v>511000000</v>
      </c>
      <c r="I98" s="20">
        <f t="shared" si="55"/>
        <v>511000000</v>
      </c>
      <c r="J98" s="20">
        <f t="shared" si="57"/>
        <v>528000000</v>
      </c>
      <c r="K98" s="20">
        <f t="shared" si="61"/>
        <v>503499999.99999988</v>
      </c>
      <c r="L98" s="20">
        <f t="shared" si="62"/>
        <v>494500000</v>
      </c>
      <c r="M98" s="20">
        <f t="shared" si="63"/>
        <v>505700000</v>
      </c>
      <c r="N98" s="20">
        <f t="shared" si="64"/>
        <v>480400000</v>
      </c>
      <c r="O98" s="20">
        <f t="shared" si="65"/>
        <v>494800000.00000006</v>
      </c>
      <c r="P98" s="20">
        <f>G91</f>
        <v>457200000</v>
      </c>
      <c r="Q98" s="20">
        <f>G90</f>
        <v>447900000</v>
      </c>
      <c r="R98" s="20">
        <f>G89</f>
        <v>409500000</v>
      </c>
      <c r="S98" s="20">
        <f>G88</f>
        <v>414399999.99999994</v>
      </c>
      <c r="T98" s="20">
        <f>G87</f>
        <v>413700000</v>
      </c>
      <c r="U98" s="20">
        <f>$E87/4</f>
        <v>354425000</v>
      </c>
      <c r="V98" s="20">
        <f>$E87/4</f>
        <v>354425000</v>
      </c>
      <c r="W98" s="20">
        <f>$E87/4</f>
        <v>354425000</v>
      </c>
      <c r="X98" s="20">
        <f>$E87/4</f>
        <v>354425000</v>
      </c>
      <c r="Y98" s="20">
        <f>$D87/4</f>
        <v>285100000</v>
      </c>
      <c r="Z98" s="20">
        <f>$D87/4</f>
        <v>285100000</v>
      </c>
      <c r="AA98" s="20">
        <f>$D87/4</f>
        <v>285100000</v>
      </c>
      <c r="AB98" s="20">
        <f>$D87/4</f>
        <v>285100000</v>
      </c>
      <c r="AD98" s="21">
        <f t="shared" si="58"/>
        <v>410935000</v>
      </c>
      <c r="AE98" s="21">
        <f t="shared" si="59"/>
        <v>4785107500</v>
      </c>
      <c r="AF98" s="21">
        <f t="shared" si="56"/>
        <v>100065000</v>
      </c>
    </row>
    <row r="99" spans="1:32" x14ac:dyDescent="0.2">
      <c r="H99" s="3"/>
    </row>
    <row r="100" spans="1:32" x14ac:dyDescent="0.2">
      <c r="H100" s="3"/>
    </row>
    <row r="101" spans="1:32" x14ac:dyDescent="0.2">
      <c r="B101" t="s">
        <v>303</v>
      </c>
    </row>
    <row r="102" spans="1:32" x14ac:dyDescent="0.2">
      <c r="B102" s="6" t="s">
        <v>107</v>
      </c>
      <c r="C102" s="6" t="s">
        <v>438</v>
      </c>
      <c r="D102" s="6" t="s">
        <v>439</v>
      </c>
      <c r="E102" s="6" t="s">
        <v>440</v>
      </c>
      <c r="F102" s="6" t="s">
        <v>441</v>
      </c>
      <c r="G102" s="6" t="s">
        <v>442</v>
      </c>
      <c r="H102" s="15"/>
      <c r="I102" s="6" t="s">
        <v>443</v>
      </c>
      <c r="J102" s="6" t="s">
        <v>444</v>
      </c>
      <c r="K102" s="6" t="s">
        <v>445</v>
      </c>
      <c r="L102" s="6" t="s">
        <v>446</v>
      </c>
      <c r="M102" s="6" t="s">
        <v>447</v>
      </c>
      <c r="N102" s="6" t="s">
        <v>448</v>
      </c>
      <c r="O102" s="6" t="s">
        <v>449</v>
      </c>
      <c r="P102" s="6" t="s">
        <v>450</v>
      </c>
      <c r="Q102" s="6" t="s">
        <v>451</v>
      </c>
      <c r="R102" s="6" t="s">
        <v>452</v>
      </c>
      <c r="S102" s="6" t="s">
        <v>453</v>
      </c>
      <c r="T102" s="6" t="s">
        <v>454</v>
      </c>
      <c r="U102" s="6" t="s">
        <v>455</v>
      </c>
      <c r="V102" s="6" t="s">
        <v>456</v>
      </c>
      <c r="W102" s="6" t="s">
        <v>457</v>
      </c>
      <c r="X102" s="6" t="s">
        <v>458</v>
      </c>
      <c r="Y102" s="6" t="s">
        <v>459</v>
      </c>
      <c r="Z102" s="6" t="s">
        <v>460</v>
      </c>
      <c r="AA102" s="6" t="s">
        <v>461</v>
      </c>
      <c r="AB102" s="6" t="s">
        <v>462</v>
      </c>
      <c r="AC102" s="15"/>
      <c r="AD102" s="6" t="s">
        <v>106</v>
      </c>
      <c r="AE102" s="6" t="s">
        <v>105</v>
      </c>
      <c r="AF102" s="6" t="s">
        <v>463</v>
      </c>
    </row>
    <row r="103" spans="1:32" x14ac:dyDescent="0.2">
      <c r="B103" s="16" t="s">
        <v>464</v>
      </c>
      <c r="I103" s="17">
        <v>20</v>
      </c>
      <c r="J103" s="17">
        <v>19</v>
      </c>
      <c r="K103" s="17">
        <v>18</v>
      </c>
      <c r="L103" s="17">
        <v>17</v>
      </c>
      <c r="M103" s="17">
        <v>16</v>
      </c>
      <c r="N103" s="17">
        <v>15</v>
      </c>
      <c r="O103" s="17">
        <v>14</v>
      </c>
      <c r="P103" s="17">
        <v>13</v>
      </c>
      <c r="Q103" s="17">
        <v>12</v>
      </c>
      <c r="R103" s="17">
        <v>11</v>
      </c>
      <c r="S103" s="17">
        <v>10</v>
      </c>
      <c r="T103" s="17">
        <v>9</v>
      </c>
      <c r="U103" s="17">
        <v>8</v>
      </c>
      <c r="V103" s="17">
        <v>7</v>
      </c>
      <c r="W103" s="17">
        <v>6</v>
      </c>
      <c r="X103" s="17">
        <v>5</v>
      </c>
      <c r="Y103" s="17">
        <v>4</v>
      </c>
      <c r="Z103" s="17">
        <v>3</v>
      </c>
      <c r="AA103" s="17">
        <v>2</v>
      </c>
      <c r="AB103" s="17">
        <v>1</v>
      </c>
    </row>
    <row r="104" spans="1:32" x14ac:dyDescent="0.2">
      <c r="A104" t="s">
        <v>303</v>
      </c>
      <c r="B104" s="18" t="s">
        <v>104</v>
      </c>
      <c r="C104" s="4">
        <v>0</v>
      </c>
      <c r="D104" s="4">
        <v>0</v>
      </c>
      <c r="E104" s="4">
        <v>0</v>
      </c>
      <c r="F104" s="19">
        <v>20</v>
      </c>
      <c r="G104" s="4">
        <v>0</v>
      </c>
      <c r="I104" s="20">
        <f t="shared" ref="I104:I115" si="66">G104</f>
        <v>0</v>
      </c>
      <c r="J104" s="20">
        <f>$E104/4</f>
        <v>0</v>
      </c>
      <c r="K104" s="20">
        <f>$E104/4</f>
        <v>0</v>
      </c>
      <c r="L104" s="20">
        <f>$E104/4</f>
        <v>0</v>
      </c>
      <c r="M104" s="20">
        <f>$E104/4</f>
        <v>0</v>
      </c>
      <c r="N104" s="20">
        <f>$D104/4</f>
        <v>0</v>
      </c>
      <c r="O104" s="20">
        <f>$D104/4</f>
        <v>0</v>
      </c>
      <c r="P104" s="20">
        <f>$D104/4</f>
        <v>0</v>
      </c>
      <c r="Q104" s="20">
        <f>$D104/4</f>
        <v>0</v>
      </c>
      <c r="R104" s="20">
        <f>$C104/4</f>
        <v>0</v>
      </c>
      <c r="S104" s="20">
        <f>$C104/4</f>
        <v>0</v>
      </c>
      <c r="T104" s="20">
        <f>$C104/4</f>
        <v>0</v>
      </c>
      <c r="U104" s="20">
        <f>$C104/4</f>
        <v>0</v>
      </c>
      <c r="V104" s="20">
        <v>0</v>
      </c>
      <c r="W104" s="20">
        <v>0</v>
      </c>
      <c r="X104" s="20">
        <v>0</v>
      </c>
      <c r="Y104" s="20">
        <v>0</v>
      </c>
      <c r="Z104" s="20">
        <v>0</v>
      </c>
      <c r="AA104" s="20">
        <v>0</v>
      </c>
      <c r="AB104" s="20">
        <v>0</v>
      </c>
      <c r="AD104" s="21">
        <f>SUM(I104:AB104)/$F104</f>
        <v>0</v>
      </c>
      <c r="AE104" s="21">
        <f>SUMPRODUCT($I$103:$AB$103,I104:AB104)/$F104</f>
        <v>0</v>
      </c>
      <c r="AF104" s="21">
        <f t="shared" ref="AF104:AF115" si="67">G104-AD104</f>
        <v>0</v>
      </c>
    </row>
    <row r="105" spans="1:32" x14ac:dyDescent="0.2">
      <c r="A105" t="s">
        <v>303</v>
      </c>
      <c r="B105" s="18" t="s">
        <v>103</v>
      </c>
      <c r="C105" s="22">
        <f>$C104</f>
        <v>0</v>
      </c>
      <c r="D105" s="22">
        <f>$D104</f>
        <v>0</v>
      </c>
      <c r="E105" s="22">
        <f>$E104</f>
        <v>0</v>
      </c>
      <c r="F105" s="23">
        <f>$F$104</f>
        <v>20</v>
      </c>
      <c r="G105" s="4">
        <v>0</v>
      </c>
      <c r="I105" s="20">
        <f t="shared" si="66"/>
        <v>0</v>
      </c>
      <c r="J105" s="20">
        <f t="shared" ref="J105:J115" si="68">G104</f>
        <v>0</v>
      </c>
      <c r="K105" s="20">
        <f>$E104/4</f>
        <v>0</v>
      </c>
      <c r="L105" s="20">
        <f>$E104/4</f>
        <v>0</v>
      </c>
      <c r="M105" s="20">
        <f>$E104/4</f>
        <v>0</v>
      </c>
      <c r="N105" s="20">
        <f>$E104/4</f>
        <v>0</v>
      </c>
      <c r="O105" s="20">
        <f>$D104/4</f>
        <v>0</v>
      </c>
      <c r="P105" s="20">
        <f>$D104/4</f>
        <v>0</v>
      </c>
      <c r="Q105" s="20">
        <f>$D104/4</f>
        <v>0</v>
      </c>
      <c r="R105" s="20">
        <f>$D104/4</f>
        <v>0</v>
      </c>
      <c r="S105" s="20">
        <f>$C104/4</f>
        <v>0</v>
      </c>
      <c r="T105" s="20">
        <f>$C104/4</f>
        <v>0</v>
      </c>
      <c r="U105" s="20">
        <f>$C104/4</f>
        <v>0</v>
      </c>
      <c r="V105" s="20">
        <f>$C104/4</f>
        <v>0</v>
      </c>
      <c r="W105" s="20">
        <v>0</v>
      </c>
      <c r="X105" s="20">
        <v>0</v>
      </c>
      <c r="Y105" s="20">
        <v>0</v>
      </c>
      <c r="Z105" s="20">
        <v>0</v>
      </c>
      <c r="AA105" s="20">
        <v>0</v>
      </c>
      <c r="AB105" s="20">
        <v>0</v>
      </c>
      <c r="AD105" s="21">
        <f t="shared" ref="AD105:AD115" si="69">SUM(I105:AB105)/$F105</f>
        <v>0</v>
      </c>
      <c r="AE105" s="21">
        <f t="shared" ref="AE105:AE115" si="70">SUMPRODUCT($I$103:$AB$103,I105:AB105)/$F105</f>
        <v>0</v>
      </c>
      <c r="AF105" s="21">
        <f t="shared" si="67"/>
        <v>0</v>
      </c>
    </row>
    <row r="106" spans="1:32" x14ac:dyDescent="0.2">
      <c r="A106" t="s">
        <v>303</v>
      </c>
      <c r="B106" s="18" t="s">
        <v>102</v>
      </c>
      <c r="C106" s="22">
        <f>$C104</f>
        <v>0</v>
      </c>
      <c r="D106" s="22">
        <f>$D104</f>
        <v>0</v>
      </c>
      <c r="E106" s="22">
        <f>$E104</f>
        <v>0</v>
      </c>
      <c r="F106" s="23">
        <f t="shared" ref="F106:F115" si="71">$F$104</f>
        <v>20</v>
      </c>
      <c r="G106" s="4">
        <v>0</v>
      </c>
      <c r="I106" s="20">
        <f t="shared" si="66"/>
        <v>0</v>
      </c>
      <c r="J106" s="20">
        <f t="shared" si="68"/>
        <v>0</v>
      </c>
      <c r="K106" s="20">
        <f t="shared" ref="K106:K115" si="72">G104</f>
        <v>0</v>
      </c>
      <c r="L106" s="20">
        <f>$E104/4</f>
        <v>0</v>
      </c>
      <c r="M106" s="20">
        <f>$E104/4</f>
        <v>0</v>
      </c>
      <c r="N106" s="20">
        <f>$E104/4</f>
        <v>0</v>
      </c>
      <c r="O106" s="20">
        <f>$E104/4</f>
        <v>0</v>
      </c>
      <c r="P106" s="20">
        <f>$D104/4</f>
        <v>0</v>
      </c>
      <c r="Q106" s="20">
        <f>$D104/4</f>
        <v>0</v>
      </c>
      <c r="R106" s="20">
        <f>$D104/4</f>
        <v>0</v>
      </c>
      <c r="S106" s="20">
        <f>$D104/4</f>
        <v>0</v>
      </c>
      <c r="T106" s="20">
        <f>$C104/4</f>
        <v>0</v>
      </c>
      <c r="U106" s="20">
        <f>$C104/4</f>
        <v>0</v>
      </c>
      <c r="V106" s="20">
        <f>$C104/4</f>
        <v>0</v>
      </c>
      <c r="W106" s="20">
        <f>$C104/4</f>
        <v>0</v>
      </c>
      <c r="X106" s="20">
        <v>0</v>
      </c>
      <c r="Y106" s="20">
        <v>0</v>
      </c>
      <c r="Z106" s="20">
        <v>0</v>
      </c>
      <c r="AA106" s="20">
        <v>0</v>
      </c>
      <c r="AB106" s="20">
        <v>0</v>
      </c>
      <c r="AD106" s="21">
        <f t="shared" si="69"/>
        <v>0</v>
      </c>
      <c r="AE106" s="21">
        <f t="shared" si="70"/>
        <v>0</v>
      </c>
      <c r="AF106" s="21">
        <f t="shared" si="67"/>
        <v>0</v>
      </c>
    </row>
    <row r="107" spans="1:32" x14ac:dyDescent="0.2">
      <c r="A107" t="s">
        <v>303</v>
      </c>
      <c r="B107" s="18" t="s">
        <v>101</v>
      </c>
      <c r="C107" s="22">
        <f>$C104</f>
        <v>0</v>
      </c>
      <c r="D107" s="22">
        <f>$D104</f>
        <v>0</v>
      </c>
      <c r="E107" s="22">
        <f>$E104</f>
        <v>0</v>
      </c>
      <c r="F107" s="23">
        <f t="shared" si="71"/>
        <v>20</v>
      </c>
      <c r="G107" s="4">
        <v>0</v>
      </c>
      <c r="I107" s="20">
        <f t="shared" si="66"/>
        <v>0</v>
      </c>
      <c r="J107" s="20">
        <f t="shared" si="68"/>
        <v>0</v>
      </c>
      <c r="K107" s="20">
        <f t="shared" si="72"/>
        <v>0</v>
      </c>
      <c r="L107" s="20">
        <f t="shared" ref="L107:L115" si="73">G104</f>
        <v>0</v>
      </c>
      <c r="M107" s="20">
        <f>$E104/4</f>
        <v>0</v>
      </c>
      <c r="N107" s="20">
        <f>$E104/4</f>
        <v>0</v>
      </c>
      <c r="O107" s="20">
        <f>$E104/4</f>
        <v>0</v>
      </c>
      <c r="P107" s="20">
        <f>$E104/4</f>
        <v>0</v>
      </c>
      <c r="Q107" s="20">
        <f>$D104/4</f>
        <v>0</v>
      </c>
      <c r="R107" s="20">
        <f>$D104/4</f>
        <v>0</v>
      </c>
      <c r="S107" s="20">
        <f>$D104/4</f>
        <v>0</v>
      </c>
      <c r="T107" s="20">
        <f>$D104/4</f>
        <v>0</v>
      </c>
      <c r="U107" s="20">
        <f>$C104/4</f>
        <v>0</v>
      </c>
      <c r="V107" s="20">
        <f>$C104/4</f>
        <v>0</v>
      </c>
      <c r="W107" s="20">
        <f>$C104/4</f>
        <v>0</v>
      </c>
      <c r="X107" s="20">
        <f>$C104/4</f>
        <v>0</v>
      </c>
      <c r="Y107" s="20">
        <v>0</v>
      </c>
      <c r="Z107" s="20">
        <v>0</v>
      </c>
      <c r="AA107" s="20">
        <v>0</v>
      </c>
      <c r="AB107" s="20">
        <v>0</v>
      </c>
      <c r="AD107" s="21">
        <f t="shared" si="69"/>
        <v>0</v>
      </c>
      <c r="AE107" s="21">
        <f t="shared" si="70"/>
        <v>0</v>
      </c>
      <c r="AF107" s="21">
        <f t="shared" si="67"/>
        <v>0</v>
      </c>
    </row>
    <row r="108" spans="1:32" x14ac:dyDescent="0.2">
      <c r="A108" t="s">
        <v>303</v>
      </c>
      <c r="B108" s="18" t="s">
        <v>100</v>
      </c>
      <c r="C108" s="22">
        <f>$C104</f>
        <v>0</v>
      </c>
      <c r="D108" s="22">
        <f>$D104</f>
        <v>0</v>
      </c>
      <c r="E108" s="22">
        <f>$E104</f>
        <v>0</v>
      </c>
      <c r="F108" s="23">
        <f t="shared" si="71"/>
        <v>20</v>
      </c>
      <c r="G108" s="4">
        <v>0</v>
      </c>
      <c r="I108" s="20">
        <f t="shared" si="66"/>
        <v>0</v>
      </c>
      <c r="J108" s="20">
        <f t="shared" si="68"/>
        <v>0</v>
      </c>
      <c r="K108" s="20">
        <f t="shared" si="72"/>
        <v>0</v>
      </c>
      <c r="L108" s="20">
        <f t="shared" si="73"/>
        <v>0</v>
      </c>
      <c r="M108" s="20">
        <f t="shared" ref="M108:M115" si="74">G104</f>
        <v>0</v>
      </c>
      <c r="N108" s="20">
        <f>$E104/4</f>
        <v>0</v>
      </c>
      <c r="O108" s="20">
        <f>$E104/4</f>
        <v>0</v>
      </c>
      <c r="P108" s="20">
        <f>$E104/4</f>
        <v>0</v>
      </c>
      <c r="Q108" s="20">
        <f>$E104/4</f>
        <v>0</v>
      </c>
      <c r="R108" s="20">
        <f>$D104/4</f>
        <v>0</v>
      </c>
      <c r="S108" s="20">
        <f>$D104/4</f>
        <v>0</v>
      </c>
      <c r="T108" s="20">
        <f>$D104/4</f>
        <v>0</v>
      </c>
      <c r="U108" s="20">
        <f>$D104/4</f>
        <v>0</v>
      </c>
      <c r="V108" s="20">
        <f>$C104/4</f>
        <v>0</v>
      </c>
      <c r="W108" s="20">
        <f>$C104/4</f>
        <v>0</v>
      </c>
      <c r="X108" s="20">
        <f>$C104/4</f>
        <v>0</v>
      </c>
      <c r="Y108" s="20">
        <f>$C104/4</f>
        <v>0</v>
      </c>
      <c r="Z108" s="20">
        <v>0</v>
      </c>
      <c r="AA108" s="20">
        <v>0</v>
      </c>
      <c r="AB108" s="20">
        <v>0</v>
      </c>
      <c r="AD108" s="21">
        <f t="shared" si="69"/>
        <v>0</v>
      </c>
      <c r="AE108" s="21">
        <f t="shared" si="70"/>
        <v>0</v>
      </c>
      <c r="AF108" s="21">
        <f t="shared" si="67"/>
        <v>0</v>
      </c>
    </row>
    <row r="109" spans="1:32" x14ac:dyDescent="0.2">
      <c r="A109" t="s">
        <v>303</v>
      </c>
      <c r="B109" s="18" t="s">
        <v>99</v>
      </c>
      <c r="C109" s="22">
        <f>$C104</f>
        <v>0</v>
      </c>
      <c r="D109" s="22">
        <f>$D104</f>
        <v>0</v>
      </c>
      <c r="E109" s="22">
        <f>$E104</f>
        <v>0</v>
      </c>
      <c r="F109" s="23">
        <f t="shared" si="71"/>
        <v>20</v>
      </c>
      <c r="G109" s="4">
        <v>10719142</v>
      </c>
      <c r="I109" s="20">
        <f t="shared" si="66"/>
        <v>10719142</v>
      </c>
      <c r="J109" s="20">
        <f t="shared" si="68"/>
        <v>0</v>
      </c>
      <c r="K109" s="20">
        <f t="shared" si="72"/>
        <v>0</v>
      </c>
      <c r="L109" s="20">
        <f t="shared" si="73"/>
        <v>0</v>
      </c>
      <c r="M109" s="20">
        <f t="shared" si="74"/>
        <v>0</v>
      </c>
      <c r="N109" s="20">
        <f t="shared" ref="N109:N115" si="75">G104</f>
        <v>0</v>
      </c>
      <c r="O109" s="20">
        <f>$E104/4</f>
        <v>0</v>
      </c>
      <c r="P109" s="20">
        <f>$E104/4</f>
        <v>0</v>
      </c>
      <c r="Q109" s="20">
        <f>$E104/4</f>
        <v>0</v>
      </c>
      <c r="R109" s="20">
        <f>$E104/4</f>
        <v>0</v>
      </c>
      <c r="S109" s="20">
        <f>$D104/4</f>
        <v>0</v>
      </c>
      <c r="T109" s="20">
        <f>$D104/4</f>
        <v>0</v>
      </c>
      <c r="U109" s="20">
        <f>$D104/4</f>
        <v>0</v>
      </c>
      <c r="V109" s="20">
        <f>$D104/4</f>
        <v>0</v>
      </c>
      <c r="W109" s="20">
        <f>$C104/4</f>
        <v>0</v>
      </c>
      <c r="X109" s="20">
        <f>$C104/4</f>
        <v>0</v>
      </c>
      <c r="Y109" s="20">
        <f>$C104/4</f>
        <v>0</v>
      </c>
      <c r="Z109" s="20">
        <f>$C104/4</f>
        <v>0</v>
      </c>
      <c r="AA109" s="20">
        <v>0</v>
      </c>
      <c r="AB109" s="20">
        <v>0</v>
      </c>
      <c r="AD109" s="21">
        <f t="shared" si="69"/>
        <v>535957.1</v>
      </c>
      <c r="AE109" s="21">
        <f t="shared" si="70"/>
        <v>10719142</v>
      </c>
      <c r="AF109" s="21">
        <f t="shared" si="67"/>
        <v>10183184.9</v>
      </c>
    </row>
    <row r="110" spans="1:32" x14ac:dyDescent="0.2">
      <c r="A110" t="s">
        <v>303</v>
      </c>
      <c r="B110" s="18" t="s">
        <v>98</v>
      </c>
      <c r="C110" s="22">
        <f>$C104</f>
        <v>0</v>
      </c>
      <c r="D110" s="22">
        <f>$D104</f>
        <v>0</v>
      </c>
      <c r="E110" s="22">
        <f>$E104</f>
        <v>0</v>
      </c>
      <c r="F110" s="23">
        <f t="shared" si="71"/>
        <v>20</v>
      </c>
      <c r="G110" s="4">
        <v>5049070</v>
      </c>
      <c r="I110" s="20">
        <f t="shared" si="66"/>
        <v>5049070</v>
      </c>
      <c r="J110" s="20">
        <f t="shared" si="68"/>
        <v>10719142</v>
      </c>
      <c r="K110" s="20">
        <f t="shared" si="72"/>
        <v>0</v>
      </c>
      <c r="L110" s="20">
        <f t="shared" si="73"/>
        <v>0</v>
      </c>
      <c r="M110" s="20">
        <f t="shared" si="74"/>
        <v>0</v>
      </c>
      <c r="N110" s="20">
        <f t="shared" si="75"/>
        <v>0</v>
      </c>
      <c r="O110" s="20">
        <f t="shared" ref="O110:O115" si="76">G104</f>
        <v>0</v>
      </c>
      <c r="P110" s="20">
        <f>$E104/4</f>
        <v>0</v>
      </c>
      <c r="Q110" s="20">
        <f>$E104/4</f>
        <v>0</v>
      </c>
      <c r="R110" s="20">
        <f>$E104/4</f>
        <v>0</v>
      </c>
      <c r="S110" s="20">
        <f>$E104/4</f>
        <v>0</v>
      </c>
      <c r="T110" s="20">
        <f>$D104/4</f>
        <v>0</v>
      </c>
      <c r="U110" s="20">
        <f>$D104/4</f>
        <v>0</v>
      </c>
      <c r="V110" s="20">
        <f>$D104/4</f>
        <v>0</v>
      </c>
      <c r="W110" s="20">
        <f>$D104/4</f>
        <v>0</v>
      </c>
      <c r="X110" s="20">
        <f>$C104/4</f>
        <v>0</v>
      </c>
      <c r="Y110" s="20">
        <f>$C104/4</f>
        <v>0</v>
      </c>
      <c r="Z110" s="20">
        <f>$C104/4</f>
        <v>0</v>
      </c>
      <c r="AA110" s="20">
        <f>$C104/4</f>
        <v>0</v>
      </c>
      <c r="AB110" s="20">
        <v>0</v>
      </c>
      <c r="AD110" s="21">
        <f t="shared" si="69"/>
        <v>788410.6</v>
      </c>
      <c r="AE110" s="21">
        <f t="shared" si="70"/>
        <v>15232254.9</v>
      </c>
      <c r="AF110" s="21">
        <f t="shared" si="67"/>
        <v>4260659.4000000004</v>
      </c>
    </row>
    <row r="111" spans="1:32" x14ac:dyDescent="0.2">
      <c r="A111" t="s">
        <v>303</v>
      </c>
      <c r="B111" s="18" t="s">
        <v>97</v>
      </c>
      <c r="C111" s="22">
        <f>$C104</f>
        <v>0</v>
      </c>
      <c r="D111" s="22">
        <f>$D104</f>
        <v>0</v>
      </c>
      <c r="E111" s="22">
        <f>$E104</f>
        <v>0</v>
      </c>
      <c r="F111" s="23">
        <f t="shared" si="71"/>
        <v>20</v>
      </c>
      <c r="G111" s="4">
        <v>10942788</v>
      </c>
      <c r="I111" s="20">
        <f t="shared" si="66"/>
        <v>10942788</v>
      </c>
      <c r="J111" s="20">
        <f t="shared" si="68"/>
        <v>5049070</v>
      </c>
      <c r="K111" s="20">
        <f t="shared" si="72"/>
        <v>10719142</v>
      </c>
      <c r="L111" s="20">
        <f t="shared" si="73"/>
        <v>0</v>
      </c>
      <c r="M111" s="20">
        <f t="shared" si="74"/>
        <v>0</v>
      </c>
      <c r="N111" s="20">
        <f t="shared" si="75"/>
        <v>0</v>
      </c>
      <c r="O111" s="20">
        <f t="shared" si="76"/>
        <v>0</v>
      </c>
      <c r="P111" s="20">
        <f>G104</f>
        <v>0</v>
      </c>
      <c r="Q111" s="20">
        <f>$E104/4</f>
        <v>0</v>
      </c>
      <c r="R111" s="20">
        <f>$E104/4</f>
        <v>0</v>
      </c>
      <c r="S111" s="20">
        <f>$E104/4</f>
        <v>0</v>
      </c>
      <c r="T111" s="20">
        <f>$E104/4</f>
        <v>0</v>
      </c>
      <c r="U111" s="20">
        <f>$D104/4</f>
        <v>0</v>
      </c>
      <c r="V111" s="20">
        <f>$D104/4</f>
        <v>0</v>
      </c>
      <c r="W111" s="20">
        <f>$D104/4</f>
        <v>0</v>
      </c>
      <c r="X111" s="20">
        <f>$D104/4</f>
        <v>0</v>
      </c>
      <c r="Y111" s="20">
        <f>$C104/4</f>
        <v>0</v>
      </c>
      <c r="Z111" s="20">
        <f>$C104/4</f>
        <v>0</v>
      </c>
      <c r="AA111" s="20">
        <f>$C104/4</f>
        <v>0</v>
      </c>
      <c r="AB111" s="20">
        <f>$C104/4</f>
        <v>0</v>
      </c>
      <c r="AD111" s="21">
        <f t="shared" si="69"/>
        <v>1335550</v>
      </c>
      <c r="AE111" s="21">
        <f t="shared" si="70"/>
        <v>25386632.300000001</v>
      </c>
      <c r="AF111" s="21">
        <f t="shared" si="67"/>
        <v>9607238</v>
      </c>
    </row>
    <row r="112" spans="1:32" x14ac:dyDescent="0.2">
      <c r="A112" t="s">
        <v>303</v>
      </c>
      <c r="B112" s="18" t="s">
        <v>96</v>
      </c>
      <c r="C112" s="22">
        <f>$C104</f>
        <v>0</v>
      </c>
      <c r="D112" s="22">
        <f>$D104</f>
        <v>0</v>
      </c>
      <c r="E112" s="22">
        <f>$E104</f>
        <v>0</v>
      </c>
      <c r="F112" s="23">
        <f t="shared" si="71"/>
        <v>20</v>
      </c>
      <c r="G112" s="4">
        <v>7846000</v>
      </c>
      <c r="I112" s="20">
        <f t="shared" si="66"/>
        <v>7846000</v>
      </c>
      <c r="J112" s="20">
        <f t="shared" si="68"/>
        <v>10942788</v>
      </c>
      <c r="K112" s="20">
        <f t="shared" si="72"/>
        <v>5049070</v>
      </c>
      <c r="L112" s="20">
        <f t="shared" si="73"/>
        <v>10719142</v>
      </c>
      <c r="M112" s="20">
        <f t="shared" si="74"/>
        <v>0</v>
      </c>
      <c r="N112" s="20">
        <f t="shared" si="75"/>
        <v>0</v>
      </c>
      <c r="O112" s="20">
        <f t="shared" si="76"/>
        <v>0</v>
      </c>
      <c r="P112" s="20">
        <f>G105</f>
        <v>0</v>
      </c>
      <c r="Q112" s="20">
        <f>G104</f>
        <v>0</v>
      </c>
      <c r="R112" s="20">
        <f>$E104/4</f>
        <v>0</v>
      </c>
      <c r="S112" s="20">
        <f>$E104/4</f>
        <v>0</v>
      </c>
      <c r="T112" s="20">
        <f>$E104/4</f>
        <v>0</v>
      </c>
      <c r="U112" s="20">
        <f>$E104/4</f>
        <v>0</v>
      </c>
      <c r="V112" s="20">
        <f>$D104/4</f>
        <v>0</v>
      </c>
      <c r="W112" s="20">
        <f>$D104/4</f>
        <v>0</v>
      </c>
      <c r="X112" s="20">
        <f>$D104/4</f>
        <v>0</v>
      </c>
      <c r="Y112" s="20">
        <f>$D104/4</f>
        <v>0</v>
      </c>
      <c r="Z112" s="20">
        <f>$C104/4</f>
        <v>0</v>
      </c>
      <c r="AA112" s="20">
        <f>$C104/4</f>
        <v>0</v>
      </c>
      <c r="AB112" s="20">
        <f>$C104/4</f>
        <v>0</v>
      </c>
      <c r="AD112" s="21">
        <f t="shared" si="69"/>
        <v>1727850</v>
      </c>
      <c r="AE112" s="21">
        <f t="shared" si="70"/>
        <v>31897082.300000001</v>
      </c>
      <c r="AF112" s="21">
        <f t="shared" si="67"/>
        <v>6118150</v>
      </c>
    </row>
    <row r="113" spans="1:32" x14ac:dyDescent="0.2">
      <c r="A113" t="s">
        <v>303</v>
      </c>
      <c r="B113" s="18" t="s">
        <v>95</v>
      </c>
      <c r="C113" s="22">
        <f>$C104</f>
        <v>0</v>
      </c>
      <c r="D113" s="22">
        <f>$D104</f>
        <v>0</v>
      </c>
      <c r="E113" s="22">
        <f>$E104</f>
        <v>0</v>
      </c>
      <c r="F113" s="23">
        <f t="shared" si="71"/>
        <v>20</v>
      </c>
      <c r="G113" s="4">
        <v>11468000</v>
      </c>
      <c r="I113" s="20">
        <f t="shared" si="66"/>
        <v>11468000</v>
      </c>
      <c r="J113" s="20">
        <f t="shared" si="68"/>
        <v>7846000</v>
      </c>
      <c r="K113" s="20">
        <f t="shared" si="72"/>
        <v>10942788</v>
      </c>
      <c r="L113" s="20">
        <f t="shared" si="73"/>
        <v>5049070</v>
      </c>
      <c r="M113" s="20">
        <f t="shared" si="74"/>
        <v>10719142</v>
      </c>
      <c r="N113" s="20">
        <f t="shared" si="75"/>
        <v>0</v>
      </c>
      <c r="O113" s="20">
        <f t="shared" si="76"/>
        <v>0</v>
      </c>
      <c r="P113" s="20">
        <f>G106</f>
        <v>0</v>
      </c>
      <c r="Q113" s="20">
        <f>G105</f>
        <v>0</v>
      </c>
      <c r="R113" s="20">
        <f>G104</f>
        <v>0</v>
      </c>
      <c r="S113" s="20">
        <f>$E104/4</f>
        <v>0</v>
      </c>
      <c r="T113" s="20">
        <f>$E104/4</f>
        <v>0</v>
      </c>
      <c r="U113" s="20">
        <f>$E104/4</f>
        <v>0</v>
      </c>
      <c r="V113" s="20">
        <f>$E104/4</f>
        <v>0</v>
      </c>
      <c r="W113" s="20">
        <f>$D104/4</f>
        <v>0</v>
      </c>
      <c r="X113" s="20">
        <f>$D104/4</f>
        <v>0</v>
      </c>
      <c r="Y113" s="20">
        <f>$D104/4</f>
        <v>0</v>
      </c>
      <c r="Z113" s="20">
        <f>$D104/4</f>
        <v>0</v>
      </c>
      <c r="AA113" s="20">
        <f>$C104/4</f>
        <v>0</v>
      </c>
      <c r="AB113" s="20">
        <f>$C104/4</f>
        <v>0</v>
      </c>
      <c r="AD113" s="21">
        <f t="shared" si="69"/>
        <v>2301250</v>
      </c>
      <c r="AE113" s="21">
        <f t="shared" si="70"/>
        <v>41637232.299999997</v>
      </c>
      <c r="AF113" s="21">
        <f t="shared" si="67"/>
        <v>9166750</v>
      </c>
    </row>
    <row r="114" spans="1:32" x14ac:dyDescent="0.2">
      <c r="A114" t="s">
        <v>303</v>
      </c>
      <c r="B114" s="18" t="s">
        <v>94</v>
      </c>
      <c r="C114" s="22">
        <f>$C104</f>
        <v>0</v>
      </c>
      <c r="D114" s="22">
        <f>$D104</f>
        <v>0</v>
      </c>
      <c r="E114" s="22">
        <f>$E104</f>
        <v>0</v>
      </c>
      <c r="F114" s="23">
        <f t="shared" si="71"/>
        <v>20</v>
      </c>
      <c r="G114" s="4">
        <v>14945000</v>
      </c>
      <c r="I114" s="20">
        <f t="shared" si="66"/>
        <v>14945000</v>
      </c>
      <c r="J114" s="20">
        <f t="shared" si="68"/>
        <v>11468000</v>
      </c>
      <c r="K114" s="20">
        <f t="shared" si="72"/>
        <v>7846000</v>
      </c>
      <c r="L114" s="20">
        <f t="shared" si="73"/>
        <v>10942788</v>
      </c>
      <c r="M114" s="20">
        <f t="shared" si="74"/>
        <v>5049070</v>
      </c>
      <c r="N114" s="20">
        <f t="shared" si="75"/>
        <v>10719142</v>
      </c>
      <c r="O114" s="20">
        <f t="shared" si="76"/>
        <v>0</v>
      </c>
      <c r="P114" s="20">
        <f>G107</f>
        <v>0</v>
      </c>
      <c r="Q114" s="20">
        <f>G106</f>
        <v>0</v>
      </c>
      <c r="R114" s="20">
        <f>G105</f>
        <v>0</v>
      </c>
      <c r="S114" s="20">
        <f>G104</f>
        <v>0</v>
      </c>
      <c r="T114" s="20">
        <f>$E104/4</f>
        <v>0</v>
      </c>
      <c r="U114" s="20">
        <f>$E104/4</f>
        <v>0</v>
      </c>
      <c r="V114" s="20">
        <f>$E104/4</f>
        <v>0</v>
      </c>
      <c r="W114" s="20">
        <f>$E104/4</f>
        <v>0</v>
      </c>
      <c r="X114" s="20">
        <f>$D104/4</f>
        <v>0</v>
      </c>
      <c r="Y114" s="20">
        <f>$D104/4</f>
        <v>0</v>
      </c>
      <c r="Z114" s="20">
        <f>$D104/4</f>
        <v>0</v>
      </c>
      <c r="AA114" s="20">
        <f>$D104/4</f>
        <v>0</v>
      </c>
      <c r="AB114" s="20">
        <f>$C104/4</f>
        <v>0</v>
      </c>
      <c r="AD114" s="21">
        <f t="shared" si="69"/>
        <v>3048500</v>
      </c>
      <c r="AE114" s="21">
        <f t="shared" si="70"/>
        <v>54280982.299999997</v>
      </c>
      <c r="AF114" s="21">
        <f t="shared" si="67"/>
        <v>11896500</v>
      </c>
    </row>
    <row r="115" spans="1:32" x14ac:dyDescent="0.2">
      <c r="A115" t="s">
        <v>303</v>
      </c>
      <c r="B115" s="18" t="s">
        <v>93</v>
      </c>
      <c r="C115" s="22">
        <f>$C104</f>
        <v>0</v>
      </c>
      <c r="D115" s="22">
        <f>$D104</f>
        <v>0</v>
      </c>
      <c r="E115" s="22">
        <f>$E104</f>
        <v>0</v>
      </c>
      <c r="F115" s="23">
        <f t="shared" si="71"/>
        <v>20</v>
      </c>
      <c r="G115" s="4">
        <v>24593000</v>
      </c>
      <c r="I115" s="20">
        <f t="shared" si="66"/>
        <v>24593000</v>
      </c>
      <c r="J115" s="20">
        <f t="shared" si="68"/>
        <v>14945000</v>
      </c>
      <c r="K115" s="20">
        <f t="shared" si="72"/>
        <v>11468000</v>
      </c>
      <c r="L115" s="20">
        <f t="shared" si="73"/>
        <v>7846000</v>
      </c>
      <c r="M115" s="20">
        <f t="shared" si="74"/>
        <v>10942788</v>
      </c>
      <c r="N115" s="20">
        <f t="shared" si="75"/>
        <v>5049070</v>
      </c>
      <c r="O115" s="20">
        <f t="shared" si="76"/>
        <v>10719142</v>
      </c>
      <c r="P115" s="20">
        <f>G108</f>
        <v>0</v>
      </c>
      <c r="Q115" s="20">
        <f>G107</f>
        <v>0</v>
      </c>
      <c r="R115" s="20">
        <f>G106</f>
        <v>0</v>
      </c>
      <c r="S115" s="20">
        <f>G105</f>
        <v>0</v>
      </c>
      <c r="T115" s="20">
        <f>G104</f>
        <v>0</v>
      </c>
      <c r="U115" s="20">
        <f>$E104/4</f>
        <v>0</v>
      </c>
      <c r="V115" s="20">
        <f>$E104/4</f>
        <v>0</v>
      </c>
      <c r="W115" s="20">
        <f>$E104/4</f>
        <v>0</v>
      </c>
      <c r="X115" s="20">
        <f>$E104/4</f>
        <v>0</v>
      </c>
      <c r="Y115" s="20">
        <f>$D104/4</f>
        <v>0</v>
      </c>
      <c r="Z115" s="20">
        <f>$D104/4</f>
        <v>0</v>
      </c>
      <c r="AA115" s="20">
        <f>$D104/4</f>
        <v>0</v>
      </c>
      <c r="AB115" s="20">
        <f>$D104/4</f>
        <v>0</v>
      </c>
      <c r="AD115" s="21">
        <f t="shared" si="69"/>
        <v>4278150</v>
      </c>
      <c r="AE115" s="21">
        <f t="shared" si="70"/>
        <v>75825482.299999997</v>
      </c>
      <c r="AF115" s="21">
        <f t="shared" si="67"/>
        <v>20314850</v>
      </c>
    </row>
    <row r="116" spans="1:32" x14ac:dyDescent="0.2">
      <c r="H116" s="3"/>
    </row>
    <row r="117" spans="1:32" x14ac:dyDescent="0.2">
      <c r="H117" s="3"/>
    </row>
    <row r="118" spans="1:32" x14ac:dyDescent="0.2">
      <c r="B118" t="s">
        <v>342</v>
      </c>
    </row>
    <row r="119" spans="1:32" x14ac:dyDescent="0.2">
      <c r="B119" s="6" t="s">
        <v>107</v>
      </c>
      <c r="C119" s="6" t="s">
        <v>439</v>
      </c>
      <c r="D119" s="6" t="s">
        <v>440</v>
      </c>
      <c r="E119" s="6" t="s">
        <v>471</v>
      </c>
      <c r="F119" s="6" t="s">
        <v>441</v>
      </c>
      <c r="G119" s="6" t="s">
        <v>442</v>
      </c>
      <c r="H119" s="15"/>
      <c r="I119" s="6" t="s">
        <v>443</v>
      </c>
      <c r="J119" s="6" t="s">
        <v>444</v>
      </c>
      <c r="K119" s="6" t="s">
        <v>445</v>
      </c>
      <c r="L119" s="6" t="s">
        <v>446</v>
      </c>
      <c r="M119" s="6" t="s">
        <v>447</v>
      </c>
      <c r="N119" s="6" t="s">
        <v>448</v>
      </c>
      <c r="O119" s="6" t="s">
        <v>449</v>
      </c>
      <c r="P119" s="6" t="s">
        <v>450</v>
      </c>
      <c r="Q119" s="6" t="s">
        <v>451</v>
      </c>
      <c r="R119" s="6" t="s">
        <v>452</v>
      </c>
      <c r="S119" s="6" t="s">
        <v>453</v>
      </c>
      <c r="T119" s="6" t="s">
        <v>454</v>
      </c>
      <c r="U119" s="6" t="s">
        <v>455</v>
      </c>
      <c r="V119" s="6" t="s">
        <v>456</v>
      </c>
      <c r="W119" s="6" t="s">
        <v>457</v>
      </c>
      <c r="X119" s="6" t="s">
        <v>458</v>
      </c>
      <c r="Y119" s="6" t="s">
        <v>459</v>
      </c>
      <c r="Z119" s="6" t="s">
        <v>460</v>
      </c>
      <c r="AA119" s="6" t="s">
        <v>461</v>
      </c>
      <c r="AB119" s="6" t="s">
        <v>462</v>
      </c>
      <c r="AC119" s="15"/>
      <c r="AD119" s="6" t="s">
        <v>106</v>
      </c>
      <c r="AE119" s="6" t="s">
        <v>105</v>
      </c>
      <c r="AF119" s="6" t="s">
        <v>463</v>
      </c>
    </row>
    <row r="120" spans="1:32" x14ac:dyDescent="0.2">
      <c r="B120" s="16" t="s">
        <v>464</v>
      </c>
      <c r="I120" s="17">
        <v>20</v>
      </c>
      <c r="J120" s="17">
        <v>19</v>
      </c>
      <c r="K120" s="17">
        <v>18</v>
      </c>
      <c r="L120" s="17">
        <v>17</v>
      </c>
      <c r="M120" s="17">
        <v>16</v>
      </c>
      <c r="N120" s="17">
        <v>15</v>
      </c>
      <c r="O120" s="17">
        <v>14</v>
      </c>
      <c r="P120" s="17">
        <v>13</v>
      </c>
      <c r="Q120" s="17">
        <v>12</v>
      </c>
      <c r="R120" s="17">
        <v>11</v>
      </c>
      <c r="S120" s="17">
        <v>10</v>
      </c>
      <c r="T120" s="17">
        <v>9</v>
      </c>
      <c r="U120" s="17">
        <v>8</v>
      </c>
      <c r="V120" s="17">
        <v>7</v>
      </c>
      <c r="W120" s="17">
        <v>6</v>
      </c>
      <c r="X120" s="17">
        <v>5</v>
      </c>
      <c r="Y120" s="17">
        <v>4</v>
      </c>
      <c r="Z120" s="17">
        <v>3</v>
      </c>
      <c r="AA120" s="17">
        <v>2</v>
      </c>
      <c r="AB120" s="17">
        <v>1</v>
      </c>
    </row>
    <row r="121" spans="1:32" x14ac:dyDescent="0.2">
      <c r="A121" t="s">
        <v>342</v>
      </c>
      <c r="B121" s="5" t="s">
        <v>100</v>
      </c>
      <c r="C121" s="4">
        <v>77740000</v>
      </c>
      <c r="D121" s="4">
        <v>136274000</v>
      </c>
      <c r="E121" s="4">
        <v>207008000</v>
      </c>
      <c r="F121" s="19">
        <v>20</v>
      </c>
      <c r="G121" s="4">
        <v>55263000</v>
      </c>
      <c r="I121" s="20">
        <f t="shared" ref="I121:I132" si="77">G121</f>
        <v>55263000</v>
      </c>
      <c r="J121" s="20">
        <f>$E121/4</f>
        <v>51752000</v>
      </c>
      <c r="K121" s="20">
        <f>$E121/4</f>
        <v>51752000</v>
      </c>
      <c r="L121" s="20">
        <f>$E121/4</f>
        <v>51752000</v>
      </c>
      <c r="M121" s="20">
        <f>$E121/4</f>
        <v>51752000</v>
      </c>
      <c r="N121" s="20">
        <f>$D121/4</f>
        <v>34068500</v>
      </c>
      <c r="O121" s="20">
        <f>$D121/4</f>
        <v>34068500</v>
      </c>
      <c r="P121" s="20">
        <f>$D121/4</f>
        <v>34068500</v>
      </c>
      <c r="Q121" s="20">
        <f>$D121/4</f>
        <v>34068500</v>
      </c>
      <c r="R121" s="20">
        <f>$C121/4</f>
        <v>19435000</v>
      </c>
      <c r="S121" s="20">
        <f>$C121/4</f>
        <v>19435000</v>
      </c>
      <c r="T121" s="20">
        <f>$C121/4</f>
        <v>19435000</v>
      </c>
      <c r="U121" s="20">
        <f>$C121/4</f>
        <v>19435000</v>
      </c>
      <c r="V121" s="20">
        <v>0</v>
      </c>
      <c r="W121" s="20">
        <v>0</v>
      </c>
      <c r="X121" s="20">
        <v>0</v>
      </c>
      <c r="Y121" s="20">
        <v>0</v>
      </c>
      <c r="Z121" s="20">
        <v>0</v>
      </c>
      <c r="AA121" s="20">
        <v>0</v>
      </c>
      <c r="AB121" s="20">
        <v>0</v>
      </c>
      <c r="AD121" s="21">
        <f>SUM(I121:AB121)/$F121</f>
        <v>23814250</v>
      </c>
      <c r="AE121" s="21">
        <f>SUMPRODUCT($I$120:$AB$120,I121:AB121)/$F121</f>
        <v>365306450</v>
      </c>
      <c r="AF121" s="21">
        <f t="shared" ref="AF121:AF132" si="78">G121-AD121</f>
        <v>31448750</v>
      </c>
    </row>
    <row r="122" spans="1:32" x14ac:dyDescent="0.2">
      <c r="A122" t="s">
        <v>342</v>
      </c>
      <c r="B122" s="5" t="s">
        <v>99</v>
      </c>
      <c r="C122" s="22">
        <f>$C121</f>
        <v>77740000</v>
      </c>
      <c r="D122" s="22">
        <f>$D121</f>
        <v>136274000</v>
      </c>
      <c r="E122" s="22">
        <f>$E121</f>
        <v>207008000</v>
      </c>
      <c r="F122" s="23">
        <f>$F$121</f>
        <v>20</v>
      </c>
      <c r="G122" s="4">
        <v>54161000</v>
      </c>
      <c r="I122" s="20">
        <f t="shared" si="77"/>
        <v>54161000</v>
      </c>
      <c r="J122" s="20">
        <f t="shared" ref="J122:J132" si="79">G121</f>
        <v>55263000</v>
      </c>
      <c r="K122" s="20">
        <f>$E121/4</f>
        <v>51752000</v>
      </c>
      <c r="L122" s="20">
        <f>$E121/4</f>
        <v>51752000</v>
      </c>
      <c r="M122" s="20">
        <f>$E121/4</f>
        <v>51752000</v>
      </c>
      <c r="N122" s="20">
        <f>$E121/4</f>
        <v>51752000</v>
      </c>
      <c r="O122" s="20">
        <f>$D121/4</f>
        <v>34068500</v>
      </c>
      <c r="P122" s="20">
        <f>$D121/4</f>
        <v>34068500</v>
      </c>
      <c r="Q122" s="20">
        <f>$D121/4</f>
        <v>34068500</v>
      </c>
      <c r="R122" s="20">
        <f>$D121/4</f>
        <v>34068500</v>
      </c>
      <c r="S122" s="20">
        <f>$C121/4</f>
        <v>19435000</v>
      </c>
      <c r="T122" s="20">
        <f>$C121/4</f>
        <v>19435000</v>
      </c>
      <c r="U122" s="20">
        <f>$C121/4</f>
        <v>19435000</v>
      </c>
      <c r="V122" s="20">
        <f>$C121/4</f>
        <v>19435000</v>
      </c>
      <c r="W122" s="20">
        <v>0</v>
      </c>
      <c r="X122" s="20">
        <v>0</v>
      </c>
      <c r="Y122" s="20">
        <v>0</v>
      </c>
      <c r="Z122" s="20">
        <v>0</v>
      </c>
      <c r="AA122" s="20">
        <v>0</v>
      </c>
      <c r="AB122" s="20">
        <v>0</v>
      </c>
      <c r="AD122" s="21">
        <f t="shared" ref="AD122:AD132" si="80">SUM(I122:AB122)/$F122</f>
        <v>26522300</v>
      </c>
      <c r="AE122" s="21">
        <f t="shared" ref="AE122:AE132" si="81">SUMPRODUCT($I$120:$AB$120,I122:AB122)/$F122</f>
        <v>395653200</v>
      </c>
      <c r="AF122" s="21">
        <f t="shared" si="78"/>
        <v>27638700</v>
      </c>
    </row>
    <row r="123" spans="1:32" x14ac:dyDescent="0.2">
      <c r="A123" t="s">
        <v>342</v>
      </c>
      <c r="B123" s="5" t="s">
        <v>98</v>
      </c>
      <c r="C123" s="22">
        <f>$C121</f>
        <v>77740000</v>
      </c>
      <c r="D123" s="22">
        <f>$D121</f>
        <v>136274000</v>
      </c>
      <c r="E123" s="22">
        <f>$E121</f>
        <v>207008000</v>
      </c>
      <c r="F123" s="23">
        <f t="shared" ref="F123:F132" si="82">$F$121</f>
        <v>20</v>
      </c>
      <c r="G123" s="4">
        <v>52306000</v>
      </c>
      <c r="I123" s="20">
        <f t="shared" si="77"/>
        <v>52306000</v>
      </c>
      <c r="J123" s="20">
        <f t="shared" si="79"/>
        <v>54161000</v>
      </c>
      <c r="K123" s="20">
        <f t="shared" ref="K123:K132" si="83">G121</f>
        <v>55263000</v>
      </c>
      <c r="L123" s="20">
        <f>$E121/4</f>
        <v>51752000</v>
      </c>
      <c r="M123" s="20">
        <f>$E121/4</f>
        <v>51752000</v>
      </c>
      <c r="N123" s="20">
        <f>$E121/4</f>
        <v>51752000</v>
      </c>
      <c r="O123" s="20">
        <f>$E121/4</f>
        <v>51752000</v>
      </c>
      <c r="P123" s="20">
        <f>$D121/4</f>
        <v>34068500</v>
      </c>
      <c r="Q123" s="20">
        <f>$D121/4</f>
        <v>34068500</v>
      </c>
      <c r="R123" s="20">
        <f>$D121/4</f>
        <v>34068500</v>
      </c>
      <c r="S123" s="20">
        <f>$D121/4</f>
        <v>34068500</v>
      </c>
      <c r="T123" s="20">
        <f>$C121/4</f>
        <v>19435000</v>
      </c>
      <c r="U123" s="20">
        <f>$C121/4</f>
        <v>19435000</v>
      </c>
      <c r="V123" s="20">
        <f>$C121/4</f>
        <v>19435000</v>
      </c>
      <c r="W123" s="20">
        <f>$C121/4</f>
        <v>19435000</v>
      </c>
      <c r="X123" s="20">
        <v>0</v>
      </c>
      <c r="Y123" s="20">
        <v>0</v>
      </c>
      <c r="Z123" s="20">
        <v>0</v>
      </c>
      <c r="AA123" s="20">
        <v>0</v>
      </c>
      <c r="AB123" s="20">
        <v>0</v>
      </c>
      <c r="AD123" s="21">
        <f t="shared" si="80"/>
        <v>29137600</v>
      </c>
      <c r="AE123" s="21">
        <f t="shared" si="81"/>
        <v>421436900</v>
      </c>
      <c r="AF123" s="21">
        <f t="shared" si="78"/>
        <v>23168400</v>
      </c>
    </row>
    <row r="124" spans="1:32" x14ac:dyDescent="0.2">
      <c r="A124" t="s">
        <v>342</v>
      </c>
      <c r="B124" s="5" t="s">
        <v>97</v>
      </c>
      <c r="C124" s="22">
        <f>$C121</f>
        <v>77740000</v>
      </c>
      <c r="D124" s="22">
        <f>$D121</f>
        <v>136274000</v>
      </c>
      <c r="E124" s="22">
        <f>$E121</f>
        <v>207008000</v>
      </c>
      <c r="F124" s="23">
        <f t="shared" si="82"/>
        <v>20</v>
      </c>
      <c r="G124" s="4">
        <v>56446000</v>
      </c>
      <c r="I124" s="20">
        <f t="shared" si="77"/>
        <v>56446000</v>
      </c>
      <c r="J124" s="20">
        <f t="shared" si="79"/>
        <v>52306000</v>
      </c>
      <c r="K124" s="20">
        <f t="shared" si="83"/>
        <v>54161000</v>
      </c>
      <c r="L124" s="20">
        <f t="shared" ref="L124:L132" si="84">G121</f>
        <v>55263000</v>
      </c>
      <c r="M124" s="20">
        <f>$E121/4</f>
        <v>51752000</v>
      </c>
      <c r="N124" s="20">
        <f>$E121/4</f>
        <v>51752000</v>
      </c>
      <c r="O124" s="20">
        <f>$E121/4</f>
        <v>51752000</v>
      </c>
      <c r="P124" s="20">
        <f>$E121/4</f>
        <v>51752000</v>
      </c>
      <c r="Q124" s="20">
        <f>$D121/4</f>
        <v>34068500</v>
      </c>
      <c r="R124" s="20">
        <f>$D121/4</f>
        <v>34068500</v>
      </c>
      <c r="S124" s="20">
        <f>$D121/4</f>
        <v>34068500</v>
      </c>
      <c r="T124" s="20">
        <f>$D121/4</f>
        <v>34068500</v>
      </c>
      <c r="U124" s="20">
        <f>$C121/4</f>
        <v>19435000</v>
      </c>
      <c r="V124" s="20">
        <f>$C121/4</f>
        <v>19435000</v>
      </c>
      <c r="W124" s="20">
        <f>$C121/4</f>
        <v>19435000</v>
      </c>
      <c r="X124" s="20">
        <f>$C121/4</f>
        <v>19435000</v>
      </c>
      <c r="Y124" s="20">
        <v>0</v>
      </c>
      <c r="Z124" s="20">
        <v>0</v>
      </c>
      <c r="AA124" s="20">
        <v>0</v>
      </c>
      <c r="AB124" s="20">
        <v>0</v>
      </c>
      <c r="AD124" s="21">
        <f t="shared" si="80"/>
        <v>31959900</v>
      </c>
      <c r="AE124" s="21">
        <f t="shared" si="81"/>
        <v>448745300</v>
      </c>
      <c r="AF124" s="21">
        <f t="shared" si="78"/>
        <v>24486100</v>
      </c>
    </row>
    <row r="125" spans="1:32" x14ac:dyDescent="0.2">
      <c r="A125" t="s">
        <v>342</v>
      </c>
      <c r="B125" s="5" t="s">
        <v>96</v>
      </c>
      <c r="C125" s="22">
        <f>$C121</f>
        <v>77740000</v>
      </c>
      <c r="D125" s="22">
        <f>$D121</f>
        <v>136274000</v>
      </c>
      <c r="E125" s="22">
        <f>$E121</f>
        <v>207008000</v>
      </c>
      <c r="F125" s="23">
        <f t="shared" si="82"/>
        <v>20</v>
      </c>
      <c r="G125" s="4">
        <v>58321000</v>
      </c>
      <c r="I125" s="20">
        <f t="shared" si="77"/>
        <v>58321000</v>
      </c>
      <c r="J125" s="20">
        <f t="shared" si="79"/>
        <v>56446000</v>
      </c>
      <c r="K125" s="20">
        <f t="shared" si="83"/>
        <v>52306000</v>
      </c>
      <c r="L125" s="20">
        <f t="shared" si="84"/>
        <v>54161000</v>
      </c>
      <c r="M125" s="20">
        <f t="shared" ref="M125:M132" si="85">G121</f>
        <v>55263000</v>
      </c>
      <c r="N125" s="20">
        <f>$E121/4</f>
        <v>51752000</v>
      </c>
      <c r="O125" s="20">
        <f>$E121/4</f>
        <v>51752000</v>
      </c>
      <c r="P125" s="20">
        <f>$E121/4</f>
        <v>51752000</v>
      </c>
      <c r="Q125" s="20">
        <f>$E121/4</f>
        <v>51752000</v>
      </c>
      <c r="R125" s="20">
        <f>$D121/4</f>
        <v>34068500</v>
      </c>
      <c r="S125" s="20">
        <f>$D121/4</f>
        <v>34068500</v>
      </c>
      <c r="T125" s="20">
        <f>$D121/4</f>
        <v>34068500</v>
      </c>
      <c r="U125" s="20">
        <f>$D121/4</f>
        <v>34068500</v>
      </c>
      <c r="V125" s="20">
        <f>$C121/4</f>
        <v>19435000</v>
      </c>
      <c r="W125" s="20">
        <f>$C121/4</f>
        <v>19435000</v>
      </c>
      <c r="X125" s="20">
        <f>$C121/4</f>
        <v>19435000</v>
      </c>
      <c r="Y125" s="20">
        <f>$C121/4</f>
        <v>19435000</v>
      </c>
      <c r="Z125" s="20">
        <v>0</v>
      </c>
      <c r="AA125" s="20">
        <v>0</v>
      </c>
      <c r="AB125" s="20">
        <v>0</v>
      </c>
      <c r="AD125" s="21">
        <f t="shared" si="80"/>
        <v>34875950</v>
      </c>
      <c r="AE125" s="21">
        <f t="shared" si="81"/>
        <v>475106400</v>
      </c>
      <c r="AF125" s="21">
        <f t="shared" si="78"/>
        <v>23445050</v>
      </c>
    </row>
    <row r="126" spans="1:32" x14ac:dyDescent="0.2">
      <c r="A126" t="s">
        <v>342</v>
      </c>
      <c r="B126" s="5" t="s">
        <v>95</v>
      </c>
      <c r="C126" s="22">
        <f>$C121</f>
        <v>77740000</v>
      </c>
      <c r="D126" s="22">
        <f>$D121</f>
        <v>136274000</v>
      </c>
      <c r="E126" s="22">
        <f>$E121</f>
        <v>207008000</v>
      </c>
      <c r="F126" s="23">
        <f t="shared" si="82"/>
        <v>20</v>
      </c>
      <c r="G126" s="4">
        <v>63602000</v>
      </c>
      <c r="I126" s="20">
        <f t="shared" si="77"/>
        <v>63602000</v>
      </c>
      <c r="J126" s="20">
        <f t="shared" si="79"/>
        <v>58321000</v>
      </c>
      <c r="K126" s="20">
        <f t="shared" si="83"/>
        <v>56446000</v>
      </c>
      <c r="L126" s="20">
        <f t="shared" si="84"/>
        <v>52306000</v>
      </c>
      <c r="M126" s="20">
        <f t="shared" si="85"/>
        <v>54161000</v>
      </c>
      <c r="N126" s="20">
        <f t="shared" ref="N126:N132" si="86">G121</f>
        <v>55263000</v>
      </c>
      <c r="O126" s="20">
        <f>$E121/4</f>
        <v>51752000</v>
      </c>
      <c r="P126" s="20">
        <f>$E121/4</f>
        <v>51752000</v>
      </c>
      <c r="Q126" s="20">
        <f>$E121/4</f>
        <v>51752000</v>
      </c>
      <c r="R126" s="20">
        <f>$E121/4</f>
        <v>51752000</v>
      </c>
      <c r="S126" s="20">
        <f>$D121/4</f>
        <v>34068500</v>
      </c>
      <c r="T126" s="20">
        <f>$D121/4</f>
        <v>34068500</v>
      </c>
      <c r="U126" s="20">
        <f>$D121/4</f>
        <v>34068500</v>
      </c>
      <c r="V126" s="20">
        <f>$D121/4</f>
        <v>34068500</v>
      </c>
      <c r="W126" s="20">
        <f>$C121/4</f>
        <v>19435000</v>
      </c>
      <c r="X126" s="20">
        <f>$C121/4</f>
        <v>19435000</v>
      </c>
      <c r="Y126" s="20">
        <f>$C121/4</f>
        <v>19435000</v>
      </c>
      <c r="Z126" s="20">
        <f>$C121/4</f>
        <v>19435000</v>
      </c>
      <c r="AA126" s="20">
        <v>0</v>
      </c>
      <c r="AB126" s="20">
        <v>0</v>
      </c>
      <c r="AD126" s="21">
        <f t="shared" si="80"/>
        <v>38056050</v>
      </c>
      <c r="AE126" s="21">
        <f t="shared" si="81"/>
        <v>503832450</v>
      </c>
      <c r="AF126" s="21">
        <f t="shared" si="78"/>
        <v>25545950</v>
      </c>
    </row>
    <row r="127" spans="1:32" x14ac:dyDescent="0.2">
      <c r="A127" t="s">
        <v>342</v>
      </c>
      <c r="B127" s="5" t="s">
        <v>94</v>
      </c>
      <c r="C127" s="22">
        <f>$C121</f>
        <v>77740000</v>
      </c>
      <c r="D127" s="22">
        <f>$D121</f>
        <v>136274000</v>
      </c>
      <c r="E127" s="22">
        <f>$E121</f>
        <v>207008000</v>
      </c>
      <c r="F127" s="23">
        <f t="shared" si="82"/>
        <v>20</v>
      </c>
      <c r="G127" s="4">
        <v>70453000</v>
      </c>
      <c r="I127" s="20">
        <f t="shared" si="77"/>
        <v>70453000</v>
      </c>
      <c r="J127" s="20">
        <f t="shared" si="79"/>
        <v>63602000</v>
      </c>
      <c r="K127" s="20">
        <f t="shared" si="83"/>
        <v>58321000</v>
      </c>
      <c r="L127" s="20">
        <f t="shared" si="84"/>
        <v>56446000</v>
      </c>
      <c r="M127" s="20">
        <f t="shared" si="85"/>
        <v>52306000</v>
      </c>
      <c r="N127" s="20">
        <f t="shared" si="86"/>
        <v>54161000</v>
      </c>
      <c r="O127" s="20">
        <f t="shared" ref="O127:O132" si="87">G121</f>
        <v>55263000</v>
      </c>
      <c r="P127" s="20">
        <f>$E121/4</f>
        <v>51752000</v>
      </c>
      <c r="Q127" s="20">
        <f>$E121/4</f>
        <v>51752000</v>
      </c>
      <c r="R127" s="20">
        <f>$E121/4</f>
        <v>51752000</v>
      </c>
      <c r="S127" s="20">
        <f>$E121/4</f>
        <v>51752000</v>
      </c>
      <c r="T127" s="20">
        <f>$D121/4</f>
        <v>34068500</v>
      </c>
      <c r="U127" s="20">
        <f>$D121/4</f>
        <v>34068500</v>
      </c>
      <c r="V127" s="20">
        <f>$D121/4</f>
        <v>34068500</v>
      </c>
      <c r="W127" s="20">
        <f>$D121/4</f>
        <v>34068500</v>
      </c>
      <c r="X127" s="20">
        <f>$C121/4</f>
        <v>19435000</v>
      </c>
      <c r="Y127" s="20">
        <f>$C121/4</f>
        <v>19435000</v>
      </c>
      <c r="Z127" s="20">
        <f>$C121/4</f>
        <v>19435000</v>
      </c>
      <c r="AA127" s="20">
        <f>$C121/4</f>
        <v>19435000</v>
      </c>
      <c r="AB127" s="20">
        <v>0</v>
      </c>
      <c r="AD127" s="21">
        <f t="shared" si="80"/>
        <v>41578700</v>
      </c>
      <c r="AE127" s="21">
        <f t="shared" si="81"/>
        <v>536229400</v>
      </c>
      <c r="AF127" s="21">
        <f t="shared" si="78"/>
        <v>28874300</v>
      </c>
    </row>
    <row r="128" spans="1:32" x14ac:dyDescent="0.2">
      <c r="A128" t="s">
        <v>342</v>
      </c>
      <c r="B128" s="5" t="s">
        <v>93</v>
      </c>
      <c r="C128" s="22">
        <f>$C121</f>
        <v>77740000</v>
      </c>
      <c r="D128" s="22">
        <f>$D121</f>
        <v>136274000</v>
      </c>
      <c r="E128" s="22">
        <f>$E121</f>
        <v>207008000</v>
      </c>
      <c r="F128" s="23">
        <f t="shared" si="82"/>
        <v>20</v>
      </c>
      <c r="G128" s="4">
        <v>74626000</v>
      </c>
      <c r="I128" s="20">
        <f t="shared" si="77"/>
        <v>74626000</v>
      </c>
      <c r="J128" s="20">
        <f t="shared" si="79"/>
        <v>70453000</v>
      </c>
      <c r="K128" s="20">
        <f t="shared" si="83"/>
        <v>63602000</v>
      </c>
      <c r="L128" s="20">
        <f t="shared" si="84"/>
        <v>58321000</v>
      </c>
      <c r="M128" s="20">
        <f t="shared" si="85"/>
        <v>56446000</v>
      </c>
      <c r="N128" s="20">
        <f t="shared" si="86"/>
        <v>52306000</v>
      </c>
      <c r="O128" s="20">
        <f t="shared" si="87"/>
        <v>54161000</v>
      </c>
      <c r="P128" s="20">
        <f>G121</f>
        <v>55263000</v>
      </c>
      <c r="Q128" s="20">
        <f>$E121/4</f>
        <v>51752000</v>
      </c>
      <c r="R128" s="20">
        <f>$E121/4</f>
        <v>51752000</v>
      </c>
      <c r="S128" s="20">
        <f>$E121/4</f>
        <v>51752000</v>
      </c>
      <c r="T128" s="20">
        <f>$E121/4</f>
        <v>51752000</v>
      </c>
      <c r="U128" s="20">
        <f>$D121/4</f>
        <v>34068500</v>
      </c>
      <c r="V128" s="20">
        <f>$D121/4</f>
        <v>34068500</v>
      </c>
      <c r="W128" s="20">
        <f>$D121/4</f>
        <v>34068500</v>
      </c>
      <c r="X128" s="20">
        <f>$D121/4</f>
        <v>34068500</v>
      </c>
      <c r="Y128" s="20">
        <f>$C121/4</f>
        <v>19435000</v>
      </c>
      <c r="Z128" s="20">
        <f>$C121/4</f>
        <v>19435000</v>
      </c>
      <c r="AA128" s="20">
        <f>$C121/4</f>
        <v>19435000</v>
      </c>
      <c r="AB128" s="20">
        <f>$C121/4</f>
        <v>19435000</v>
      </c>
      <c r="AD128" s="21">
        <f t="shared" si="80"/>
        <v>45310000</v>
      </c>
      <c r="AE128" s="21">
        <f t="shared" si="81"/>
        <v>569276700</v>
      </c>
      <c r="AF128" s="21">
        <f t="shared" si="78"/>
        <v>29316000</v>
      </c>
    </row>
    <row r="129" spans="1:32" x14ac:dyDescent="0.2">
      <c r="A129" t="s">
        <v>342</v>
      </c>
      <c r="B129" s="5" t="s">
        <v>141</v>
      </c>
      <c r="C129" s="22">
        <f>$C121</f>
        <v>77740000</v>
      </c>
      <c r="D129" s="22">
        <f>$D121</f>
        <v>136274000</v>
      </c>
      <c r="E129" s="22">
        <f>$E121</f>
        <v>207008000</v>
      </c>
      <c r="F129" s="23">
        <f t="shared" si="82"/>
        <v>20</v>
      </c>
      <c r="G129" s="4">
        <v>72253000</v>
      </c>
      <c r="I129" s="20">
        <f t="shared" si="77"/>
        <v>72253000</v>
      </c>
      <c r="J129" s="20">
        <f t="shared" si="79"/>
        <v>74626000</v>
      </c>
      <c r="K129" s="20">
        <f t="shared" si="83"/>
        <v>70453000</v>
      </c>
      <c r="L129" s="20">
        <f t="shared" si="84"/>
        <v>63602000</v>
      </c>
      <c r="M129" s="20">
        <f t="shared" si="85"/>
        <v>58321000</v>
      </c>
      <c r="N129" s="20">
        <f t="shared" si="86"/>
        <v>56446000</v>
      </c>
      <c r="O129" s="20">
        <f t="shared" si="87"/>
        <v>52306000</v>
      </c>
      <c r="P129" s="20">
        <f>G122</f>
        <v>54161000</v>
      </c>
      <c r="Q129" s="20">
        <f>G121</f>
        <v>55263000</v>
      </c>
      <c r="R129" s="20">
        <f>$E121/4</f>
        <v>51752000</v>
      </c>
      <c r="S129" s="20">
        <f>$E121/4</f>
        <v>51752000</v>
      </c>
      <c r="T129" s="20">
        <f>$E121/4</f>
        <v>51752000</v>
      </c>
      <c r="U129" s="20">
        <f>$E121/4</f>
        <v>51752000</v>
      </c>
      <c r="V129" s="20">
        <f>$D121/4</f>
        <v>34068500</v>
      </c>
      <c r="W129" s="20">
        <f>$D121/4</f>
        <v>34068500</v>
      </c>
      <c r="X129" s="20">
        <f>$D121/4</f>
        <v>34068500</v>
      </c>
      <c r="Y129" s="20">
        <f>$D121/4</f>
        <v>34068500</v>
      </c>
      <c r="Z129" s="20">
        <f>$C121/4</f>
        <v>19435000</v>
      </c>
      <c r="AA129" s="20">
        <f>$C121/4</f>
        <v>19435000</v>
      </c>
      <c r="AB129" s="20">
        <f>$C121/4</f>
        <v>19435000</v>
      </c>
      <c r="AD129" s="21">
        <f t="shared" si="80"/>
        <v>47950900</v>
      </c>
      <c r="AE129" s="21">
        <f t="shared" si="81"/>
        <v>596219700</v>
      </c>
      <c r="AF129" s="21">
        <f t="shared" si="78"/>
        <v>24302100</v>
      </c>
    </row>
    <row r="130" spans="1:32" x14ac:dyDescent="0.2">
      <c r="A130" t="s">
        <v>342</v>
      </c>
      <c r="B130" s="5" t="s">
        <v>160</v>
      </c>
      <c r="C130" s="22">
        <f>$C121</f>
        <v>77740000</v>
      </c>
      <c r="D130" s="22">
        <f>$D121</f>
        <v>136274000</v>
      </c>
      <c r="E130" s="22">
        <f>$E121</f>
        <v>207008000</v>
      </c>
      <c r="F130" s="23">
        <f t="shared" si="82"/>
        <v>20</v>
      </c>
      <c r="G130" s="4">
        <v>79091000</v>
      </c>
      <c r="I130" s="20">
        <f t="shared" si="77"/>
        <v>79091000</v>
      </c>
      <c r="J130" s="20">
        <f t="shared" si="79"/>
        <v>72253000</v>
      </c>
      <c r="K130" s="20">
        <f t="shared" si="83"/>
        <v>74626000</v>
      </c>
      <c r="L130" s="20">
        <f t="shared" si="84"/>
        <v>70453000</v>
      </c>
      <c r="M130" s="20">
        <f t="shared" si="85"/>
        <v>63602000</v>
      </c>
      <c r="N130" s="20">
        <f t="shared" si="86"/>
        <v>58321000</v>
      </c>
      <c r="O130" s="20">
        <f t="shared" si="87"/>
        <v>56446000</v>
      </c>
      <c r="P130" s="20">
        <f>G123</f>
        <v>52306000</v>
      </c>
      <c r="Q130" s="20">
        <f>G122</f>
        <v>54161000</v>
      </c>
      <c r="R130" s="20">
        <f>G121</f>
        <v>55263000</v>
      </c>
      <c r="S130" s="20">
        <f>$E121/4</f>
        <v>51752000</v>
      </c>
      <c r="T130" s="20">
        <f>$E121/4</f>
        <v>51752000</v>
      </c>
      <c r="U130" s="20">
        <f>$E121/4</f>
        <v>51752000</v>
      </c>
      <c r="V130" s="20">
        <f>$E121/4</f>
        <v>51752000</v>
      </c>
      <c r="W130" s="20">
        <f>$D121/4</f>
        <v>34068500</v>
      </c>
      <c r="X130" s="20">
        <f>$D121/4</f>
        <v>34068500</v>
      </c>
      <c r="Y130" s="20">
        <f>$D121/4</f>
        <v>34068500</v>
      </c>
      <c r="Z130" s="20">
        <f>$D121/4</f>
        <v>34068500</v>
      </c>
      <c r="AA130" s="20">
        <f>$C121/4</f>
        <v>19435000</v>
      </c>
      <c r="AB130" s="20">
        <f>$C121/4</f>
        <v>19435000</v>
      </c>
      <c r="AD130" s="21">
        <f t="shared" si="80"/>
        <v>50933700</v>
      </c>
      <c r="AE130" s="21">
        <f t="shared" si="81"/>
        <v>627359800</v>
      </c>
      <c r="AF130" s="21">
        <f t="shared" si="78"/>
        <v>28157300</v>
      </c>
    </row>
    <row r="131" spans="1:32" x14ac:dyDescent="0.2">
      <c r="A131" t="s">
        <v>342</v>
      </c>
      <c r="B131" s="5" t="s">
        <v>161</v>
      </c>
      <c r="C131" s="22">
        <f>$C121</f>
        <v>77740000</v>
      </c>
      <c r="D131" s="22">
        <f>$D121</f>
        <v>136274000</v>
      </c>
      <c r="E131" s="22">
        <f>$E121</f>
        <v>207008000</v>
      </c>
      <c r="F131" s="23">
        <f t="shared" si="82"/>
        <v>20</v>
      </c>
      <c r="G131" s="4">
        <v>83146000</v>
      </c>
      <c r="I131" s="20">
        <f t="shared" si="77"/>
        <v>83146000</v>
      </c>
      <c r="J131" s="20">
        <f t="shared" si="79"/>
        <v>79091000</v>
      </c>
      <c r="K131" s="20">
        <f t="shared" si="83"/>
        <v>72253000</v>
      </c>
      <c r="L131" s="20">
        <f t="shared" si="84"/>
        <v>74626000</v>
      </c>
      <c r="M131" s="20">
        <f t="shared" si="85"/>
        <v>70453000</v>
      </c>
      <c r="N131" s="20">
        <f t="shared" si="86"/>
        <v>63602000</v>
      </c>
      <c r="O131" s="20">
        <f t="shared" si="87"/>
        <v>58321000</v>
      </c>
      <c r="P131" s="20">
        <f>G124</f>
        <v>56446000</v>
      </c>
      <c r="Q131" s="20">
        <f>G123</f>
        <v>52306000</v>
      </c>
      <c r="R131" s="20">
        <f>G122</f>
        <v>54161000</v>
      </c>
      <c r="S131" s="20">
        <f>G121</f>
        <v>55263000</v>
      </c>
      <c r="T131" s="20">
        <f>$E121/4</f>
        <v>51752000</v>
      </c>
      <c r="U131" s="20">
        <f>$E121/4</f>
        <v>51752000</v>
      </c>
      <c r="V131" s="20">
        <f>$E121/4</f>
        <v>51752000</v>
      </c>
      <c r="W131" s="20">
        <f>$E121/4</f>
        <v>51752000</v>
      </c>
      <c r="X131" s="20">
        <f>$D121/4</f>
        <v>34068500</v>
      </c>
      <c r="Y131" s="20">
        <f>$D121/4</f>
        <v>34068500</v>
      </c>
      <c r="Z131" s="20">
        <f>$D121/4</f>
        <v>34068500</v>
      </c>
      <c r="AA131" s="20">
        <f>$D121/4</f>
        <v>34068500</v>
      </c>
      <c r="AB131" s="20">
        <f>$C121/4</f>
        <v>19435000</v>
      </c>
      <c r="AD131" s="21">
        <f t="shared" si="80"/>
        <v>54119250</v>
      </c>
      <c r="AE131" s="21">
        <f t="shared" si="81"/>
        <v>659572100</v>
      </c>
      <c r="AF131" s="21">
        <f t="shared" si="78"/>
        <v>29026750</v>
      </c>
    </row>
    <row r="132" spans="1:32" x14ac:dyDescent="0.2">
      <c r="A132" t="s">
        <v>342</v>
      </c>
      <c r="B132" s="5" t="s">
        <v>162</v>
      </c>
      <c r="C132" s="22">
        <f>$C121</f>
        <v>77740000</v>
      </c>
      <c r="D132" s="22">
        <f>$D121</f>
        <v>136274000</v>
      </c>
      <c r="E132" s="22">
        <f>$E121</f>
        <v>207008000</v>
      </c>
      <c r="F132" s="23">
        <f t="shared" si="82"/>
        <v>20</v>
      </c>
      <c r="G132" s="4">
        <v>89363000</v>
      </c>
      <c r="I132" s="20">
        <f t="shared" si="77"/>
        <v>89363000</v>
      </c>
      <c r="J132" s="20">
        <f t="shared" si="79"/>
        <v>83146000</v>
      </c>
      <c r="K132" s="20">
        <f t="shared" si="83"/>
        <v>79091000</v>
      </c>
      <c r="L132" s="20">
        <f t="shared" si="84"/>
        <v>72253000</v>
      </c>
      <c r="M132" s="20">
        <f t="shared" si="85"/>
        <v>74626000</v>
      </c>
      <c r="N132" s="20">
        <f t="shared" si="86"/>
        <v>70453000</v>
      </c>
      <c r="O132" s="20">
        <f t="shared" si="87"/>
        <v>63602000</v>
      </c>
      <c r="P132" s="20">
        <f>G125</f>
        <v>58321000</v>
      </c>
      <c r="Q132" s="20">
        <f>G124</f>
        <v>56446000</v>
      </c>
      <c r="R132" s="20">
        <f>G123</f>
        <v>52306000</v>
      </c>
      <c r="S132" s="20">
        <f>G122</f>
        <v>54161000</v>
      </c>
      <c r="T132" s="20">
        <f>G121</f>
        <v>55263000</v>
      </c>
      <c r="U132" s="20">
        <f>$E121/4</f>
        <v>51752000</v>
      </c>
      <c r="V132" s="20">
        <f>$E121/4</f>
        <v>51752000</v>
      </c>
      <c r="W132" s="20">
        <f>$E121/4</f>
        <v>51752000</v>
      </c>
      <c r="X132" s="20">
        <f>$E121/4</f>
        <v>51752000</v>
      </c>
      <c r="Y132" s="20">
        <f>$D121/4</f>
        <v>34068500</v>
      </c>
      <c r="Z132" s="20">
        <f>$D121/4</f>
        <v>34068500</v>
      </c>
      <c r="AA132" s="20">
        <f>$D121/4</f>
        <v>34068500</v>
      </c>
      <c r="AB132" s="20">
        <f>$D121/4</f>
        <v>34068500</v>
      </c>
      <c r="AD132" s="21">
        <f t="shared" si="80"/>
        <v>57615650</v>
      </c>
      <c r="AE132" s="21">
        <f t="shared" si="81"/>
        <v>694815850</v>
      </c>
      <c r="AF132" s="21">
        <f t="shared" si="78"/>
        <v>31747350</v>
      </c>
    </row>
    <row r="133" spans="1:32" x14ac:dyDescent="0.2">
      <c r="H133" s="3"/>
    </row>
    <row r="135" spans="1:32" x14ac:dyDescent="0.2">
      <c r="B135" t="s">
        <v>338</v>
      </c>
    </row>
    <row r="136" spans="1:32" x14ac:dyDescent="0.2">
      <c r="B136" s="6" t="s">
        <v>107</v>
      </c>
      <c r="C136" s="6" t="s">
        <v>438</v>
      </c>
      <c r="D136" s="6" t="s">
        <v>439</v>
      </c>
      <c r="E136" s="6" t="s">
        <v>440</v>
      </c>
      <c r="F136" s="6" t="s">
        <v>441</v>
      </c>
      <c r="G136" s="6" t="s">
        <v>442</v>
      </c>
      <c r="H136" s="15"/>
      <c r="I136" s="6" t="s">
        <v>443</v>
      </c>
      <c r="J136" s="6" t="s">
        <v>444</v>
      </c>
      <c r="K136" s="6" t="s">
        <v>445</v>
      </c>
      <c r="L136" s="6" t="s">
        <v>446</v>
      </c>
      <c r="M136" s="6" t="s">
        <v>447</v>
      </c>
      <c r="N136" s="6" t="s">
        <v>448</v>
      </c>
      <c r="O136" s="6" t="s">
        <v>449</v>
      </c>
      <c r="P136" s="6" t="s">
        <v>450</v>
      </c>
      <c r="Q136" s="6" t="s">
        <v>451</v>
      </c>
      <c r="R136" s="6" t="s">
        <v>452</v>
      </c>
      <c r="S136" s="6" t="s">
        <v>453</v>
      </c>
      <c r="T136" s="6" t="s">
        <v>454</v>
      </c>
      <c r="U136" s="6" t="s">
        <v>455</v>
      </c>
      <c r="V136" s="6" t="s">
        <v>456</v>
      </c>
      <c r="W136" s="6" t="s">
        <v>457</v>
      </c>
      <c r="X136" s="6" t="s">
        <v>458</v>
      </c>
      <c r="Y136" s="6" t="s">
        <v>459</v>
      </c>
      <c r="Z136" s="6" t="s">
        <v>460</v>
      </c>
      <c r="AA136" s="6" t="s">
        <v>461</v>
      </c>
      <c r="AB136" s="6" t="s">
        <v>462</v>
      </c>
      <c r="AC136" s="15"/>
      <c r="AD136" s="6" t="s">
        <v>106</v>
      </c>
      <c r="AE136" s="6" t="s">
        <v>105</v>
      </c>
      <c r="AF136" s="6" t="s">
        <v>463</v>
      </c>
    </row>
    <row r="137" spans="1:32" x14ac:dyDescent="0.2">
      <c r="B137" s="16" t="s">
        <v>464</v>
      </c>
      <c r="I137" s="17">
        <v>20</v>
      </c>
      <c r="J137" s="17">
        <v>19</v>
      </c>
      <c r="K137" s="17">
        <v>18</v>
      </c>
      <c r="L137" s="17">
        <v>17</v>
      </c>
      <c r="M137" s="17">
        <v>16</v>
      </c>
      <c r="N137" s="17">
        <v>15</v>
      </c>
      <c r="O137" s="17">
        <v>14</v>
      </c>
      <c r="P137" s="17">
        <v>13</v>
      </c>
      <c r="Q137" s="17">
        <v>12</v>
      </c>
      <c r="R137" s="17">
        <v>11</v>
      </c>
      <c r="S137" s="17">
        <v>10</v>
      </c>
      <c r="T137" s="17">
        <v>9</v>
      </c>
      <c r="U137" s="17">
        <v>8</v>
      </c>
      <c r="V137" s="17">
        <v>7</v>
      </c>
      <c r="W137" s="17">
        <v>6</v>
      </c>
      <c r="X137" s="17">
        <v>5</v>
      </c>
      <c r="Y137" s="17">
        <v>4</v>
      </c>
      <c r="Z137" s="17">
        <v>3</v>
      </c>
      <c r="AA137" s="17">
        <v>2</v>
      </c>
      <c r="AB137" s="17">
        <v>1</v>
      </c>
    </row>
    <row r="138" spans="1:32" x14ac:dyDescent="0.2">
      <c r="A138" t="s">
        <v>338</v>
      </c>
      <c r="B138" s="5" t="s">
        <v>104</v>
      </c>
      <c r="C138" s="4">
        <v>560660000</v>
      </c>
      <c r="D138" s="4">
        <v>387487000</v>
      </c>
      <c r="E138" s="4">
        <v>359679000</v>
      </c>
      <c r="F138" s="19">
        <v>20</v>
      </c>
      <c r="G138" s="4">
        <v>90100000</v>
      </c>
      <c r="I138" s="20">
        <f t="shared" ref="I138:I149" si="88">G138</f>
        <v>90100000</v>
      </c>
      <c r="J138" s="20">
        <f>$E138/4</f>
        <v>89919750</v>
      </c>
      <c r="K138" s="20">
        <f>$E138/4</f>
        <v>89919750</v>
      </c>
      <c r="L138" s="20">
        <f>$E138/4</f>
        <v>89919750</v>
      </c>
      <c r="M138" s="20">
        <f>$E138/4</f>
        <v>89919750</v>
      </c>
      <c r="N138" s="20">
        <f>$D138/4</f>
        <v>96871750</v>
      </c>
      <c r="O138" s="20">
        <f>$D138/4</f>
        <v>96871750</v>
      </c>
      <c r="P138" s="20">
        <f>$D138/4</f>
        <v>96871750</v>
      </c>
      <c r="Q138" s="20">
        <f>$D138/4</f>
        <v>96871750</v>
      </c>
      <c r="R138" s="20">
        <f>$C138/4</f>
        <v>140165000</v>
      </c>
      <c r="S138" s="20">
        <f>$C138/4</f>
        <v>140165000</v>
      </c>
      <c r="T138" s="20">
        <f>$C138/4</f>
        <v>140165000</v>
      </c>
      <c r="U138" s="20">
        <f>$C138/4</f>
        <v>140165000</v>
      </c>
      <c r="V138" s="20">
        <v>0</v>
      </c>
      <c r="W138" s="20">
        <v>0</v>
      </c>
      <c r="X138" s="20">
        <v>0</v>
      </c>
      <c r="Y138" s="20">
        <v>0</v>
      </c>
      <c r="Z138" s="20">
        <v>0</v>
      </c>
      <c r="AA138" s="20">
        <v>0</v>
      </c>
      <c r="AB138" s="20">
        <v>0</v>
      </c>
      <c r="AD138" s="21">
        <f>SUM(I138:AB138)/$F138</f>
        <v>69896300</v>
      </c>
      <c r="AE138" s="21">
        <f>SUMPRODUCT($I$137:$AB$137,I138:AB138)/$F138</f>
        <v>932686350</v>
      </c>
      <c r="AF138" s="21">
        <f t="shared" ref="AF138:AF149" si="89">G138-AD138</f>
        <v>20203700</v>
      </c>
    </row>
    <row r="139" spans="1:32" x14ac:dyDescent="0.2">
      <c r="A139" t="s">
        <v>338</v>
      </c>
      <c r="B139" s="5" t="s">
        <v>103</v>
      </c>
      <c r="C139" s="22">
        <f>$C138</f>
        <v>560660000</v>
      </c>
      <c r="D139" s="22">
        <f>$D138</f>
        <v>387487000</v>
      </c>
      <c r="E139" s="22">
        <f>$E138</f>
        <v>359679000</v>
      </c>
      <c r="F139" s="23">
        <f>$F$138</f>
        <v>20</v>
      </c>
      <c r="G139" s="4">
        <v>99533000</v>
      </c>
      <c r="I139" s="20">
        <f t="shared" si="88"/>
        <v>99533000</v>
      </c>
      <c r="J139" s="20">
        <f t="shared" ref="J139:J149" si="90">G138</f>
        <v>90100000</v>
      </c>
      <c r="K139" s="20">
        <f>$E138/4</f>
        <v>89919750</v>
      </c>
      <c r="L139" s="20">
        <f>$E138/4</f>
        <v>89919750</v>
      </c>
      <c r="M139" s="20">
        <f>$E138/4</f>
        <v>89919750</v>
      </c>
      <c r="N139" s="20">
        <f>$E138/4</f>
        <v>89919750</v>
      </c>
      <c r="O139" s="20">
        <f>$D138/4</f>
        <v>96871750</v>
      </c>
      <c r="P139" s="20">
        <f>$D138/4</f>
        <v>96871750</v>
      </c>
      <c r="Q139" s="20">
        <f>$D138/4</f>
        <v>96871750</v>
      </c>
      <c r="R139" s="20">
        <f>$D138/4</f>
        <v>96871750</v>
      </c>
      <c r="S139" s="20">
        <f>$C138/4</f>
        <v>140165000</v>
      </c>
      <c r="T139" s="20">
        <f>$C138/4</f>
        <v>140165000</v>
      </c>
      <c r="U139" s="20">
        <f>$C138/4</f>
        <v>140165000</v>
      </c>
      <c r="V139" s="20">
        <f>$C138/4</f>
        <v>140165000</v>
      </c>
      <c r="W139" s="20">
        <v>0</v>
      </c>
      <c r="X139" s="20">
        <v>0</v>
      </c>
      <c r="Y139" s="20">
        <v>0</v>
      </c>
      <c r="Z139" s="20">
        <v>0</v>
      </c>
      <c r="AA139" s="20">
        <v>0</v>
      </c>
      <c r="AB139" s="20">
        <v>0</v>
      </c>
      <c r="AD139" s="21">
        <f t="shared" ref="AD139:AD149" si="91">SUM(I139:AB139)/$F139</f>
        <v>74872950</v>
      </c>
      <c r="AE139" s="21">
        <f t="shared" ref="AE139:AE149" si="92">SUMPRODUCT($I$137:$AB$137,I139:AB139)/$F139</f>
        <v>962323050</v>
      </c>
      <c r="AF139" s="21">
        <f t="shared" si="89"/>
        <v>24660050</v>
      </c>
    </row>
    <row r="140" spans="1:32" x14ac:dyDescent="0.2">
      <c r="A140" t="s">
        <v>338</v>
      </c>
      <c r="B140" s="5" t="s">
        <v>102</v>
      </c>
      <c r="C140" s="22">
        <f>$C138</f>
        <v>560660000</v>
      </c>
      <c r="D140" s="22">
        <f>$D138</f>
        <v>387487000</v>
      </c>
      <c r="E140" s="22">
        <f>$E138</f>
        <v>359679000</v>
      </c>
      <c r="F140" s="23">
        <f t="shared" ref="F140:F149" si="93">$F$138</f>
        <v>20</v>
      </c>
      <c r="G140" s="4">
        <v>105708000</v>
      </c>
      <c r="I140" s="20">
        <f t="shared" si="88"/>
        <v>105708000</v>
      </c>
      <c r="J140" s="20">
        <f t="shared" si="90"/>
        <v>99533000</v>
      </c>
      <c r="K140" s="20">
        <f t="shared" ref="K140:K149" si="94">G138</f>
        <v>90100000</v>
      </c>
      <c r="L140" s="20">
        <f>$E138/4</f>
        <v>89919750</v>
      </c>
      <c r="M140" s="20">
        <f>$E138/4</f>
        <v>89919750</v>
      </c>
      <c r="N140" s="20">
        <f>$E138/4</f>
        <v>89919750</v>
      </c>
      <c r="O140" s="20">
        <f>$E138/4</f>
        <v>89919750</v>
      </c>
      <c r="P140" s="20">
        <f>$D138/4</f>
        <v>96871750</v>
      </c>
      <c r="Q140" s="20">
        <f>$D138/4</f>
        <v>96871750</v>
      </c>
      <c r="R140" s="20">
        <f>$D138/4</f>
        <v>96871750</v>
      </c>
      <c r="S140" s="20">
        <f>$D138/4</f>
        <v>96871750</v>
      </c>
      <c r="T140" s="20">
        <f>$C138/4</f>
        <v>140165000</v>
      </c>
      <c r="U140" s="20">
        <f>$C138/4</f>
        <v>140165000</v>
      </c>
      <c r="V140" s="20">
        <f>$C138/4</f>
        <v>140165000</v>
      </c>
      <c r="W140" s="20">
        <f>$C138/4</f>
        <v>140165000</v>
      </c>
      <c r="X140" s="20">
        <v>0</v>
      </c>
      <c r="Y140" s="20">
        <v>0</v>
      </c>
      <c r="Z140" s="20">
        <v>0</v>
      </c>
      <c r="AA140" s="20">
        <v>0</v>
      </c>
      <c r="AB140" s="20">
        <v>0</v>
      </c>
      <c r="AD140" s="21">
        <f t="shared" si="91"/>
        <v>80158350</v>
      </c>
      <c r="AE140" s="21">
        <f t="shared" si="92"/>
        <v>993158100</v>
      </c>
      <c r="AF140" s="21">
        <f t="shared" si="89"/>
        <v>25549650</v>
      </c>
    </row>
    <row r="141" spans="1:32" x14ac:dyDescent="0.2">
      <c r="A141" t="s">
        <v>338</v>
      </c>
      <c r="B141" s="5" t="s">
        <v>101</v>
      </c>
      <c r="C141" s="22">
        <f>$C138</f>
        <v>560660000</v>
      </c>
      <c r="D141" s="22">
        <f>$D138</f>
        <v>387487000</v>
      </c>
      <c r="E141" s="22">
        <f>$E138</f>
        <v>359679000</v>
      </c>
      <c r="F141" s="23">
        <f t="shared" si="93"/>
        <v>20</v>
      </c>
      <c r="G141" s="4">
        <v>109283000</v>
      </c>
      <c r="I141" s="20">
        <f t="shared" si="88"/>
        <v>109283000</v>
      </c>
      <c r="J141" s="20">
        <f t="shared" si="90"/>
        <v>105708000</v>
      </c>
      <c r="K141" s="20">
        <f t="shared" si="94"/>
        <v>99533000</v>
      </c>
      <c r="L141" s="20">
        <f t="shared" ref="L141:L149" si="95">G138</f>
        <v>90100000</v>
      </c>
      <c r="M141" s="20">
        <f>$E138/4</f>
        <v>89919750</v>
      </c>
      <c r="N141" s="20">
        <f>$E138/4</f>
        <v>89919750</v>
      </c>
      <c r="O141" s="20">
        <f>$E138/4</f>
        <v>89919750</v>
      </c>
      <c r="P141" s="20">
        <f>$E138/4</f>
        <v>89919750</v>
      </c>
      <c r="Q141" s="20">
        <f>$D138/4</f>
        <v>96871750</v>
      </c>
      <c r="R141" s="20">
        <f>$D138/4</f>
        <v>96871750</v>
      </c>
      <c r="S141" s="20">
        <f>$D138/4</f>
        <v>96871750</v>
      </c>
      <c r="T141" s="20">
        <f>$D138/4</f>
        <v>96871750</v>
      </c>
      <c r="U141" s="20">
        <f>$C138/4</f>
        <v>140165000</v>
      </c>
      <c r="V141" s="20">
        <f>$C138/4</f>
        <v>140165000</v>
      </c>
      <c r="W141" s="20">
        <f>$C138/4</f>
        <v>140165000</v>
      </c>
      <c r="X141" s="20">
        <f>$C138/4</f>
        <v>140165000</v>
      </c>
      <c r="Y141" s="20">
        <v>0</v>
      </c>
      <c r="Z141" s="20">
        <v>0</v>
      </c>
      <c r="AA141" s="20">
        <v>0</v>
      </c>
      <c r="AB141" s="20">
        <v>0</v>
      </c>
      <c r="AD141" s="21">
        <f t="shared" si="91"/>
        <v>85622500</v>
      </c>
      <c r="AE141" s="21">
        <f t="shared" si="92"/>
        <v>1022282750</v>
      </c>
      <c r="AF141" s="21">
        <f t="shared" si="89"/>
        <v>23660500</v>
      </c>
    </row>
    <row r="142" spans="1:32" x14ac:dyDescent="0.2">
      <c r="A142" t="s">
        <v>338</v>
      </c>
      <c r="B142" s="5" t="s">
        <v>100</v>
      </c>
      <c r="C142" s="22">
        <f>$C138</f>
        <v>560660000</v>
      </c>
      <c r="D142" s="22">
        <f>$D138</f>
        <v>387487000</v>
      </c>
      <c r="E142" s="22">
        <f>$E138</f>
        <v>359679000</v>
      </c>
      <c r="F142" s="23">
        <f t="shared" si="93"/>
        <v>20</v>
      </c>
      <c r="G142" s="4">
        <v>110040000</v>
      </c>
      <c r="I142" s="20">
        <f t="shared" si="88"/>
        <v>110040000</v>
      </c>
      <c r="J142" s="20">
        <f t="shared" si="90"/>
        <v>109283000</v>
      </c>
      <c r="K142" s="20">
        <f t="shared" si="94"/>
        <v>105708000</v>
      </c>
      <c r="L142" s="20">
        <f t="shared" si="95"/>
        <v>99533000</v>
      </c>
      <c r="M142" s="20">
        <f t="shared" ref="M142:M149" si="96">G138</f>
        <v>90100000</v>
      </c>
      <c r="N142" s="20">
        <f>$E138/4</f>
        <v>89919750</v>
      </c>
      <c r="O142" s="20">
        <f>$E138/4</f>
        <v>89919750</v>
      </c>
      <c r="P142" s="20">
        <f>$E138/4</f>
        <v>89919750</v>
      </c>
      <c r="Q142" s="20">
        <f>$E138/4</f>
        <v>89919750</v>
      </c>
      <c r="R142" s="20">
        <f>$D138/4</f>
        <v>96871750</v>
      </c>
      <c r="S142" s="20">
        <f>$D138/4</f>
        <v>96871750</v>
      </c>
      <c r="T142" s="20">
        <f>$D138/4</f>
        <v>96871750</v>
      </c>
      <c r="U142" s="20">
        <f>$D138/4</f>
        <v>96871750</v>
      </c>
      <c r="V142" s="20">
        <f>$C138/4</f>
        <v>140165000</v>
      </c>
      <c r="W142" s="20">
        <f>$C138/4</f>
        <v>140165000</v>
      </c>
      <c r="X142" s="20">
        <f>$C138/4</f>
        <v>140165000</v>
      </c>
      <c r="Y142" s="20">
        <f>$C138/4</f>
        <v>140165000</v>
      </c>
      <c r="Z142" s="20">
        <v>0</v>
      </c>
      <c r="AA142" s="20">
        <v>0</v>
      </c>
      <c r="AB142" s="20">
        <v>0</v>
      </c>
      <c r="AD142" s="21">
        <f t="shared" si="91"/>
        <v>91124500</v>
      </c>
      <c r="AE142" s="21">
        <f t="shared" si="92"/>
        <v>1046700250</v>
      </c>
      <c r="AF142" s="21">
        <f t="shared" si="89"/>
        <v>18915500</v>
      </c>
    </row>
    <row r="143" spans="1:32" x14ac:dyDescent="0.2">
      <c r="A143" t="s">
        <v>338</v>
      </c>
      <c r="B143" s="5" t="s">
        <v>99</v>
      </c>
      <c r="C143" s="22">
        <f>$C138</f>
        <v>560660000</v>
      </c>
      <c r="D143" s="22">
        <f>$D138</f>
        <v>387487000</v>
      </c>
      <c r="E143" s="22">
        <f>$E138</f>
        <v>359679000</v>
      </c>
      <c r="F143" s="23">
        <f t="shared" si="93"/>
        <v>20</v>
      </c>
      <c r="G143" s="4">
        <v>108781000</v>
      </c>
      <c r="I143" s="20">
        <f t="shared" si="88"/>
        <v>108781000</v>
      </c>
      <c r="J143" s="20">
        <f t="shared" si="90"/>
        <v>110040000</v>
      </c>
      <c r="K143" s="20">
        <f t="shared" si="94"/>
        <v>109283000</v>
      </c>
      <c r="L143" s="20">
        <f t="shared" si="95"/>
        <v>105708000</v>
      </c>
      <c r="M143" s="20">
        <f t="shared" si="96"/>
        <v>99533000</v>
      </c>
      <c r="N143" s="20">
        <f t="shared" ref="N143:N149" si="97">G138</f>
        <v>90100000</v>
      </c>
      <c r="O143" s="20">
        <f>$E138/4</f>
        <v>89919750</v>
      </c>
      <c r="P143" s="20">
        <f>$E138/4</f>
        <v>89919750</v>
      </c>
      <c r="Q143" s="20">
        <f>$E138/4</f>
        <v>89919750</v>
      </c>
      <c r="R143" s="20">
        <f>$E138/4</f>
        <v>89919750</v>
      </c>
      <c r="S143" s="20">
        <f>$D138/4</f>
        <v>96871750</v>
      </c>
      <c r="T143" s="20">
        <f>$D138/4</f>
        <v>96871750</v>
      </c>
      <c r="U143" s="20">
        <f>$D138/4</f>
        <v>96871750</v>
      </c>
      <c r="V143" s="20">
        <f>$D138/4</f>
        <v>96871750</v>
      </c>
      <c r="W143" s="20">
        <f>$C138/4</f>
        <v>140165000</v>
      </c>
      <c r="X143" s="20">
        <f>$C138/4</f>
        <v>140165000</v>
      </c>
      <c r="Y143" s="20">
        <f>$C138/4</f>
        <v>140165000</v>
      </c>
      <c r="Z143" s="20">
        <f>$C138/4</f>
        <v>140165000</v>
      </c>
      <c r="AA143" s="20">
        <v>0</v>
      </c>
      <c r="AB143" s="20">
        <v>0</v>
      </c>
      <c r="AD143" s="21">
        <f t="shared" si="91"/>
        <v>96563550</v>
      </c>
      <c r="AE143" s="21">
        <f t="shared" si="92"/>
        <v>1064356750</v>
      </c>
      <c r="AF143" s="21">
        <f t="shared" si="89"/>
        <v>12217450</v>
      </c>
    </row>
    <row r="144" spans="1:32" x14ac:dyDescent="0.2">
      <c r="A144" t="s">
        <v>338</v>
      </c>
      <c r="B144" s="5" t="s">
        <v>98</v>
      </c>
      <c r="C144" s="22">
        <f>$C138</f>
        <v>560660000</v>
      </c>
      <c r="D144" s="22">
        <f>$D138</f>
        <v>387487000</v>
      </c>
      <c r="E144" s="22">
        <f>$E138</f>
        <v>359679000</v>
      </c>
      <c r="F144" s="23">
        <f t="shared" si="93"/>
        <v>20</v>
      </c>
      <c r="G144" s="4">
        <v>117555000</v>
      </c>
      <c r="I144" s="20">
        <f t="shared" si="88"/>
        <v>117555000</v>
      </c>
      <c r="J144" s="20">
        <f t="shared" si="90"/>
        <v>108781000</v>
      </c>
      <c r="K144" s="20">
        <f t="shared" si="94"/>
        <v>110040000</v>
      </c>
      <c r="L144" s="20">
        <f t="shared" si="95"/>
        <v>109283000</v>
      </c>
      <c r="M144" s="20">
        <f t="shared" si="96"/>
        <v>105708000</v>
      </c>
      <c r="N144" s="20">
        <f t="shared" si="97"/>
        <v>99533000</v>
      </c>
      <c r="O144" s="20">
        <f t="shared" ref="O144:O149" si="98">G138</f>
        <v>90100000</v>
      </c>
      <c r="P144" s="20">
        <f>$E138/4</f>
        <v>89919750</v>
      </c>
      <c r="Q144" s="20">
        <f>$E138/4</f>
        <v>89919750</v>
      </c>
      <c r="R144" s="20">
        <f>$E138/4</f>
        <v>89919750</v>
      </c>
      <c r="S144" s="20">
        <f>$E138/4</f>
        <v>89919750</v>
      </c>
      <c r="T144" s="20">
        <f>$D138/4</f>
        <v>96871750</v>
      </c>
      <c r="U144" s="20">
        <f>$D138/4</f>
        <v>96871750</v>
      </c>
      <c r="V144" s="20">
        <f>$D138/4</f>
        <v>96871750</v>
      </c>
      <c r="W144" s="20">
        <f>$D138/4</f>
        <v>96871750</v>
      </c>
      <c r="X144" s="20">
        <f>$C138/4</f>
        <v>140165000</v>
      </c>
      <c r="Y144" s="20">
        <f>$C138/4</f>
        <v>140165000</v>
      </c>
      <c r="Z144" s="20">
        <f>$C138/4</f>
        <v>140165000</v>
      </c>
      <c r="AA144" s="20">
        <f>$C138/4</f>
        <v>140165000</v>
      </c>
      <c r="AB144" s="20">
        <v>0</v>
      </c>
      <c r="AD144" s="21">
        <f t="shared" si="91"/>
        <v>102441300</v>
      </c>
      <c r="AE144" s="21">
        <f t="shared" si="92"/>
        <v>1085348200</v>
      </c>
      <c r="AF144" s="21">
        <f t="shared" si="89"/>
        <v>15113700</v>
      </c>
    </row>
    <row r="145" spans="1:32" x14ac:dyDescent="0.2">
      <c r="A145" t="s">
        <v>338</v>
      </c>
      <c r="B145" s="5" t="s">
        <v>97</v>
      </c>
      <c r="C145" s="22">
        <f>$C138</f>
        <v>560660000</v>
      </c>
      <c r="D145" s="22">
        <f>$D138</f>
        <v>387487000</v>
      </c>
      <c r="E145" s="22">
        <f>$E138</f>
        <v>359679000</v>
      </c>
      <c r="F145" s="23">
        <f t="shared" si="93"/>
        <v>20</v>
      </c>
      <c r="G145" s="4">
        <v>171502000</v>
      </c>
      <c r="I145" s="20">
        <f t="shared" si="88"/>
        <v>171502000</v>
      </c>
      <c r="J145" s="20">
        <f t="shared" si="90"/>
        <v>117555000</v>
      </c>
      <c r="K145" s="20">
        <f t="shared" si="94"/>
        <v>108781000</v>
      </c>
      <c r="L145" s="20">
        <f t="shared" si="95"/>
        <v>110040000</v>
      </c>
      <c r="M145" s="20">
        <f t="shared" si="96"/>
        <v>109283000</v>
      </c>
      <c r="N145" s="20">
        <f t="shared" si="97"/>
        <v>105708000</v>
      </c>
      <c r="O145" s="20">
        <f t="shared" si="98"/>
        <v>99533000</v>
      </c>
      <c r="P145" s="20">
        <f>G138</f>
        <v>90100000</v>
      </c>
      <c r="Q145" s="20">
        <f>$E138/4</f>
        <v>89919750</v>
      </c>
      <c r="R145" s="20">
        <f>$E138/4</f>
        <v>89919750</v>
      </c>
      <c r="S145" s="20">
        <f>$E138/4</f>
        <v>89919750</v>
      </c>
      <c r="T145" s="20">
        <f>$E138/4</f>
        <v>89919750</v>
      </c>
      <c r="U145" s="20">
        <f>$D138/4</f>
        <v>96871750</v>
      </c>
      <c r="V145" s="20">
        <f>$D138/4</f>
        <v>96871750</v>
      </c>
      <c r="W145" s="20">
        <f>$D138/4</f>
        <v>96871750</v>
      </c>
      <c r="X145" s="20">
        <f>$D138/4</f>
        <v>96871750</v>
      </c>
      <c r="Y145" s="20">
        <f>$C138/4</f>
        <v>140165000</v>
      </c>
      <c r="Z145" s="20">
        <f>$C138/4</f>
        <v>140165000</v>
      </c>
      <c r="AA145" s="20">
        <f>$C138/4</f>
        <v>140165000</v>
      </c>
      <c r="AB145" s="20">
        <f>$C138/4</f>
        <v>140165000</v>
      </c>
      <c r="AD145" s="21">
        <f t="shared" si="91"/>
        <v>111016400</v>
      </c>
      <c r="AE145" s="21">
        <f t="shared" si="92"/>
        <v>1154408900</v>
      </c>
      <c r="AF145" s="21">
        <f t="shared" si="89"/>
        <v>60485600</v>
      </c>
    </row>
    <row r="146" spans="1:32" x14ac:dyDescent="0.2">
      <c r="A146" t="s">
        <v>338</v>
      </c>
      <c r="B146" s="5" t="s">
        <v>96</v>
      </c>
      <c r="C146" s="22">
        <f>$C138</f>
        <v>560660000</v>
      </c>
      <c r="D146" s="22">
        <f>$D138</f>
        <v>387487000</v>
      </c>
      <c r="E146" s="22">
        <f>$E138</f>
        <v>359679000</v>
      </c>
      <c r="F146" s="23">
        <f t="shared" si="93"/>
        <v>20</v>
      </c>
      <c r="G146" s="4">
        <v>134889000</v>
      </c>
      <c r="I146" s="20">
        <f t="shared" si="88"/>
        <v>134889000</v>
      </c>
      <c r="J146" s="20">
        <f t="shared" si="90"/>
        <v>171502000</v>
      </c>
      <c r="K146" s="20">
        <f t="shared" si="94"/>
        <v>117555000</v>
      </c>
      <c r="L146" s="20">
        <f t="shared" si="95"/>
        <v>108781000</v>
      </c>
      <c r="M146" s="20">
        <f t="shared" si="96"/>
        <v>110040000</v>
      </c>
      <c r="N146" s="20">
        <f t="shared" si="97"/>
        <v>109283000</v>
      </c>
      <c r="O146" s="20">
        <f t="shared" si="98"/>
        <v>105708000</v>
      </c>
      <c r="P146" s="20">
        <f>G139</f>
        <v>99533000</v>
      </c>
      <c r="Q146" s="20">
        <f>G138</f>
        <v>90100000</v>
      </c>
      <c r="R146" s="20">
        <f>$E138/4</f>
        <v>89919750</v>
      </c>
      <c r="S146" s="20">
        <f>$E138/4</f>
        <v>89919750</v>
      </c>
      <c r="T146" s="20">
        <f>$E138/4</f>
        <v>89919750</v>
      </c>
      <c r="U146" s="20">
        <f>$E138/4</f>
        <v>89919750</v>
      </c>
      <c r="V146" s="20">
        <f>$D138/4</f>
        <v>96871750</v>
      </c>
      <c r="W146" s="20">
        <f>$D138/4</f>
        <v>96871750</v>
      </c>
      <c r="X146" s="20">
        <f>$D138/4</f>
        <v>96871750</v>
      </c>
      <c r="Y146" s="20">
        <f>$D138/4</f>
        <v>96871750</v>
      </c>
      <c r="Z146" s="20">
        <f>$C138/4</f>
        <v>140165000</v>
      </c>
      <c r="AA146" s="20">
        <f>$C138/4</f>
        <v>140165000</v>
      </c>
      <c r="AB146" s="20">
        <f>$C138/4</f>
        <v>140165000</v>
      </c>
      <c r="AD146" s="21">
        <f t="shared" si="91"/>
        <v>110752600</v>
      </c>
      <c r="AE146" s="21">
        <f t="shared" si="92"/>
        <v>1178281500</v>
      </c>
      <c r="AF146" s="21">
        <f t="shared" si="89"/>
        <v>24136400</v>
      </c>
    </row>
    <row r="147" spans="1:32" x14ac:dyDescent="0.2">
      <c r="A147" t="s">
        <v>338</v>
      </c>
      <c r="B147" s="5" t="s">
        <v>95</v>
      </c>
      <c r="C147" s="22">
        <f>$C138</f>
        <v>560660000</v>
      </c>
      <c r="D147" s="22">
        <f>$D138</f>
        <v>387487000</v>
      </c>
      <c r="E147" s="22">
        <f>$E138</f>
        <v>359679000</v>
      </c>
      <c r="F147" s="23">
        <f t="shared" si="93"/>
        <v>20</v>
      </c>
      <c r="G147" s="4">
        <v>135043000</v>
      </c>
      <c r="I147" s="20">
        <f t="shared" si="88"/>
        <v>135043000</v>
      </c>
      <c r="J147" s="20">
        <f t="shared" si="90"/>
        <v>134889000</v>
      </c>
      <c r="K147" s="20">
        <f t="shared" si="94"/>
        <v>171502000</v>
      </c>
      <c r="L147" s="20">
        <f t="shared" si="95"/>
        <v>117555000</v>
      </c>
      <c r="M147" s="20">
        <f t="shared" si="96"/>
        <v>108781000</v>
      </c>
      <c r="N147" s="20">
        <f t="shared" si="97"/>
        <v>110040000</v>
      </c>
      <c r="O147" s="20">
        <f t="shared" si="98"/>
        <v>109283000</v>
      </c>
      <c r="P147" s="20">
        <f>G140</f>
        <v>105708000</v>
      </c>
      <c r="Q147" s="20">
        <f>G139</f>
        <v>99533000</v>
      </c>
      <c r="R147" s="20">
        <f>G138</f>
        <v>90100000</v>
      </c>
      <c r="S147" s="20">
        <f>$E138/4</f>
        <v>89919750</v>
      </c>
      <c r="T147" s="20">
        <f>$E138/4</f>
        <v>89919750</v>
      </c>
      <c r="U147" s="20">
        <f>$E138/4</f>
        <v>89919750</v>
      </c>
      <c r="V147" s="20">
        <f>$E138/4</f>
        <v>89919750</v>
      </c>
      <c r="W147" s="20">
        <f>$D138/4</f>
        <v>96871750</v>
      </c>
      <c r="X147" s="20">
        <f>$D138/4</f>
        <v>96871750</v>
      </c>
      <c r="Y147" s="20">
        <f>$D138/4</f>
        <v>96871750</v>
      </c>
      <c r="Z147" s="20">
        <f>$D138/4</f>
        <v>96871750</v>
      </c>
      <c r="AA147" s="20">
        <f>$C138/4</f>
        <v>140165000</v>
      </c>
      <c r="AB147" s="20">
        <f>$C138/4</f>
        <v>140165000</v>
      </c>
      <c r="AD147" s="21">
        <f t="shared" si="91"/>
        <v>110496500</v>
      </c>
      <c r="AE147" s="21">
        <f t="shared" si="92"/>
        <v>1202571900</v>
      </c>
      <c r="AF147" s="21">
        <f t="shared" si="89"/>
        <v>24546500</v>
      </c>
    </row>
    <row r="148" spans="1:32" x14ac:dyDescent="0.2">
      <c r="A148" t="s">
        <v>338</v>
      </c>
      <c r="B148" s="5" t="s">
        <v>94</v>
      </c>
      <c r="C148" s="22">
        <f>$C138</f>
        <v>560660000</v>
      </c>
      <c r="D148" s="22">
        <f>$D138</f>
        <v>387487000</v>
      </c>
      <c r="E148" s="22">
        <f>$E138</f>
        <v>359679000</v>
      </c>
      <c r="F148" s="23">
        <f t="shared" si="93"/>
        <v>20</v>
      </c>
      <c r="G148" s="4">
        <v>144191000</v>
      </c>
      <c r="I148" s="20">
        <f t="shared" si="88"/>
        <v>144191000</v>
      </c>
      <c r="J148" s="20">
        <f t="shared" si="90"/>
        <v>135043000</v>
      </c>
      <c r="K148" s="20">
        <f t="shared" si="94"/>
        <v>134889000</v>
      </c>
      <c r="L148" s="20">
        <f t="shared" si="95"/>
        <v>171502000</v>
      </c>
      <c r="M148" s="20">
        <f t="shared" si="96"/>
        <v>117555000</v>
      </c>
      <c r="N148" s="20">
        <f t="shared" si="97"/>
        <v>108781000</v>
      </c>
      <c r="O148" s="20">
        <f t="shared" si="98"/>
        <v>110040000</v>
      </c>
      <c r="P148" s="20">
        <f>G141</f>
        <v>109283000</v>
      </c>
      <c r="Q148" s="20">
        <f>G140</f>
        <v>105708000</v>
      </c>
      <c r="R148" s="20">
        <f>G139</f>
        <v>99533000</v>
      </c>
      <c r="S148" s="20">
        <f>G138</f>
        <v>90100000</v>
      </c>
      <c r="T148" s="20">
        <f>$E138/4</f>
        <v>89919750</v>
      </c>
      <c r="U148" s="20">
        <f>$E138/4</f>
        <v>89919750</v>
      </c>
      <c r="V148" s="20">
        <f>$E138/4</f>
        <v>89919750</v>
      </c>
      <c r="W148" s="20">
        <f>$E138/4</f>
        <v>89919750</v>
      </c>
      <c r="X148" s="20">
        <f>$D138/4</f>
        <v>96871750</v>
      </c>
      <c r="Y148" s="20">
        <f>$D138/4</f>
        <v>96871750</v>
      </c>
      <c r="Z148" s="20">
        <f>$D138/4</f>
        <v>96871750</v>
      </c>
      <c r="AA148" s="20">
        <f>$D138/4</f>
        <v>96871750</v>
      </c>
      <c r="AB148" s="20">
        <f>$C138/4</f>
        <v>140165000</v>
      </c>
      <c r="AD148" s="21">
        <f t="shared" si="91"/>
        <v>110697800</v>
      </c>
      <c r="AE148" s="21">
        <f t="shared" si="92"/>
        <v>1236266400</v>
      </c>
      <c r="AF148" s="21">
        <f t="shared" si="89"/>
        <v>33493200</v>
      </c>
    </row>
    <row r="149" spans="1:32" x14ac:dyDescent="0.2">
      <c r="A149" t="s">
        <v>338</v>
      </c>
      <c r="B149" s="5" t="s">
        <v>93</v>
      </c>
      <c r="C149" s="22">
        <f>$C138</f>
        <v>560660000</v>
      </c>
      <c r="D149" s="22">
        <f>$D138</f>
        <v>387487000</v>
      </c>
      <c r="E149" s="22">
        <f>$E138</f>
        <v>359679000</v>
      </c>
      <c r="F149" s="23">
        <f t="shared" si="93"/>
        <v>20</v>
      </c>
      <c r="G149" s="4">
        <v>143554000</v>
      </c>
      <c r="I149" s="20">
        <f t="shared" si="88"/>
        <v>143554000</v>
      </c>
      <c r="J149" s="20">
        <f t="shared" si="90"/>
        <v>144191000</v>
      </c>
      <c r="K149" s="20">
        <f t="shared" si="94"/>
        <v>135043000</v>
      </c>
      <c r="L149" s="20">
        <f t="shared" si="95"/>
        <v>134889000</v>
      </c>
      <c r="M149" s="20">
        <f t="shared" si="96"/>
        <v>171502000</v>
      </c>
      <c r="N149" s="20">
        <f t="shared" si="97"/>
        <v>117555000</v>
      </c>
      <c r="O149" s="20">
        <f t="shared" si="98"/>
        <v>108781000</v>
      </c>
      <c r="P149" s="20">
        <f>G142</f>
        <v>110040000</v>
      </c>
      <c r="Q149" s="20">
        <f>G141</f>
        <v>109283000</v>
      </c>
      <c r="R149" s="20">
        <f>G140</f>
        <v>105708000</v>
      </c>
      <c r="S149" s="20">
        <f>G139</f>
        <v>99533000</v>
      </c>
      <c r="T149" s="20">
        <f>G138</f>
        <v>90100000</v>
      </c>
      <c r="U149" s="20">
        <f>$E138/4</f>
        <v>89919750</v>
      </c>
      <c r="V149" s="20">
        <f>$E138/4</f>
        <v>89919750</v>
      </c>
      <c r="W149" s="20">
        <f>$E138/4</f>
        <v>89919750</v>
      </c>
      <c r="X149" s="20">
        <f>$E138/4</f>
        <v>89919750</v>
      </c>
      <c r="Y149" s="20">
        <f>$D138/4</f>
        <v>96871750</v>
      </c>
      <c r="Z149" s="20">
        <f>$D138/4</f>
        <v>96871750</v>
      </c>
      <c r="AA149" s="20">
        <f>$D138/4</f>
        <v>96871750</v>
      </c>
      <c r="AB149" s="20">
        <f>$D138/4</f>
        <v>96871750</v>
      </c>
      <c r="AD149" s="21">
        <f t="shared" si="91"/>
        <v>110867250</v>
      </c>
      <c r="AE149" s="21">
        <f t="shared" si="92"/>
        <v>1269122600</v>
      </c>
      <c r="AF149" s="21">
        <f t="shared" si="89"/>
        <v>32686750</v>
      </c>
    </row>
    <row r="152" spans="1:32" x14ac:dyDescent="0.2">
      <c r="B152" t="s">
        <v>354</v>
      </c>
    </row>
    <row r="153" spans="1:32" x14ac:dyDescent="0.2">
      <c r="B153" s="6" t="s">
        <v>107</v>
      </c>
      <c r="C153" s="6" t="s">
        <v>438</v>
      </c>
      <c r="D153" s="6" t="s">
        <v>439</v>
      </c>
      <c r="E153" s="6" t="s">
        <v>440</v>
      </c>
      <c r="F153" s="6" t="s">
        <v>441</v>
      </c>
      <c r="G153" s="6" t="s">
        <v>442</v>
      </c>
      <c r="H153" s="15"/>
      <c r="I153" s="6" t="s">
        <v>443</v>
      </c>
      <c r="J153" s="6" t="s">
        <v>444</v>
      </c>
      <c r="K153" s="6" t="s">
        <v>445</v>
      </c>
      <c r="L153" s="6" t="s">
        <v>446</v>
      </c>
      <c r="M153" s="6" t="s">
        <v>447</v>
      </c>
      <c r="N153" s="6" t="s">
        <v>448</v>
      </c>
      <c r="O153" s="6" t="s">
        <v>449</v>
      </c>
      <c r="P153" s="6" t="s">
        <v>450</v>
      </c>
      <c r="Q153" s="6" t="s">
        <v>451</v>
      </c>
      <c r="R153" s="6" t="s">
        <v>452</v>
      </c>
      <c r="S153" s="6" t="s">
        <v>453</v>
      </c>
      <c r="T153" s="6" t="s">
        <v>454</v>
      </c>
      <c r="U153" s="6" t="s">
        <v>455</v>
      </c>
      <c r="V153" s="6" t="s">
        <v>456</v>
      </c>
      <c r="W153" s="6" t="s">
        <v>457</v>
      </c>
      <c r="X153" s="6" t="s">
        <v>458</v>
      </c>
      <c r="Y153" s="6" t="s">
        <v>459</v>
      </c>
      <c r="Z153" s="6" t="s">
        <v>460</v>
      </c>
      <c r="AA153" s="6" t="s">
        <v>461</v>
      </c>
      <c r="AB153" s="6" t="s">
        <v>462</v>
      </c>
      <c r="AC153" s="15"/>
      <c r="AD153" s="6" t="s">
        <v>106</v>
      </c>
      <c r="AE153" s="6" t="s">
        <v>105</v>
      </c>
      <c r="AF153" s="6" t="s">
        <v>463</v>
      </c>
    </row>
    <row r="154" spans="1:32" x14ac:dyDescent="0.2">
      <c r="B154" s="16" t="s">
        <v>464</v>
      </c>
      <c r="I154" s="17">
        <v>20</v>
      </c>
      <c r="J154" s="17">
        <v>19</v>
      </c>
      <c r="K154" s="17">
        <v>18</v>
      </c>
      <c r="L154" s="17">
        <v>17</v>
      </c>
      <c r="M154" s="17">
        <v>16</v>
      </c>
      <c r="N154" s="17">
        <v>15</v>
      </c>
      <c r="O154" s="17">
        <v>14</v>
      </c>
      <c r="P154" s="17">
        <v>13</v>
      </c>
      <c r="Q154" s="17">
        <v>12</v>
      </c>
      <c r="R154" s="17">
        <v>11</v>
      </c>
      <c r="S154" s="17">
        <v>10</v>
      </c>
      <c r="T154" s="17">
        <v>9</v>
      </c>
      <c r="U154" s="17">
        <v>8</v>
      </c>
      <c r="V154" s="17">
        <v>7</v>
      </c>
      <c r="W154" s="17">
        <v>6</v>
      </c>
      <c r="X154" s="17">
        <v>5</v>
      </c>
      <c r="Y154" s="17">
        <v>4</v>
      </c>
      <c r="Z154" s="17">
        <v>3</v>
      </c>
      <c r="AA154" s="17">
        <v>2</v>
      </c>
      <c r="AB154" s="17">
        <v>1</v>
      </c>
    </row>
    <row r="155" spans="1:32" x14ac:dyDescent="0.2">
      <c r="A155" t="s">
        <v>354</v>
      </c>
      <c r="B155" s="5" t="s">
        <v>104</v>
      </c>
      <c r="C155" s="4">
        <v>1415000000</v>
      </c>
      <c r="D155" s="4">
        <v>1686000000</v>
      </c>
      <c r="E155" s="4">
        <v>1814000000</v>
      </c>
      <c r="F155" s="19">
        <v>20</v>
      </c>
      <c r="G155" s="4">
        <v>472000000</v>
      </c>
      <c r="I155" s="20">
        <f t="shared" ref="I155:I166" si="99">G155</f>
        <v>472000000</v>
      </c>
      <c r="J155" s="20">
        <f>$E155/4</f>
        <v>453500000</v>
      </c>
      <c r="K155" s="20">
        <f>$E155/4</f>
        <v>453500000</v>
      </c>
      <c r="L155" s="20">
        <f>$E155/4</f>
        <v>453500000</v>
      </c>
      <c r="M155" s="20">
        <f>$E155/4</f>
        <v>453500000</v>
      </c>
      <c r="N155" s="20">
        <f>$D155/4</f>
        <v>421500000</v>
      </c>
      <c r="O155" s="20">
        <f>$D155/4</f>
        <v>421500000</v>
      </c>
      <c r="P155" s="20">
        <f>$D155/4</f>
        <v>421500000</v>
      </c>
      <c r="Q155" s="20">
        <f>$D155/4</f>
        <v>421500000</v>
      </c>
      <c r="R155" s="20">
        <f>$C155/4</f>
        <v>353750000</v>
      </c>
      <c r="S155" s="20">
        <f>$C155/4</f>
        <v>353750000</v>
      </c>
      <c r="T155" s="20">
        <f>$C155/4</f>
        <v>353750000</v>
      </c>
      <c r="U155" s="20">
        <f>$C155/4</f>
        <v>353750000</v>
      </c>
      <c r="V155" s="20">
        <v>0</v>
      </c>
      <c r="W155" s="20">
        <v>0</v>
      </c>
      <c r="X155" s="20">
        <v>0</v>
      </c>
      <c r="Y155" s="20">
        <v>0</v>
      </c>
      <c r="Z155" s="20">
        <v>0</v>
      </c>
      <c r="AA155" s="20">
        <v>0</v>
      </c>
      <c r="AB155" s="20">
        <v>0</v>
      </c>
      <c r="AD155" s="21">
        <f>SUM(I155:AB155)/$F155</f>
        <v>269350000</v>
      </c>
      <c r="AE155" s="21">
        <f>SUMPRODUCT($I$154:$AB$154,I155:AB155)/$F155</f>
        <v>3869425000</v>
      </c>
      <c r="AF155" s="21">
        <f t="shared" ref="AF155:AF166" si="100">G155-AD155</f>
        <v>202650000</v>
      </c>
    </row>
    <row r="156" spans="1:32" x14ac:dyDescent="0.2">
      <c r="A156" t="s">
        <v>354</v>
      </c>
      <c r="B156" s="5" t="s">
        <v>103</v>
      </c>
      <c r="C156" s="22">
        <f>$C155</f>
        <v>1415000000</v>
      </c>
      <c r="D156" s="22">
        <f>$D155</f>
        <v>1686000000</v>
      </c>
      <c r="E156" s="22">
        <f>$E155</f>
        <v>1814000000</v>
      </c>
      <c r="F156" s="23">
        <f>$F$155</f>
        <v>20</v>
      </c>
      <c r="G156" s="4">
        <v>528000000</v>
      </c>
      <c r="I156" s="20">
        <f t="shared" si="99"/>
        <v>528000000</v>
      </c>
      <c r="J156" s="20">
        <f t="shared" ref="J156:J166" si="101">G155</f>
        <v>472000000</v>
      </c>
      <c r="K156" s="20">
        <f>$E155/4</f>
        <v>453500000</v>
      </c>
      <c r="L156" s="20">
        <f>$E155/4</f>
        <v>453500000</v>
      </c>
      <c r="M156" s="20">
        <f>$E155/4</f>
        <v>453500000</v>
      </c>
      <c r="N156" s="20">
        <f>$E155/4</f>
        <v>453500000</v>
      </c>
      <c r="O156" s="20">
        <f>$D155/4</f>
        <v>421500000</v>
      </c>
      <c r="P156" s="20">
        <f>$D155/4</f>
        <v>421500000</v>
      </c>
      <c r="Q156" s="20">
        <f>$D155/4</f>
        <v>421500000</v>
      </c>
      <c r="R156" s="20">
        <f>$D155/4</f>
        <v>421500000</v>
      </c>
      <c r="S156" s="20">
        <f>$C155/4</f>
        <v>353750000</v>
      </c>
      <c r="T156" s="20">
        <f>$C155/4</f>
        <v>353750000</v>
      </c>
      <c r="U156" s="20">
        <f>$C155/4</f>
        <v>353750000</v>
      </c>
      <c r="V156" s="20">
        <f>$C155/4</f>
        <v>353750000</v>
      </c>
      <c r="W156" s="20">
        <v>0</v>
      </c>
      <c r="X156" s="20">
        <v>0</v>
      </c>
      <c r="Y156" s="20">
        <v>0</v>
      </c>
      <c r="Z156" s="20">
        <v>0</v>
      </c>
      <c r="AA156" s="20">
        <v>0</v>
      </c>
      <c r="AB156" s="20">
        <v>0</v>
      </c>
      <c r="AD156" s="21">
        <f t="shared" ref="AD156:AD166" si="102">SUM(I156:AB156)/$F156</f>
        <v>295750000</v>
      </c>
      <c r="AE156" s="21">
        <f t="shared" ref="AE156:AE166" si="103">SUMPRODUCT($I$154:$AB$154,I156:AB156)/$F156</f>
        <v>4128075000</v>
      </c>
      <c r="AF156" s="21">
        <f t="shared" si="100"/>
        <v>232250000</v>
      </c>
    </row>
    <row r="157" spans="1:32" x14ac:dyDescent="0.2">
      <c r="A157" t="s">
        <v>354</v>
      </c>
      <c r="B157" s="5" t="s">
        <v>102</v>
      </c>
      <c r="C157" s="22">
        <f>$C155</f>
        <v>1415000000</v>
      </c>
      <c r="D157" s="22">
        <f>$D155</f>
        <v>1686000000</v>
      </c>
      <c r="E157" s="22">
        <f>$E155</f>
        <v>1814000000</v>
      </c>
      <c r="F157" s="23">
        <f t="shared" ref="F157:F166" si="104">$F$155</f>
        <v>20</v>
      </c>
      <c r="G157" s="4">
        <v>554000000</v>
      </c>
      <c r="I157" s="20">
        <f t="shared" si="99"/>
        <v>554000000</v>
      </c>
      <c r="J157" s="20">
        <f t="shared" si="101"/>
        <v>528000000</v>
      </c>
      <c r="K157" s="20">
        <f t="shared" ref="K157:K166" si="105">G155</f>
        <v>472000000</v>
      </c>
      <c r="L157" s="20">
        <f>$E155/4</f>
        <v>453500000</v>
      </c>
      <c r="M157" s="20">
        <f>$E155/4</f>
        <v>453500000</v>
      </c>
      <c r="N157" s="20">
        <f>$E155/4</f>
        <v>453500000</v>
      </c>
      <c r="O157" s="20">
        <f>$E155/4</f>
        <v>453500000</v>
      </c>
      <c r="P157" s="20">
        <f>$D155/4</f>
        <v>421500000</v>
      </c>
      <c r="Q157" s="20">
        <f>$D155/4</f>
        <v>421500000</v>
      </c>
      <c r="R157" s="20">
        <f>$D155/4</f>
        <v>421500000</v>
      </c>
      <c r="S157" s="20">
        <f>$D155/4</f>
        <v>421500000</v>
      </c>
      <c r="T157" s="20">
        <f>$C155/4</f>
        <v>353750000</v>
      </c>
      <c r="U157" s="20">
        <f>$C155/4</f>
        <v>353750000</v>
      </c>
      <c r="V157" s="20">
        <f>$C155/4</f>
        <v>353750000</v>
      </c>
      <c r="W157" s="20">
        <f>$C155/4</f>
        <v>353750000</v>
      </c>
      <c r="X157" s="20">
        <v>0</v>
      </c>
      <c r="Y157" s="20">
        <v>0</v>
      </c>
      <c r="Z157" s="20">
        <v>0</v>
      </c>
      <c r="AA157" s="20">
        <v>0</v>
      </c>
      <c r="AB157" s="20">
        <v>0</v>
      </c>
      <c r="AD157" s="21">
        <f t="shared" si="102"/>
        <v>323450000</v>
      </c>
      <c r="AE157" s="21">
        <f t="shared" si="103"/>
        <v>4386325000</v>
      </c>
      <c r="AF157" s="21">
        <f t="shared" si="100"/>
        <v>230550000</v>
      </c>
    </row>
    <row r="158" spans="1:32" x14ac:dyDescent="0.2">
      <c r="A158" t="s">
        <v>354</v>
      </c>
      <c r="B158" s="5" t="s">
        <v>101</v>
      </c>
      <c r="C158" s="22">
        <f>$C155</f>
        <v>1415000000</v>
      </c>
      <c r="D158" s="22">
        <f>$D155</f>
        <v>1686000000</v>
      </c>
      <c r="E158" s="22">
        <f>$E155</f>
        <v>1814000000</v>
      </c>
      <c r="F158" s="23">
        <f t="shared" si="104"/>
        <v>20</v>
      </c>
      <c r="G158" s="4">
        <v>554000000</v>
      </c>
      <c r="I158" s="20">
        <f t="shared" si="99"/>
        <v>554000000</v>
      </c>
      <c r="J158" s="20">
        <f t="shared" si="101"/>
        <v>554000000</v>
      </c>
      <c r="K158" s="20">
        <f t="shared" si="105"/>
        <v>528000000</v>
      </c>
      <c r="L158" s="20">
        <f t="shared" ref="L158:L166" si="106">G155</f>
        <v>472000000</v>
      </c>
      <c r="M158" s="20">
        <f>$E155/4</f>
        <v>453500000</v>
      </c>
      <c r="N158" s="20">
        <f>$E155/4</f>
        <v>453500000</v>
      </c>
      <c r="O158" s="20">
        <f>$E155/4</f>
        <v>453500000</v>
      </c>
      <c r="P158" s="20">
        <f>$E155/4</f>
        <v>453500000</v>
      </c>
      <c r="Q158" s="20">
        <f>$D155/4</f>
        <v>421500000</v>
      </c>
      <c r="R158" s="20">
        <f>$D155/4</f>
        <v>421500000</v>
      </c>
      <c r="S158" s="20">
        <f>$D155/4</f>
        <v>421500000</v>
      </c>
      <c r="T158" s="20">
        <f>$D155/4</f>
        <v>421500000</v>
      </c>
      <c r="U158" s="20">
        <f>$C155/4</f>
        <v>353750000</v>
      </c>
      <c r="V158" s="20">
        <f>$C155/4</f>
        <v>353750000</v>
      </c>
      <c r="W158" s="20">
        <f>$C155/4</f>
        <v>353750000</v>
      </c>
      <c r="X158" s="20">
        <f>$C155/4</f>
        <v>353750000</v>
      </c>
      <c r="Y158" s="20">
        <v>0</v>
      </c>
      <c r="Z158" s="20">
        <v>0</v>
      </c>
      <c r="AA158" s="20">
        <v>0</v>
      </c>
      <c r="AB158" s="20">
        <v>0</v>
      </c>
      <c r="AD158" s="21">
        <f t="shared" si="102"/>
        <v>351150000</v>
      </c>
      <c r="AE158" s="21">
        <f t="shared" si="103"/>
        <v>4616875000</v>
      </c>
      <c r="AF158" s="21">
        <f t="shared" si="100"/>
        <v>202850000</v>
      </c>
    </row>
    <row r="159" spans="1:32" x14ac:dyDescent="0.2">
      <c r="A159" t="s">
        <v>354</v>
      </c>
      <c r="B159" s="5" t="s">
        <v>100</v>
      </c>
      <c r="C159" s="22">
        <f>$C155</f>
        <v>1415000000</v>
      </c>
      <c r="D159" s="22">
        <f>$D155</f>
        <v>1686000000</v>
      </c>
      <c r="E159" s="22">
        <f>$E155</f>
        <v>1814000000</v>
      </c>
      <c r="F159" s="23">
        <f t="shared" si="104"/>
        <v>20</v>
      </c>
      <c r="G159" s="4">
        <v>520000000</v>
      </c>
      <c r="I159" s="20">
        <f t="shared" si="99"/>
        <v>520000000</v>
      </c>
      <c r="J159" s="20">
        <f t="shared" si="101"/>
        <v>554000000</v>
      </c>
      <c r="K159" s="20">
        <f t="shared" si="105"/>
        <v>554000000</v>
      </c>
      <c r="L159" s="20">
        <f t="shared" si="106"/>
        <v>528000000</v>
      </c>
      <c r="M159" s="20">
        <f t="shared" ref="M159:M166" si="107">G155</f>
        <v>472000000</v>
      </c>
      <c r="N159" s="20">
        <f>$E155/4</f>
        <v>453500000</v>
      </c>
      <c r="O159" s="20">
        <f>$E155/4</f>
        <v>453500000</v>
      </c>
      <c r="P159" s="20">
        <f>$E155/4</f>
        <v>453500000</v>
      </c>
      <c r="Q159" s="20">
        <f>$E155/4</f>
        <v>453500000</v>
      </c>
      <c r="R159" s="20">
        <f>$D155/4</f>
        <v>421500000</v>
      </c>
      <c r="S159" s="20">
        <f>$D155/4</f>
        <v>421500000</v>
      </c>
      <c r="T159" s="20">
        <f>$D155/4</f>
        <v>421500000</v>
      </c>
      <c r="U159" s="20">
        <f>$D155/4</f>
        <v>421500000</v>
      </c>
      <c r="V159" s="20">
        <f>$C155/4</f>
        <v>353750000</v>
      </c>
      <c r="W159" s="20">
        <f>$C155/4</f>
        <v>353750000</v>
      </c>
      <c r="X159" s="20">
        <f>$C155/4</f>
        <v>353750000</v>
      </c>
      <c r="Y159" s="20">
        <f>$C155/4</f>
        <v>353750000</v>
      </c>
      <c r="Z159" s="20">
        <v>0</v>
      </c>
      <c r="AA159" s="20">
        <v>0</v>
      </c>
      <c r="AB159" s="20">
        <v>0</v>
      </c>
      <c r="AD159" s="21">
        <f t="shared" si="102"/>
        <v>377150000</v>
      </c>
      <c r="AE159" s="21">
        <f t="shared" si="103"/>
        <v>4785725000</v>
      </c>
      <c r="AF159" s="21">
        <f t="shared" si="100"/>
        <v>142850000</v>
      </c>
    </row>
    <row r="160" spans="1:32" x14ac:dyDescent="0.2">
      <c r="A160" t="s">
        <v>354</v>
      </c>
      <c r="B160" s="5" t="s">
        <v>99</v>
      </c>
      <c r="C160" s="22">
        <f>$C155</f>
        <v>1415000000</v>
      </c>
      <c r="D160" s="22">
        <f>$D155</f>
        <v>1686000000</v>
      </c>
      <c r="E160" s="22">
        <f>$E155</f>
        <v>1814000000</v>
      </c>
      <c r="F160" s="23">
        <f t="shared" si="104"/>
        <v>20</v>
      </c>
      <c r="G160" s="4">
        <v>535000000</v>
      </c>
      <c r="I160" s="20">
        <f t="shared" si="99"/>
        <v>535000000</v>
      </c>
      <c r="J160" s="20">
        <f t="shared" si="101"/>
        <v>520000000</v>
      </c>
      <c r="K160" s="20">
        <f t="shared" si="105"/>
        <v>554000000</v>
      </c>
      <c r="L160" s="20">
        <f t="shared" si="106"/>
        <v>554000000</v>
      </c>
      <c r="M160" s="20">
        <f t="shared" si="107"/>
        <v>528000000</v>
      </c>
      <c r="N160" s="20">
        <f t="shared" ref="N160:N166" si="108">G155</f>
        <v>472000000</v>
      </c>
      <c r="O160" s="20">
        <f>$E155/4</f>
        <v>453500000</v>
      </c>
      <c r="P160" s="20">
        <f>$E155/4</f>
        <v>453500000</v>
      </c>
      <c r="Q160" s="20">
        <f>$E155/4</f>
        <v>453500000</v>
      </c>
      <c r="R160" s="20">
        <f>$E155/4</f>
        <v>453500000</v>
      </c>
      <c r="S160" s="20">
        <f>$D155/4</f>
        <v>421500000</v>
      </c>
      <c r="T160" s="20">
        <f>$D155/4</f>
        <v>421500000</v>
      </c>
      <c r="U160" s="20">
        <f>$D155/4</f>
        <v>421500000</v>
      </c>
      <c r="V160" s="20">
        <f>$D155/4</f>
        <v>421500000</v>
      </c>
      <c r="W160" s="20">
        <f>$C155/4</f>
        <v>353750000</v>
      </c>
      <c r="X160" s="20">
        <f>$C155/4</f>
        <v>353750000</v>
      </c>
      <c r="Y160" s="20">
        <f>$C155/4</f>
        <v>353750000</v>
      </c>
      <c r="Z160" s="20">
        <f>$C155/4</f>
        <v>353750000</v>
      </c>
      <c r="AA160" s="20">
        <v>0</v>
      </c>
      <c r="AB160" s="20">
        <v>0</v>
      </c>
      <c r="AD160" s="21">
        <f t="shared" si="102"/>
        <v>403900000</v>
      </c>
      <c r="AE160" s="21">
        <f t="shared" si="103"/>
        <v>4943575000</v>
      </c>
      <c r="AF160" s="21">
        <f t="shared" si="100"/>
        <v>131100000</v>
      </c>
    </row>
    <row r="161" spans="1:32" x14ac:dyDescent="0.2">
      <c r="A161" t="s">
        <v>354</v>
      </c>
      <c r="B161" s="5" t="s">
        <v>98</v>
      </c>
      <c r="C161" s="22">
        <f>$C155</f>
        <v>1415000000</v>
      </c>
      <c r="D161" s="22">
        <f>$D155</f>
        <v>1686000000</v>
      </c>
      <c r="E161" s="22">
        <f>$E155</f>
        <v>1814000000</v>
      </c>
      <c r="F161" s="23">
        <f t="shared" si="104"/>
        <v>20</v>
      </c>
      <c r="G161" s="4">
        <v>533000000</v>
      </c>
      <c r="I161" s="20">
        <f t="shared" si="99"/>
        <v>533000000</v>
      </c>
      <c r="J161" s="20">
        <f t="shared" si="101"/>
        <v>535000000</v>
      </c>
      <c r="K161" s="20">
        <f t="shared" si="105"/>
        <v>520000000</v>
      </c>
      <c r="L161" s="20">
        <f t="shared" si="106"/>
        <v>554000000</v>
      </c>
      <c r="M161" s="20">
        <f t="shared" si="107"/>
        <v>554000000</v>
      </c>
      <c r="N161" s="20">
        <f t="shared" si="108"/>
        <v>528000000</v>
      </c>
      <c r="O161" s="20">
        <f t="shared" ref="O161:O166" si="109">G155</f>
        <v>472000000</v>
      </c>
      <c r="P161" s="20">
        <f>$E155/4</f>
        <v>453500000</v>
      </c>
      <c r="Q161" s="20">
        <f>$E155/4</f>
        <v>453500000</v>
      </c>
      <c r="R161" s="20">
        <f>$E155/4</f>
        <v>453500000</v>
      </c>
      <c r="S161" s="20">
        <f>$E155/4</f>
        <v>453500000</v>
      </c>
      <c r="T161" s="20">
        <f>$D155/4</f>
        <v>421500000</v>
      </c>
      <c r="U161" s="20">
        <f>$D155/4</f>
        <v>421500000</v>
      </c>
      <c r="V161" s="20">
        <f>$D155/4</f>
        <v>421500000</v>
      </c>
      <c r="W161" s="20">
        <f>$D155/4</f>
        <v>421500000</v>
      </c>
      <c r="X161" s="20">
        <f>$C155/4</f>
        <v>353750000</v>
      </c>
      <c r="Y161" s="20">
        <f>$C155/4</f>
        <v>353750000</v>
      </c>
      <c r="Z161" s="20">
        <f>$C155/4</f>
        <v>353750000</v>
      </c>
      <c r="AA161" s="20">
        <f>$C155/4</f>
        <v>353750000</v>
      </c>
      <c r="AB161" s="20">
        <v>0</v>
      </c>
      <c r="AD161" s="21">
        <f t="shared" si="102"/>
        <v>430550000</v>
      </c>
      <c r="AE161" s="21">
        <f t="shared" si="103"/>
        <v>5072675000</v>
      </c>
      <c r="AF161" s="21">
        <f t="shared" si="100"/>
        <v>102450000</v>
      </c>
    </row>
    <row r="162" spans="1:32" x14ac:dyDescent="0.2">
      <c r="A162" t="s">
        <v>354</v>
      </c>
      <c r="B162" s="5" t="s">
        <v>97</v>
      </c>
      <c r="C162" s="22">
        <f>$C155</f>
        <v>1415000000</v>
      </c>
      <c r="D162" s="22">
        <f>$D155</f>
        <v>1686000000</v>
      </c>
      <c r="E162" s="22">
        <f>$E155</f>
        <v>1814000000</v>
      </c>
      <c r="F162" s="23">
        <f t="shared" si="104"/>
        <v>20</v>
      </c>
      <c r="G162" s="4">
        <v>519000000</v>
      </c>
      <c r="I162" s="20">
        <f t="shared" si="99"/>
        <v>519000000</v>
      </c>
      <c r="J162" s="20">
        <f t="shared" si="101"/>
        <v>533000000</v>
      </c>
      <c r="K162" s="20">
        <f t="shared" si="105"/>
        <v>535000000</v>
      </c>
      <c r="L162" s="20">
        <f t="shared" si="106"/>
        <v>520000000</v>
      </c>
      <c r="M162" s="20">
        <f t="shared" si="107"/>
        <v>554000000</v>
      </c>
      <c r="N162" s="20">
        <f t="shared" si="108"/>
        <v>554000000</v>
      </c>
      <c r="O162" s="20">
        <f t="shared" si="109"/>
        <v>528000000</v>
      </c>
      <c r="P162" s="20">
        <f>G155</f>
        <v>472000000</v>
      </c>
      <c r="Q162" s="20">
        <f>$E155/4</f>
        <v>453500000</v>
      </c>
      <c r="R162" s="20">
        <f>$E155/4</f>
        <v>453500000</v>
      </c>
      <c r="S162" s="20">
        <f>$E155/4</f>
        <v>453500000</v>
      </c>
      <c r="T162" s="20">
        <f>$E155/4</f>
        <v>453500000</v>
      </c>
      <c r="U162" s="20">
        <f>$D155/4</f>
        <v>421500000</v>
      </c>
      <c r="V162" s="20">
        <f>$D155/4</f>
        <v>421500000</v>
      </c>
      <c r="W162" s="20">
        <f>$D155/4</f>
        <v>421500000</v>
      </c>
      <c r="X162" s="20">
        <f>$D155/4</f>
        <v>421500000</v>
      </c>
      <c r="Y162" s="20">
        <f>$C155/4</f>
        <v>353750000</v>
      </c>
      <c r="Z162" s="20">
        <f>$C155/4</f>
        <v>353750000</v>
      </c>
      <c r="AA162" s="20">
        <f>$C155/4</f>
        <v>353750000</v>
      </c>
      <c r="AB162" s="20">
        <f>$C155/4</f>
        <v>353750000</v>
      </c>
      <c r="AD162" s="21">
        <f t="shared" si="102"/>
        <v>456500000</v>
      </c>
      <c r="AE162" s="21">
        <f t="shared" si="103"/>
        <v>5161125000</v>
      </c>
      <c r="AF162" s="21">
        <f t="shared" si="100"/>
        <v>62500000</v>
      </c>
    </row>
    <row r="163" spans="1:32" x14ac:dyDescent="0.2">
      <c r="A163" t="s">
        <v>354</v>
      </c>
      <c r="B163" s="5" t="s">
        <v>96</v>
      </c>
      <c r="C163" s="22">
        <f>$C155</f>
        <v>1415000000</v>
      </c>
      <c r="D163" s="22">
        <f>$D155</f>
        <v>1686000000</v>
      </c>
      <c r="E163" s="22">
        <f>$E155</f>
        <v>1814000000</v>
      </c>
      <c r="F163" s="23">
        <f t="shared" si="104"/>
        <v>20</v>
      </c>
      <c r="G163" s="4">
        <v>480000000</v>
      </c>
      <c r="I163" s="20">
        <f t="shared" si="99"/>
        <v>480000000</v>
      </c>
      <c r="J163" s="20">
        <f t="shared" si="101"/>
        <v>519000000</v>
      </c>
      <c r="K163" s="20">
        <f t="shared" si="105"/>
        <v>533000000</v>
      </c>
      <c r="L163" s="20">
        <f t="shared" si="106"/>
        <v>535000000</v>
      </c>
      <c r="M163" s="20">
        <f t="shared" si="107"/>
        <v>520000000</v>
      </c>
      <c r="N163" s="20">
        <f t="shared" si="108"/>
        <v>554000000</v>
      </c>
      <c r="O163" s="20">
        <f t="shared" si="109"/>
        <v>554000000</v>
      </c>
      <c r="P163" s="20">
        <f>G156</f>
        <v>528000000</v>
      </c>
      <c r="Q163" s="20">
        <f>G155</f>
        <v>472000000</v>
      </c>
      <c r="R163" s="20">
        <f>$E155/4</f>
        <v>453500000</v>
      </c>
      <c r="S163" s="20">
        <f>$E155/4</f>
        <v>453500000</v>
      </c>
      <c r="T163" s="20">
        <f>$E155/4</f>
        <v>453500000</v>
      </c>
      <c r="U163" s="20">
        <f>$E155/4</f>
        <v>453500000</v>
      </c>
      <c r="V163" s="20">
        <f>$D155/4</f>
        <v>421500000</v>
      </c>
      <c r="W163" s="20">
        <f>$D155/4</f>
        <v>421500000</v>
      </c>
      <c r="X163" s="20">
        <f>$D155/4</f>
        <v>421500000</v>
      </c>
      <c r="Y163" s="20">
        <f>$D155/4</f>
        <v>421500000</v>
      </c>
      <c r="Z163" s="20">
        <f>$C155/4</f>
        <v>353750000</v>
      </c>
      <c r="AA163" s="20">
        <f>$C155/4</f>
        <v>353750000</v>
      </c>
      <c r="AB163" s="20">
        <f>$C155/4</f>
        <v>353750000</v>
      </c>
      <c r="AD163" s="21">
        <f t="shared" si="102"/>
        <v>462812500</v>
      </c>
      <c r="AE163" s="21">
        <f t="shared" si="103"/>
        <v>5184625000</v>
      </c>
      <c r="AF163" s="21">
        <f t="shared" si="100"/>
        <v>17187500</v>
      </c>
    </row>
    <row r="164" spans="1:32" x14ac:dyDescent="0.2">
      <c r="A164" t="s">
        <v>354</v>
      </c>
      <c r="B164" s="5" t="s">
        <v>95</v>
      </c>
      <c r="C164" s="22">
        <f>$C155</f>
        <v>1415000000</v>
      </c>
      <c r="D164" s="22">
        <f>$D155</f>
        <v>1686000000</v>
      </c>
      <c r="E164" s="22">
        <f>$E155</f>
        <v>1814000000</v>
      </c>
      <c r="F164" s="23">
        <f t="shared" si="104"/>
        <v>20</v>
      </c>
      <c r="G164" s="4">
        <v>551000000</v>
      </c>
      <c r="I164" s="20">
        <f t="shared" si="99"/>
        <v>551000000</v>
      </c>
      <c r="J164" s="20">
        <f t="shared" si="101"/>
        <v>480000000</v>
      </c>
      <c r="K164" s="20">
        <f t="shared" si="105"/>
        <v>519000000</v>
      </c>
      <c r="L164" s="20">
        <f t="shared" si="106"/>
        <v>533000000</v>
      </c>
      <c r="M164" s="20">
        <f t="shared" si="107"/>
        <v>535000000</v>
      </c>
      <c r="N164" s="20">
        <f t="shared" si="108"/>
        <v>520000000</v>
      </c>
      <c r="O164" s="20">
        <f t="shared" si="109"/>
        <v>554000000</v>
      </c>
      <c r="P164" s="20">
        <f>G157</f>
        <v>554000000</v>
      </c>
      <c r="Q164" s="20">
        <f>G156</f>
        <v>528000000</v>
      </c>
      <c r="R164" s="20">
        <f>G155</f>
        <v>472000000</v>
      </c>
      <c r="S164" s="20">
        <f>$E155/4</f>
        <v>453500000</v>
      </c>
      <c r="T164" s="20">
        <f>$E155/4</f>
        <v>453500000</v>
      </c>
      <c r="U164" s="20">
        <f>$E155/4</f>
        <v>453500000</v>
      </c>
      <c r="V164" s="20">
        <f>$E155/4</f>
        <v>453500000</v>
      </c>
      <c r="W164" s="20">
        <f>$D155/4</f>
        <v>421500000</v>
      </c>
      <c r="X164" s="20">
        <f>$D155/4</f>
        <v>421500000</v>
      </c>
      <c r="Y164" s="20">
        <f>$D155/4</f>
        <v>421500000</v>
      </c>
      <c r="Z164" s="20">
        <f>$D155/4</f>
        <v>421500000</v>
      </c>
      <c r="AA164" s="20">
        <f>$C155/4</f>
        <v>353750000</v>
      </c>
      <c r="AB164" s="20">
        <f>$C155/4</f>
        <v>353750000</v>
      </c>
      <c r="AD164" s="21">
        <f t="shared" si="102"/>
        <v>472675000</v>
      </c>
      <c r="AE164" s="21">
        <f t="shared" si="103"/>
        <v>5272812500</v>
      </c>
      <c r="AF164" s="21">
        <f t="shared" si="100"/>
        <v>78325000</v>
      </c>
    </row>
    <row r="165" spans="1:32" x14ac:dyDescent="0.2">
      <c r="A165" t="s">
        <v>354</v>
      </c>
      <c r="B165" s="5" t="s">
        <v>94</v>
      </c>
      <c r="C165" s="22">
        <f>$C155</f>
        <v>1415000000</v>
      </c>
      <c r="D165" s="22">
        <f>$D155</f>
        <v>1686000000</v>
      </c>
      <c r="E165" s="22">
        <f>$E155</f>
        <v>1814000000</v>
      </c>
      <c r="F165" s="23">
        <f t="shared" si="104"/>
        <v>20</v>
      </c>
      <c r="G165" s="4">
        <v>555000000</v>
      </c>
      <c r="I165" s="20">
        <f t="shared" si="99"/>
        <v>555000000</v>
      </c>
      <c r="J165" s="20">
        <f t="shared" si="101"/>
        <v>551000000</v>
      </c>
      <c r="K165" s="20">
        <f t="shared" si="105"/>
        <v>480000000</v>
      </c>
      <c r="L165" s="20">
        <f t="shared" si="106"/>
        <v>519000000</v>
      </c>
      <c r="M165" s="20">
        <f t="shared" si="107"/>
        <v>533000000</v>
      </c>
      <c r="N165" s="20">
        <f t="shared" si="108"/>
        <v>535000000</v>
      </c>
      <c r="O165" s="20">
        <f t="shared" si="109"/>
        <v>520000000</v>
      </c>
      <c r="P165" s="20">
        <f>G158</f>
        <v>554000000</v>
      </c>
      <c r="Q165" s="20">
        <f>G157</f>
        <v>554000000</v>
      </c>
      <c r="R165" s="20">
        <f>G156</f>
        <v>528000000</v>
      </c>
      <c r="S165" s="20">
        <f>G155</f>
        <v>472000000</v>
      </c>
      <c r="T165" s="20">
        <f>$E155/4</f>
        <v>453500000</v>
      </c>
      <c r="U165" s="20">
        <f>$E155/4</f>
        <v>453500000</v>
      </c>
      <c r="V165" s="20">
        <f>$E155/4</f>
        <v>453500000</v>
      </c>
      <c r="W165" s="20">
        <f>$E155/4</f>
        <v>453500000</v>
      </c>
      <c r="X165" s="20">
        <f>$D155/4</f>
        <v>421500000</v>
      </c>
      <c r="Y165" s="20">
        <f>$D155/4</f>
        <v>421500000</v>
      </c>
      <c r="Z165" s="20">
        <f>$D155/4</f>
        <v>421500000</v>
      </c>
      <c r="AA165" s="20">
        <f>$D155/4</f>
        <v>421500000</v>
      </c>
      <c r="AB165" s="20">
        <f>$C155/4</f>
        <v>353750000</v>
      </c>
      <c r="AD165" s="21">
        <f t="shared" si="102"/>
        <v>482737500</v>
      </c>
      <c r="AE165" s="21">
        <f t="shared" si="103"/>
        <v>5355137500</v>
      </c>
      <c r="AF165" s="21">
        <f t="shared" si="100"/>
        <v>72262500</v>
      </c>
    </row>
    <row r="166" spans="1:32" x14ac:dyDescent="0.2">
      <c r="A166" t="s">
        <v>354</v>
      </c>
      <c r="B166" s="5" t="s">
        <v>93</v>
      </c>
      <c r="C166" s="22">
        <f>$C155</f>
        <v>1415000000</v>
      </c>
      <c r="D166" s="22">
        <f>$D155</f>
        <v>1686000000</v>
      </c>
      <c r="E166" s="22">
        <f>$E155</f>
        <v>1814000000</v>
      </c>
      <c r="F166" s="23">
        <f t="shared" si="104"/>
        <v>20</v>
      </c>
      <c r="G166" s="4">
        <v>562000000</v>
      </c>
      <c r="I166" s="20">
        <f t="shared" si="99"/>
        <v>562000000</v>
      </c>
      <c r="J166" s="20">
        <f t="shared" si="101"/>
        <v>555000000</v>
      </c>
      <c r="K166" s="20">
        <f t="shared" si="105"/>
        <v>551000000</v>
      </c>
      <c r="L166" s="20">
        <f t="shared" si="106"/>
        <v>480000000</v>
      </c>
      <c r="M166" s="20">
        <f t="shared" si="107"/>
        <v>519000000</v>
      </c>
      <c r="N166" s="20">
        <f t="shared" si="108"/>
        <v>533000000</v>
      </c>
      <c r="O166" s="20">
        <f t="shared" si="109"/>
        <v>535000000</v>
      </c>
      <c r="P166" s="20">
        <f>G159</f>
        <v>520000000</v>
      </c>
      <c r="Q166" s="20">
        <f>G158</f>
        <v>554000000</v>
      </c>
      <c r="R166" s="20">
        <f>G157</f>
        <v>554000000</v>
      </c>
      <c r="S166" s="20">
        <f>G156</f>
        <v>528000000</v>
      </c>
      <c r="T166" s="20">
        <f>G155</f>
        <v>472000000</v>
      </c>
      <c r="U166" s="20">
        <f>$E155/4</f>
        <v>453500000</v>
      </c>
      <c r="V166" s="20">
        <f>$E155/4</f>
        <v>453500000</v>
      </c>
      <c r="W166" s="20">
        <f>$E155/4</f>
        <v>453500000</v>
      </c>
      <c r="X166" s="20">
        <f>$E155/4</f>
        <v>453500000</v>
      </c>
      <c r="Y166" s="20">
        <f>$D155/4</f>
        <v>421500000</v>
      </c>
      <c r="Z166" s="20">
        <f>$D155/4</f>
        <v>421500000</v>
      </c>
      <c r="AA166" s="20">
        <f>$D155/4</f>
        <v>421500000</v>
      </c>
      <c r="AB166" s="20">
        <f>$D155/4</f>
        <v>421500000</v>
      </c>
      <c r="AD166" s="21">
        <f t="shared" si="102"/>
        <v>493150000</v>
      </c>
      <c r="AE166" s="21">
        <f t="shared" si="103"/>
        <v>5434400000</v>
      </c>
      <c r="AF166" s="21">
        <f t="shared" si="100"/>
        <v>68850000</v>
      </c>
    </row>
    <row r="169" spans="1:32" x14ac:dyDescent="0.2">
      <c r="B169" t="s">
        <v>386</v>
      </c>
    </row>
    <row r="170" spans="1:32" x14ac:dyDescent="0.2">
      <c r="B170" s="6" t="s">
        <v>107</v>
      </c>
      <c r="C170" s="6" t="s">
        <v>438</v>
      </c>
      <c r="D170" s="6" t="s">
        <v>439</v>
      </c>
      <c r="E170" s="6" t="s">
        <v>440</v>
      </c>
      <c r="F170" s="6" t="s">
        <v>441</v>
      </c>
      <c r="G170" s="6" t="s">
        <v>442</v>
      </c>
      <c r="H170" s="15"/>
      <c r="I170" s="6" t="s">
        <v>443</v>
      </c>
      <c r="J170" s="6" t="s">
        <v>444</v>
      </c>
      <c r="K170" s="6" t="s">
        <v>445</v>
      </c>
      <c r="L170" s="6" t="s">
        <v>446</v>
      </c>
      <c r="M170" s="6" t="s">
        <v>447</v>
      </c>
      <c r="N170" s="6" t="s">
        <v>448</v>
      </c>
      <c r="O170" s="6" t="s">
        <v>449</v>
      </c>
      <c r="P170" s="6" t="s">
        <v>450</v>
      </c>
      <c r="Q170" s="6" t="s">
        <v>451</v>
      </c>
      <c r="R170" s="6" t="s">
        <v>452</v>
      </c>
      <c r="S170" s="6" t="s">
        <v>453</v>
      </c>
      <c r="T170" s="6" t="s">
        <v>454</v>
      </c>
      <c r="U170" s="6" t="s">
        <v>455</v>
      </c>
      <c r="V170" s="6" t="s">
        <v>456</v>
      </c>
      <c r="W170" s="6" t="s">
        <v>457</v>
      </c>
      <c r="X170" s="6" t="s">
        <v>458</v>
      </c>
      <c r="Y170" s="6" t="s">
        <v>459</v>
      </c>
      <c r="Z170" s="6" t="s">
        <v>460</v>
      </c>
      <c r="AA170" s="6" t="s">
        <v>461</v>
      </c>
      <c r="AB170" s="6" t="s">
        <v>462</v>
      </c>
      <c r="AC170" s="15"/>
      <c r="AD170" s="6" t="s">
        <v>106</v>
      </c>
      <c r="AE170" s="6" t="s">
        <v>105</v>
      </c>
      <c r="AF170" s="6" t="s">
        <v>463</v>
      </c>
    </row>
    <row r="171" spans="1:32" x14ac:dyDescent="0.2">
      <c r="B171" s="16" t="s">
        <v>464</v>
      </c>
      <c r="I171" s="17">
        <v>20</v>
      </c>
      <c r="J171" s="17">
        <v>19</v>
      </c>
      <c r="K171" s="17">
        <v>18</v>
      </c>
      <c r="L171" s="17">
        <v>17</v>
      </c>
      <c r="M171" s="17">
        <v>16</v>
      </c>
      <c r="N171" s="17">
        <v>15</v>
      </c>
      <c r="O171" s="17">
        <v>14</v>
      </c>
      <c r="P171" s="17">
        <v>13</v>
      </c>
      <c r="Q171" s="17">
        <v>12</v>
      </c>
      <c r="R171" s="17">
        <v>11</v>
      </c>
      <c r="S171" s="17">
        <v>10</v>
      </c>
      <c r="T171" s="17">
        <v>9</v>
      </c>
      <c r="U171" s="17">
        <v>8</v>
      </c>
      <c r="V171" s="17">
        <v>7</v>
      </c>
      <c r="W171" s="17">
        <v>6</v>
      </c>
      <c r="X171" s="17">
        <v>5</v>
      </c>
      <c r="Y171" s="17">
        <v>4</v>
      </c>
      <c r="Z171" s="17">
        <v>3</v>
      </c>
      <c r="AA171" s="17">
        <v>2</v>
      </c>
      <c r="AB171" s="17">
        <v>1</v>
      </c>
    </row>
    <row r="172" spans="1:32" x14ac:dyDescent="0.2">
      <c r="A172" t="s">
        <v>386</v>
      </c>
      <c r="B172" s="5" t="s">
        <v>104</v>
      </c>
      <c r="C172" s="4">
        <v>27573000000</v>
      </c>
      <c r="D172" s="4">
        <v>31562000000</v>
      </c>
      <c r="E172" s="4">
        <v>39500000000</v>
      </c>
      <c r="F172" s="19">
        <v>20</v>
      </c>
      <c r="G172" s="4">
        <v>11468000000</v>
      </c>
      <c r="I172" s="20">
        <f t="shared" ref="I172:I183" si="110">G172</f>
        <v>11468000000</v>
      </c>
      <c r="J172" s="20">
        <f>$E172/4</f>
        <v>9875000000</v>
      </c>
      <c r="K172" s="20">
        <f>$E172/4</f>
        <v>9875000000</v>
      </c>
      <c r="L172" s="20">
        <f>$E172/4</f>
        <v>9875000000</v>
      </c>
      <c r="M172" s="20">
        <f>$E172/4</f>
        <v>9875000000</v>
      </c>
      <c r="N172" s="20">
        <f>$D172/4</f>
        <v>7890500000</v>
      </c>
      <c r="O172" s="20">
        <f>$D172/4</f>
        <v>7890500000</v>
      </c>
      <c r="P172" s="20">
        <f>$D172/4</f>
        <v>7890500000</v>
      </c>
      <c r="Q172" s="20">
        <f>$D172/4</f>
        <v>7890500000</v>
      </c>
      <c r="R172" s="20">
        <f>$C172/4</f>
        <v>6893250000</v>
      </c>
      <c r="S172" s="20">
        <f>$C172/4</f>
        <v>6893250000</v>
      </c>
      <c r="T172" s="20">
        <f>$C172/4</f>
        <v>6893250000</v>
      </c>
      <c r="U172" s="20">
        <f>$C172/4</f>
        <v>6893250000</v>
      </c>
      <c r="V172" s="20">
        <v>0</v>
      </c>
      <c r="W172" s="20">
        <v>0</v>
      </c>
      <c r="X172" s="20">
        <v>0</v>
      </c>
      <c r="Y172" s="20">
        <v>0</v>
      </c>
      <c r="Z172" s="20">
        <v>0</v>
      </c>
      <c r="AA172" s="20">
        <v>0</v>
      </c>
      <c r="AB172" s="20">
        <v>0</v>
      </c>
      <c r="AD172" s="21">
        <f>SUM(I172:AB172)/$F172</f>
        <v>5505150000</v>
      </c>
      <c r="AE172" s="21">
        <f>SUMPRODUCT($I$171:$AB$171,I172:AB172)/$F172</f>
        <v>80432025000</v>
      </c>
      <c r="AF172" s="21">
        <f t="shared" ref="AF172:AF183" si="111">G172-AD172</f>
        <v>5962850000</v>
      </c>
    </row>
    <row r="173" spans="1:32" x14ac:dyDescent="0.2">
      <c r="A173" t="s">
        <v>386</v>
      </c>
      <c r="B173" s="5" t="s">
        <v>103</v>
      </c>
      <c r="C173" s="22">
        <f>$C172</f>
        <v>27573000000</v>
      </c>
      <c r="D173" s="22">
        <f>$D172</f>
        <v>31562000000</v>
      </c>
      <c r="E173" s="22">
        <f>$E172</f>
        <v>39500000000</v>
      </c>
      <c r="F173" s="23">
        <f>$F$172</f>
        <v>20</v>
      </c>
      <c r="G173" s="4">
        <v>10588000000</v>
      </c>
      <c r="I173" s="20">
        <f t="shared" si="110"/>
        <v>10588000000</v>
      </c>
      <c r="J173" s="20">
        <f t="shared" ref="J173:J183" si="112">G172</f>
        <v>11468000000</v>
      </c>
      <c r="K173" s="20">
        <f>$E172/4</f>
        <v>9875000000</v>
      </c>
      <c r="L173" s="20">
        <f>$E172/4</f>
        <v>9875000000</v>
      </c>
      <c r="M173" s="20">
        <f>$E172/4</f>
        <v>9875000000</v>
      </c>
      <c r="N173" s="20">
        <f>$E172/4</f>
        <v>9875000000</v>
      </c>
      <c r="O173" s="20">
        <f>$D172/4</f>
        <v>7890500000</v>
      </c>
      <c r="P173" s="20">
        <f>$D172/4</f>
        <v>7890500000</v>
      </c>
      <c r="Q173" s="20">
        <f>$D172/4</f>
        <v>7890500000</v>
      </c>
      <c r="R173" s="20">
        <f>$D172/4</f>
        <v>7890500000</v>
      </c>
      <c r="S173" s="20">
        <f>$C172/4</f>
        <v>6893250000</v>
      </c>
      <c r="T173" s="20">
        <f>$C172/4</f>
        <v>6893250000</v>
      </c>
      <c r="U173" s="20">
        <f>$C172/4</f>
        <v>6893250000</v>
      </c>
      <c r="V173" s="20">
        <f>$C172/4</f>
        <v>6893250000</v>
      </c>
      <c r="W173" s="20">
        <v>0</v>
      </c>
      <c r="X173" s="20">
        <v>0</v>
      </c>
      <c r="Y173" s="20">
        <v>0</v>
      </c>
      <c r="Z173" s="20">
        <v>0</v>
      </c>
      <c r="AA173" s="20">
        <v>0</v>
      </c>
      <c r="AB173" s="20">
        <v>0</v>
      </c>
      <c r="AD173" s="21">
        <f t="shared" ref="AD173:AD183" si="113">SUM(I173:AB173)/$F173</f>
        <v>6034550000</v>
      </c>
      <c r="AE173" s="21">
        <f t="shared" ref="AE173:AE183" si="114">SUMPRODUCT($I$171:$AB$171,I173:AB173)/$F173</f>
        <v>85514875000</v>
      </c>
      <c r="AF173" s="21">
        <f t="shared" si="111"/>
        <v>4553450000</v>
      </c>
    </row>
    <row r="174" spans="1:32" x14ac:dyDescent="0.2">
      <c r="A174" t="s">
        <v>386</v>
      </c>
      <c r="B174" s="5" t="s">
        <v>102</v>
      </c>
      <c r="C174" s="22">
        <f>$C172</f>
        <v>27573000000</v>
      </c>
      <c r="D174" s="22">
        <f>$D172</f>
        <v>31562000000</v>
      </c>
      <c r="E174" s="22">
        <f>$E172</f>
        <v>39500000000</v>
      </c>
      <c r="F174" s="23">
        <f t="shared" ref="F174:F183" si="115">$F$172</f>
        <v>20</v>
      </c>
      <c r="G174" s="4">
        <v>11258000000</v>
      </c>
      <c r="I174" s="20">
        <f t="shared" si="110"/>
        <v>11258000000</v>
      </c>
      <c r="J174" s="20">
        <f t="shared" si="112"/>
        <v>10588000000</v>
      </c>
      <c r="K174" s="20">
        <f t="shared" ref="K174:K183" si="116">G172</f>
        <v>11468000000</v>
      </c>
      <c r="L174" s="20">
        <f>$E172/4</f>
        <v>9875000000</v>
      </c>
      <c r="M174" s="20">
        <f>$E172/4</f>
        <v>9875000000</v>
      </c>
      <c r="N174" s="20">
        <f>$E172/4</f>
        <v>9875000000</v>
      </c>
      <c r="O174" s="20">
        <f>$E172/4</f>
        <v>9875000000</v>
      </c>
      <c r="P174" s="20">
        <f>$D172/4</f>
        <v>7890500000</v>
      </c>
      <c r="Q174" s="20">
        <f>$D172/4</f>
        <v>7890500000</v>
      </c>
      <c r="R174" s="20">
        <f>$D172/4</f>
        <v>7890500000</v>
      </c>
      <c r="S174" s="20">
        <f>$D172/4</f>
        <v>7890500000</v>
      </c>
      <c r="T174" s="20">
        <f>$C172/4</f>
        <v>6893250000</v>
      </c>
      <c r="U174" s="20">
        <f>$C172/4</f>
        <v>6893250000</v>
      </c>
      <c r="V174" s="20">
        <f>$C172/4</f>
        <v>6893250000</v>
      </c>
      <c r="W174" s="20">
        <f>$C172/4</f>
        <v>6893250000</v>
      </c>
      <c r="X174" s="20">
        <v>0</v>
      </c>
      <c r="Y174" s="20">
        <v>0</v>
      </c>
      <c r="Z174" s="20">
        <v>0</v>
      </c>
      <c r="AA174" s="20">
        <v>0</v>
      </c>
      <c r="AB174" s="20">
        <v>0</v>
      </c>
      <c r="AD174" s="21">
        <f t="shared" si="113"/>
        <v>6597450000</v>
      </c>
      <c r="AE174" s="21">
        <f t="shared" si="114"/>
        <v>90738325000</v>
      </c>
      <c r="AF174" s="21">
        <f t="shared" si="111"/>
        <v>4660550000</v>
      </c>
    </row>
    <row r="175" spans="1:32" x14ac:dyDescent="0.2">
      <c r="A175" t="s">
        <v>386</v>
      </c>
      <c r="B175" s="5" t="s">
        <v>101</v>
      </c>
      <c r="C175" s="22">
        <f>$C172</f>
        <v>27573000000</v>
      </c>
      <c r="D175" s="22">
        <f>$D172</f>
        <v>31562000000</v>
      </c>
      <c r="E175" s="22">
        <f>$E172</f>
        <v>39500000000</v>
      </c>
      <c r="F175" s="23">
        <f t="shared" si="115"/>
        <v>20</v>
      </c>
      <c r="G175" s="4">
        <v>12113000000</v>
      </c>
      <c r="I175" s="20">
        <f t="shared" si="110"/>
        <v>12113000000</v>
      </c>
      <c r="J175" s="20">
        <f t="shared" si="112"/>
        <v>11258000000</v>
      </c>
      <c r="K175" s="20">
        <f t="shared" si="116"/>
        <v>10588000000</v>
      </c>
      <c r="L175" s="20">
        <f t="shared" ref="L175:L183" si="117">G172</f>
        <v>11468000000</v>
      </c>
      <c r="M175" s="20">
        <f>$E172/4</f>
        <v>9875000000</v>
      </c>
      <c r="N175" s="20">
        <f>$E172/4</f>
        <v>9875000000</v>
      </c>
      <c r="O175" s="20">
        <f>$E172/4</f>
        <v>9875000000</v>
      </c>
      <c r="P175" s="20">
        <f>$E172/4</f>
        <v>9875000000</v>
      </c>
      <c r="Q175" s="20">
        <f>$D172/4</f>
        <v>7890500000</v>
      </c>
      <c r="R175" s="20">
        <f>$D172/4</f>
        <v>7890500000</v>
      </c>
      <c r="S175" s="20">
        <f>$D172/4</f>
        <v>7890500000</v>
      </c>
      <c r="T175" s="20">
        <f>$D172/4</f>
        <v>7890500000</v>
      </c>
      <c r="U175" s="20">
        <f>$C172/4</f>
        <v>6893250000</v>
      </c>
      <c r="V175" s="20">
        <f>$C172/4</f>
        <v>6893250000</v>
      </c>
      <c r="W175" s="20">
        <f>$C172/4</f>
        <v>6893250000</v>
      </c>
      <c r="X175" s="20">
        <f>$C172/4</f>
        <v>6893250000</v>
      </c>
      <c r="Y175" s="20">
        <v>0</v>
      </c>
      <c r="Z175" s="20">
        <v>0</v>
      </c>
      <c r="AA175" s="20">
        <v>0</v>
      </c>
      <c r="AB175" s="20">
        <v>0</v>
      </c>
      <c r="AD175" s="21">
        <f t="shared" si="113"/>
        <v>7203100000</v>
      </c>
      <c r="AE175" s="21">
        <f t="shared" si="114"/>
        <v>96253875000</v>
      </c>
      <c r="AF175" s="21">
        <f t="shared" si="111"/>
        <v>4909900000</v>
      </c>
    </row>
    <row r="176" spans="1:32" x14ac:dyDescent="0.2">
      <c r="A176" t="s">
        <v>386</v>
      </c>
      <c r="B176" s="5" t="s">
        <v>100</v>
      </c>
      <c r="C176" s="22">
        <f>$C172</f>
        <v>27573000000</v>
      </c>
      <c r="D176" s="22">
        <f>$D172</f>
        <v>31562000000</v>
      </c>
      <c r="E176" s="22">
        <f>$E172</f>
        <v>39500000000</v>
      </c>
      <c r="F176" s="23">
        <f t="shared" si="115"/>
        <v>20</v>
      </c>
      <c r="G176" s="4">
        <v>11903000000</v>
      </c>
      <c r="I176" s="20">
        <f t="shared" si="110"/>
        <v>11903000000</v>
      </c>
      <c r="J176" s="20">
        <f t="shared" si="112"/>
        <v>12113000000</v>
      </c>
      <c r="K176" s="20">
        <f t="shared" si="116"/>
        <v>11258000000</v>
      </c>
      <c r="L176" s="20">
        <f t="shared" si="117"/>
        <v>10588000000</v>
      </c>
      <c r="M176" s="20">
        <f t="shared" ref="M176:M183" si="118">G172</f>
        <v>11468000000</v>
      </c>
      <c r="N176" s="20">
        <f>$E172/4</f>
        <v>9875000000</v>
      </c>
      <c r="O176" s="20">
        <f>$E172/4</f>
        <v>9875000000</v>
      </c>
      <c r="P176" s="20">
        <f>$E172/4</f>
        <v>9875000000</v>
      </c>
      <c r="Q176" s="20">
        <f>$E172/4</f>
        <v>9875000000</v>
      </c>
      <c r="R176" s="20">
        <f>$D172/4</f>
        <v>7890500000</v>
      </c>
      <c r="S176" s="20">
        <f>$D172/4</f>
        <v>7890500000</v>
      </c>
      <c r="T176" s="20">
        <f>$D172/4</f>
        <v>7890500000</v>
      </c>
      <c r="U176" s="20">
        <f>$D172/4</f>
        <v>7890500000</v>
      </c>
      <c r="V176" s="20">
        <f>$C172/4</f>
        <v>6893250000</v>
      </c>
      <c r="W176" s="20">
        <f>$C172/4</f>
        <v>6893250000</v>
      </c>
      <c r="X176" s="20">
        <f>$C172/4</f>
        <v>6893250000</v>
      </c>
      <c r="Y176" s="20">
        <f>$C172/4</f>
        <v>6893250000</v>
      </c>
      <c r="Z176" s="20">
        <v>0</v>
      </c>
      <c r="AA176" s="20">
        <v>0</v>
      </c>
      <c r="AB176" s="20">
        <v>0</v>
      </c>
      <c r="AD176" s="21">
        <f t="shared" si="113"/>
        <v>7798250000</v>
      </c>
      <c r="AE176" s="21">
        <f t="shared" si="114"/>
        <v>100953775000</v>
      </c>
      <c r="AF176" s="21">
        <f t="shared" si="111"/>
        <v>4104750000</v>
      </c>
    </row>
    <row r="177" spans="1:32" x14ac:dyDescent="0.2">
      <c r="A177" t="s">
        <v>386</v>
      </c>
      <c r="B177" s="5" t="s">
        <v>99</v>
      </c>
      <c r="C177" s="22">
        <f>$C172</f>
        <v>27573000000</v>
      </c>
      <c r="D177" s="22">
        <f>$D172</f>
        <v>31562000000</v>
      </c>
      <c r="E177" s="22">
        <f>$E172</f>
        <v>39500000000</v>
      </c>
      <c r="F177" s="23">
        <f t="shared" si="115"/>
        <v>20</v>
      </c>
      <c r="G177" s="4">
        <v>11860000000</v>
      </c>
      <c r="I177" s="20">
        <f t="shared" si="110"/>
        <v>11860000000</v>
      </c>
      <c r="J177" s="20">
        <f t="shared" si="112"/>
        <v>11903000000</v>
      </c>
      <c r="K177" s="20">
        <f t="shared" si="116"/>
        <v>12113000000</v>
      </c>
      <c r="L177" s="20">
        <f t="shared" si="117"/>
        <v>11258000000</v>
      </c>
      <c r="M177" s="20">
        <f t="shared" si="118"/>
        <v>10588000000</v>
      </c>
      <c r="N177" s="20">
        <f t="shared" ref="N177:N183" si="119">G172</f>
        <v>11468000000</v>
      </c>
      <c r="O177" s="20">
        <f>$E172/4</f>
        <v>9875000000</v>
      </c>
      <c r="P177" s="20">
        <f>$E172/4</f>
        <v>9875000000</v>
      </c>
      <c r="Q177" s="20">
        <f>$E172/4</f>
        <v>9875000000</v>
      </c>
      <c r="R177" s="20">
        <f>$E172/4</f>
        <v>9875000000</v>
      </c>
      <c r="S177" s="20">
        <f>$D172/4</f>
        <v>7890500000</v>
      </c>
      <c r="T177" s="20">
        <f>$D172/4</f>
        <v>7890500000</v>
      </c>
      <c r="U177" s="20">
        <f>$D172/4</f>
        <v>7890500000</v>
      </c>
      <c r="V177" s="20">
        <f>$D172/4</f>
        <v>7890500000</v>
      </c>
      <c r="W177" s="20">
        <f>$C172/4</f>
        <v>6893250000</v>
      </c>
      <c r="X177" s="20">
        <f>$C172/4</f>
        <v>6893250000</v>
      </c>
      <c r="Y177" s="20">
        <f>$C172/4</f>
        <v>6893250000</v>
      </c>
      <c r="Z177" s="20">
        <f>$C172/4</f>
        <v>6893250000</v>
      </c>
      <c r="AA177" s="20">
        <v>0</v>
      </c>
      <c r="AB177" s="20">
        <v>0</v>
      </c>
      <c r="AD177" s="21">
        <f t="shared" si="113"/>
        <v>8391250000</v>
      </c>
      <c r="AE177" s="21">
        <f t="shared" si="114"/>
        <v>105015525000</v>
      </c>
      <c r="AF177" s="21">
        <f t="shared" si="111"/>
        <v>3468750000</v>
      </c>
    </row>
    <row r="178" spans="1:32" x14ac:dyDescent="0.2">
      <c r="A178" t="s">
        <v>386</v>
      </c>
      <c r="B178" s="5" t="s">
        <v>98</v>
      </c>
      <c r="C178" s="22">
        <f>$C172</f>
        <v>27573000000</v>
      </c>
      <c r="D178" s="22">
        <f>$D172</f>
        <v>31562000000</v>
      </c>
      <c r="E178" s="22">
        <f>$E172</f>
        <v>39500000000</v>
      </c>
      <c r="F178" s="23">
        <f t="shared" si="115"/>
        <v>20</v>
      </c>
      <c r="G178" s="4">
        <v>12447000000</v>
      </c>
      <c r="I178" s="20">
        <f t="shared" si="110"/>
        <v>12447000000</v>
      </c>
      <c r="J178" s="20">
        <f t="shared" si="112"/>
        <v>11860000000</v>
      </c>
      <c r="K178" s="20">
        <f t="shared" si="116"/>
        <v>11903000000</v>
      </c>
      <c r="L178" s="20">
        <f t="shared" si="117"/>
        <v>12113000000</v>
      </c>
      <c r="M178" s="20">
        <f t="shared" si="118"/>
        <v>11258000000</v>
      </c>
      <c r="N178" s="20">
        <f t="shared" si="119"/>
        <v>10588000000</v>
      </c>
      <c r="O178" s="20">
        <f t="shared" ref="O178:O183" si="120">G172</f>
        <v>11468000000</v>
      </c>
      <c r="P178" s="20">
        <f>$E172/4</f>
        <v>9875000000</v>
      </c>
      <c r="Q178" s="20">
        <f>$E172/4</f>
        <v>9875000000</v>
      </c>
      <c r="R178" s="20">
        <f>$E172/4</f>
        <v>9875000000</v>
      </c>
      <c r="S178" s="20">
        <f>$E172/4</f>
        <v>9875000000</v>
      </c>
      <c r="T178" s="20">
        <f>$D172/4</f>
        <v>7890500000</v>
      </c>
      <c r="U178" s="20">
        <f>$D172/4</f>
        <v>7890500000</v>
      </c>
      <c r="V178" s="20">
        <f>$D172/4</f>
        <v>7890500000</v>
      </c>
      <c r="W178" s="20">
        <f>$D172/4</f>
        <v>7890500000</v>
      </c>
      <c r="X178" s="20">
        <f>$C172/4</f>
        <v>6893250000</v>
      </c>
      <c r="Y178" s="20">
        <f>$C172/4</f>
        <v>6893250000</v>
      </c>
      <c r="Z178" s="20">
        <f>$C172/4</f>
        <v>6893250000</v>
      </c>
      <c r="AA178" s="20">
        <f>$C172/4</f>
        <v>6893250000</v>
      </c>
      <c r="AB178" s="20">
        <v>0</v>
      </c>
      <c r="AD178" s="21">
        <f t="shared" si="113"/>
        <v>9013600000</v>
      </c>
      <c r="AE178" s="21">
        <f t="shared" si="114"/>
        <v>109071275000</v>
      </c>
      <c r="AF178" s="21">
        <f t="shared" si="111"/>
        <v>3433400000</v>
      </c>
    </row>
    <row r="179" spans="1:32" x14ac:dyDescent="0.2">
      <c r="A179" t="s">
        <v>386</v>
      </c>
      <c r="B179" s="5" t="s">
        <v>97</v>
      </c>
      <c r="C179" s="22">
        <f>$C172</f>
        <v>27573000000</v>
      </c>
      <c r="D179" s="22">
        <f>$D172</f>
        <v>31562000000</v>
      </c>
      <c r="E179" s="22">
        <f>$E172</f>
        <v>39500000000</v>
      </c>
      <c r="F179" s="23">
        <f t="shared" si="115"/>
        <v>20</v>
      </c>
      <c r="G179" s="4">
        <v>13116000000</v>
      </c>
      <c r="I179" s="20">
        <f t="shared" si="110"/>
        <v>13116000000</v>
      </c>
      <c r="J179" s="20">
        <f t="shared" si="112"/>
        <v>12447000000</v>
      </c>
      <c r="K179" s="20">
        <f t="shared" si="116"/>
        <v>11860000000</v>
      </c>
      <c r="L179" s="20">
        <f t="shared" si="117"/>
        <v>11903000000</v>
      </c>
      <c r="M179" s="20">
        <f t="shared" si="118"/>
        <v>12113000000</v>
      </c>
      <c r="N179" s="20">
        <f t="shared" si="119"/>
        <v>11258000000</v>
      </c>
      <c r="O179" s="20">
        <f t="shared" si="120"/>
        <v>10588000000</v>
      </c>
      <c r="P179" s="20">
        <f>G172</f>
        <v>11468000000</v>
      </c>
      <c r="Q179" s="20">
        <f>$E172/4</f>
        <v>9875000000</v>
      </c>
      <c r="R179" s="20">
        <f>$E172/4</f>
        <v>9875000000</v>
      </c>
      <c r="S179" s="20">
        <f>$E172/4</f>
        <v>9875000000</v>
      </c>
      <c r="T179" s="20">
        <f>$E172/4</f>
        <v>9875000000</v>
      </c>
      <c r="U179" s="20">
        <f>$D172/4</f>
        <v>7890500000</v>
      </c>
      <c r="V179" s="20">
        <f>$D172/4</f>
        <v>7890500000</v>
      </c>
      <c r="W179" s="20">
        <f>$D172/4</f>
        <v>7890500000</v>
      </c>
      <c r="X179" s="20">
        <f>$D172/4</f>
        <v>7890500000</v>
      </c>
      <c r="Y179" s="20">
        <f>$C172/4</f>
        <v>6893250000</v>
      </c>
      <c r="Z179" s="20">
        <f>$C172/4</f>
        <v>6893250000</v>
      </c>
      <c r="AA179" s="20">
        <f>$C172/4</f>
        <v>6893250000</v>
      </c>
      <c r="AB179" s="20">
        <f>$C172/4</f>
        <v>6893250000</v>
      </c>
      <c r="AD179" s="21">
        <f t="shared" si="113"/>
        <v>9669400000</v>
      </c>
      <c r="AE179" s="21">
        <f t="shared" si="114"/>
        <v>113173675000</v>
      </c>
      <c r="AF179" s="21">
        <f t="shared" si="111"/>
        <v>3446600000</v>
      </c>
    </row>
    <row r="180" spans="1:32" x14ac:dyDescent="0.2">
      <c r="A180" t="s">
        <v>386</v>
      </c>
      <c r="B180" s="5" t="s">
        <v>96</v>
      </c>
      <c r="C180" s="22">
        <f>$C172</f>
        <v>27573000000</v>
      </c>
      <c r="D180" s="22">
        <f>$D172</f>
        <v>31562000000</v>
      </c>
      <c r="E180" s="22">
        <f>$E172</f>
        <v>39500000000</v>
      </c>
      <c r="F180" s="23">
        <f t="shared" si="115"/>
        <v>20</v>
      </c>
      <c r="G180" s="4">
        <v>13556000000</v>
      </c>
      <c r="I180" s="20">
        <f t="shared" si="110"/>
        <v>13556000000</v>
      </c>
      <c r="J180" s="20">
        <f t="shared" si="112"/>
        <v>13116000000</v>
      </c>
      <c r="K180" s="20">
        <f t="shared" si="116"/>
        <v>12447000000</v>
      </c>
      <c r="L180" s="20">
        <f t="shared" si="117"/>
        <v>11860000000</v>
      </c>
      <c r="M180" s="20">
        <f t="shared" si="118"/>
        <v>11903000000</v>
      </c>
      <c r="N180" s="20">
        <f t="shared" si="119"/>
        <v>12113000000</v>
      </c>
      <c r="O180" s="20">
        <f t="shared" si="120"/>
        <v>11258000000</v>
      </c>
      <c r="P180" s="20">
        <f>G173</f>
        <v>10588000000</v>
      </c>
      <c r="Q180" s="20">
        <f>G172</f>
        <v>11468000000</v>
      </c>
      <c r="R180" s="20">
        <f>$E172/4</f>
        <v>9875000000</v>
      </c>
      <c r="S180" s="20">
        <f>$E172/4</f>
        <v>9875000000</v>
      </c>
      <c r="T180" s="20">
        <f>$E172/4</f>
        <v>9875000000</v>
      </c>
      <c r="U180" s="20">
        <f>$E172/4</f>
        <v>9875000000</v>
      </c>
      <c r="V180" s="20">
        <f>$D172/4</f>
        <v>7890500000</v>
      </c>
      <c r="W180" s="20">
        <f>$D172/4</f>
        <v>7890500000</v>
      </c>
      <c r="X180" s="20">
        <f>$D172/4</f>
        <v>7890500000</v>
      </c>
      <c r="Y180" s="20">
        <f>$D172/4</f>
        <v>7890500000</v>
      </c>
      <c r="Z180" s="20">
        <f>$C172/4</f>
        <v>6893250000</v>
      </c>
      <c r="AA180" s="20">
        <f>$C172/4</f>
        <v>6893250000</v>
      </c>
      <c r="AB180" s="20">
        <f>$C172/4</f>
        <v>6893250000</v>
      </c>
      <c r="AD180" s="21">
        <f t="shared" si="113"/>
        <v>10002537500</v>
      </c>
      <c r="AE180" s="21">
        <f t="shared" si="114"/>
        <v>117060275000</v>
      </c>
      <c r="AF180" s="21">
        <f t="shared" si="111"/>
        <v>3553462500</v>
      </c>
    </row>
    <row r="181" spans="1:32" x14ac:dyDescent="0.2">
      <c r="A181" t="s">
        <v>386</v>
      </c>
      <c r="B181" s="5" t="s">
        <v>95</v>
      </c>
      <c r="C181" s="22">
        <f>$C172</f>
        <v>27573000000</v>
      </c>
      <c r="D181" s="22">
        <f>$D172</f>
        <v>31562000000</v>
      </c>
      <c r="E181" s="22">
        <f>$E172</f>
        <v>39500000000</v>
      </c>
      <c r="F181" s="23">
        <f t="shared" si="115"/>
        <v>20</v>
      </c>
      <c r="G181" s="4">
        <v>13808000000</v>
      </c>
      <c r="I181" s="20">
        <f t="shared" si="110"/>
        <v>13808000000</v>
      </c>
      <c r="J181" s="20">
        <f t="shared" si="112"/>
        <v>13556000000</v>
      </c>
      <c r="K181" s="20">
        <f t="shared" si="116"/>
        <v>13116000000</v>
      </c>
      <c r="L181" s="20">
        <f t="shared" si="117"/>
        <v>12447000000</v>
      </c>
      <c r="M181" s="20">
        <f t="shared" si="118"/>
        <v>11860000000</v>
      </c>
      <c r="N181" s="20">
        <f t="shared" si="119"/>
        <v>11903000000</v>
      </c>
      <c r="O181" s="20">
        <f t="shared" si="120"/>
        <v>12113000000</v>
      </c>
      <c r="P181" s="20">
        <f>G174</f>
        <v>11258000000</v>
      </c>
      <c r="Q181" s="20">
        <f>G173</f>
        <v>10588000000</v>
      </c>
      <c r="R181" s="20">
        <f>G172</f>
        <v>11468000000</v>
      </c>
      <c r="S181" s="20">
        <f>$E172/4</f>
        <v>9875000000</v>
      </c>
      <c r="T181" s="20">
        <f>$E172/4</f>
        <v>9875000000</v>
      </c>
      <c r="U181" s="20">
        <f>$E172/4</f>
        <v>9875000000</v>
      </c>
      <c r="V181" s="20">
        <f>$E172/4</f>
        <v>9875000000</v>
      </c>
      <c r="W181" s="20">
        <f>$D172/4</f>
        <v>7890500000</v>
      </c>
      <c r="X181" s="20">
        <f>$D172/4</f>
        <v>7890500000</v>
      </c>
      <c r="Y181" s="20">
        <f>$D172/4</f>
        <v>7890500000</v>
      </c>
      <c r="Z181" s="20">
        <f>$D172/4</f>
        <v>7890500000</v>
      </c>
      <c r="AA181" s="20">
        <f>$C172/4</f>
        <v>6893250000</v>
      </c>
      <c r="AB181" s="20">
        <f>$C172/4</f>
        <v>6893250000</v>
      </c>
      <c r="AD181" s="21">
        <f t="shared" si="113"/>
        <v>10348275000</v>
      </c>
      <c r="AE181" s="21">
        <f t="shared" si="114"/>
        <v>120865737500</v>
      </c>
      <c r="AF181" s="21">
        <f t="shared" si="111"/>
        <v>3459725000</v>
      </c>
    </row>
    <row r="182" spans="1:32" x14ac:dyDescent="0.2">
      <c r="A182" t="s">
        <v>386</v>
      </c>
      <c r="B182" s="5" t="s">
        <v>94</v>
      </c>
      <c r="C182" s="22">
        <f>$C172</f>
        <v>27573000000</v>
      </c>
      <c r="D182" s="22">
        <f>$D172</f>
        <v>31562000000</v>
      </c>
      <c r="E182" s="22">
        <f>$E172</f>
        <v>39500000000</v>
      </c>
      <c r="F182" s="23">
        <f t="shared" si="115"/>
        <v>20</v>
      </c>
      <c r="G182" s="4">
        <v>15151000000</v>
      </c>
      <c r="I182" s="20">
        <f t="shared" si="110"/>
        <v>15151000000</v>
      </c>
      <c r="J182" s="20">
        <f t="shared" si="112"/>
        <v>13808000000</v>
      </c>
      <c r="K182" s="20">
        <f t="shared" si="116"/>
        <v>13556000000</v>
      </c>
      <c r="L182" s="20">
        <f t="shared" si="117"/>
        <v>13116000000</v>
      </c>
      <c r="M182" s="20">
        <f t="shared" si="118"/>
        <v>12447000000</v>
      </c>
      <c r="N182" s="20">
        <f t="shared" si="119"/>
        <v>11860000000</v>
      </c>
      <c r="O182" s="20">
        <f t="shared" si="120"/>
        <v>11903000000</v>
      </c>
      <c r="P182" s="20">
        <f>G175</f>
        <v>12113000000</v>
      </c>
      <c r="Q182" s="20">
        <f>G174</f>
        <v>11258000000</v>
      </c>
      <c r="R182" s="20">
        <f>G173</f>
        <v>10588000000</v>
      </c>
      <c r="S182" s="20">
        <f>G172</f>
        <v>11468000000</v>
      </c>
      <c r="T182" s="20">
        <f>$E172/4</f>
        <v>9875000000</v>
      </c>
      <c r="U182" s="20">
        <f>$E172/4</f>
        <v>9875000000</v>
      </c>
      <c r="V182" s="20">
        <f>$E172/4</f>
        <v>9875000000</v>
      </c>
      <c r="W182" s="20">
        <f>$E172/4</f>
        <v>9875000000</v>
      </c>
      <c r="X182" s="20">
        <f>$D172/4</f>
        <v>7890500000</v>
      </c>
      <c r="Y182" s="20">
        <f>$D172/4</f>
        <v>7890500000</v>
      </c>
      <c r="Z182" s="20">
        <f>$D172/4</f>
        <v>7890500000</v>
      </c>
      <c r="AA182" s="20">
        <f>$D172/4</f>
        <v>7890500000</v>
      </c>
      <c r="AB182" s="20">
        <f>$C172/4</f>
        <v>6893250000</v>
      </c>
      <c r="AD182" s="21">
        <f t="shared" si="113"/>
        <v>10761162500</v>
      </c>
      <c r="AE182" s="21">
        <f t="shared" si="114"/>
        <v>125668462500</v>
      </c>
      <c r="AF182" s="21">
        <f t="shared" si="111"/>
        <v>4389837500</v>
      </c>
    </row>
    <row r="183" spans="1:32" x14ac:dyDescent="0.2">
      <c r="A183" t="s">
        <v>386</v>
      </c>
      <c r="B183" s="5" t="s">
        <v>93</v>
      </c>
      <c r="C183" s="22">
        <f>$C172</f>
        <v>27573000000</v>
      </c>
      <c r="D183" s="22">
        <f>$D172</f>
        <v>31562000000</v>
      </c>
      <c r="E183" s="22">
        <f>$E172</f>
        <v>39500000000</v>
      </c>
      <c r="F183" s="23">
        <f t="shared" si="115"/>
        <v>20</v>
      </c>
      <c r="G183" s="4">
        <v>18572000000</v>
      </c>
      <c r="I183" s="20">
        <f t="shared" si="110"/>
        <v>18572000000</v>
      </c>
      <c r="J183" s="20">
        <f t="shared" si="112"/>
        <v>15151000000</v>
      </c>
      <c r="K183" s="20">
        <f t="shared" si="116"/>
        <v>13808000000</v>
      </c>
      <c r="L183" s="20">
        <f t="shared" si="117"/>
        <v>13556000000</v>
      </c>
      <c r="M183" s="20">
        <f t="shared" si="118"/>
        <v>13116000000</v>
      </c>
      <c r="N183" s="20">
        <f t="shared" si="119"/>
        <v>12447000000</v>
      </c>
      <c r="O183" s="20">
        <f t="shared" si="120"/>
        <v>11860000000</v>
      </c>
      <c r="P183" s="20">
        <f>G176</f>
        <v>11903000000</v>
      </c>
      <c r="Q183" s="20">
        <f>G175</f>
        <v>12113000000</v>
      </c>
      <c r="R183" s="20">
        <f>G174</f>
        <v>11258000000</v>
      </c>
      <c r="S183" s="20">
        <f>G173</f>
        <v>10588000000</v>
      </c>
      <c r="T183" s="20">
        <f>G172</f>
        <v>11468000000</v>
      </c>
      <c r="U183" s="20">
        <f>$E172/4</f>
        <v>9875000000</v>
      </c>
      <c r="V183" s="20">
        <f>$E172/4</f>
        <v>9875000000</v>
      </c>
      <c r="W183" s="20">
        <f>$E172/4</f>
        <v>9875000000</v>
      </c>
      <c r="X183" s="20">
        <f>$E172/4</f>
        <v>9875000000</v>
      </c>
      <c r="Y183" s="20">
        <f>$D172/4</f>
        <v>7890500000</v>
      </c>
      <c r="Z183" s="20">
        <f>$D172/4</f>
        <v>7890500000</v>
      </c>
      <c r="AA183" s="20">
        <f>$D172/4</f>
        <v>7890500000</v>
      </c>
      <c r="AB183" s="20">
        <f>$D172/4</f>
        <v>7890500000</v>
      </c>
      <c r="AD183" s="21">
        <f t="shared" si="113"/>
        <v>11345100000</v>
      </c>
      <c r="AE183" s="21">
        <f t="shared" si="114"/>
        <v>133479300000</v>
      </c>
      <c r="AF183" s="21">
        <f t="shared" si="111"/>
        <v>7226900000</v>
      </c>
    </row>
  </sheetData>
  <phoneticPr fontId="21" type="noConversion"/>
  <pageMargins left="0.7" right="0.7" top="0.75" bottom="0.75" header="0.3" footer="0.3"/>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topLeftCell="I1" workbookViewId="0">
      <selection activeCell="X13" sqref="X13"/>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2026-04-09T18:44:03Z</dcterms:modified>
</cp:coreProperties>
</file>