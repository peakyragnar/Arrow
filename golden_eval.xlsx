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5344B57D-AE13-3940-8D25-2356891B422A}" xr6:coauthVersionLast="47" xr6:coauthVersionMax="47" xr10:uidLastSave="{00000000-0000-0000-0000-000000000000}"/>
  <bookViews>
    <workbookView xWindow="60" yWindow="600" windowWidth="37280" windowHeight="190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AZ93" i="1" l="1"/>
  <c r="AY93" i="1"/>
  <c r="BA92" i="1"/>
  <c r="AZ92" i="1"/>
  <c r="AY92" i="1"/>
  <c r="AY91" i="1"/>
  <c r="AY90" i="1"/>
  <c r="BB69" i="1"/>
  <c r="BA69" i="1"/>
  <c r="BA67" i="1"/>
  <c r="BA68" i="1"/>
  <c r="I122" i="2"/>
  <c r="AC122" i="2" s="1"/>
  <c r="G122" i="2"/>
  <c r="F122" i="2"/>
  <c r="E122" i="2"/>
  <c r="D122" i="2"/>
  <c r="I121" i="2"/>
  <c r="AB121" i="2" s="1"/>
  <c r="AC121" i="2" s="1"/>
  <c r="G121" i="2"/>
  <c r="F121" i="2"/>
  <c r="E121" i="2"/>
  <c r="D121" i="2"/>
  <c r="I120" i="2"/>
  <c r="AA120" i="2" s="1"/>
  <c r="AB120" i="2" s="1"/>
  <c r="AC120" i="2" s="1"/>
  <c r="G120" i="2"/>
  <c r="F120" i="2"/>
  <c r="E120" i="2"/>
  <c r="D120" i="2"/>
  <c r="I119" i="2"/>
  <c r="Z119" i="2" s="1"/>
  <c r="AA119" i="2" s="1"/>
  <c r="AB119" i="2" s="1"/>
  <c r="AC119" i="2" s="1"/>
  <c r="G119" i="2"/>
  <c r="F119" i="2"/>
  <c r="E119" i="2"/>
  <c r="D119" i="2"/>
  <c r="I118" i="2"/>
  <c r="Y118" i="2" s="1"/>
  <c r="Z118" i="2" s="1"/>
  <c r="AA118" i="2" s="1"/>
  <c r="AB118" i="2" s="1"/>
  <c r="AC118" i="2" s="1"/>
  <c r="G118" i="2"/>
  <c r="F118" i="2"/>
  <c r="E118" i="2"/>
  <c r="D118" i="2"/>
  <c r="I117" i="2"/>
  <c r="X117" i="2" s="1"/>
  <c r="Y117" i="2" s="1"/>
  <c r="Z117" i="2" s="1"/>
  <c r="AA117" i="2" s="1"/>
  <c r="AB117" i="2" s="1"/>
  <c r="AC117" i="2" s="1"/>
  <c r="G117" i="2"/>
  <c r="F117" i="2"/>
  <c r="E117" i="2"/>
  <c r="D117" i="2"/>
  <c r="I116" i="2"/>
  <c r="W116" i="2" s="1"/>
  <c r="X116" i="2" s="1"/>
  <c r="Y116" i="2" s="1"/>
  <c r="Z116" i="2" s="1"/>
  <c r="AA116" i="2" s="1"/>
  <c r="AB116" i="2" s="1"/>
  <c r="AC116" i="2" s="1"/>
  <c r="G116" i="2"/>
  <c r="F116" i="2"/>
  <c r="E116" i="2"/>
  <c r="D116" i="2"/>
  <c r="I115" i="2"/>
  <c r="V115" i="2" s="1"/>
  <c r="W115" i="2" s="1"/>
  <c r="X115" i="2" s="1"/>
  <c r="Y115" i="2" s="1"/>
  <c r="Z115" i="2" s="1"/>
  <c r="AA115" i="2" s="1"/>
  <c r="AB115" i="2" s="1"/>
  <c r="AC115" i="2" s="1"/>
  <c r="G115" i="2"/>
  <c r="F115" i="2"/>
  <c r="E115" i="2"/>
  <c r="D115" i="2"/>
  <c r="I114" i="2"/>
  <c r="U114" i="2" s="1"/>
  <c r="V114" i="2" s="1"/>
  <c r="W114" i="2" s="1"/>
  <c r="X114" i="2" s="1"/>
  <c r="Y114" i="2" s="1"/>
  <c r="Z114" i="2" s="1"/>
  <c r="AA114" i="2" s="1"/>
  <c r="AB114" i="2" s="1"/>
  <c r="AC114" i="2" s="1"/>
  <c r="G114" i="2"/>
  <c r="F114" i="2"/>
  <c r="E114" i="2"/>
  <c r="D114" i="2"/>
  <c r="I113" i="2"/>
  <c r="T113" i="2" s="1"/>
  <c r="U113" i="2" s="1"/>
  <c r="V113" i="2" s="1"/>
  <c r="W113" i="2" s="1"/>
  <c r="X113" i="2" s="1"/>
  <c r="Y113" i="2" s="1"/>
  <c r="Z113" i="2" s="1"/>
  <c r="AA113" i="2" s="1"/>
  <c r="AB113" i="2" s="1"/>
  <c r="AC113" i="2" s="1"/>
  <c r="G113" i="2"/>
  <c r="F113" i="2"/>
  <c r="E113" i="2"/>
  <c r="D113" i="2"/>
  <c r="I112" i="2"/>
  <c r="S112" i="2" s="1"/>
  <c r="T112" i="2" s="1"/>
  <c r="U112" i="2" s="1"/>
  <c r="V112" i="2" s="1"/>
  <c r="W112" i="2" s="1"/>
  <c r="X112" i="2" s="1"/>
  <c r="Y112" i="2" s="1"/>
  <c r="Z112" i="2" s="1"/>
  <c r="AA112" i="2" s="1"/>
  <c r="AB112" i="2" s="1"/>
  <c r="AC112" i="2" s="1"/>
  <c r="G112" i="2"/>
  <c r="F112" i="2"/>
  <c r="E112" i="2"/>
  <c r="D112" i="2"/>
  <c r="I111" i="2"/>
  <c r="R111" i="2" s="1"/>
  <c r="S111" i="2" s="1"/>
  <c r="T111" i="2" s="1"/>
  <c r="U111" i="2" s="1"/>
  <c r="V111" i="2" s="1"/>
  <c r="W111" i="2" s="1"/>
  <c r="X111" i="2" s="1"/>
  <c r="Y111" i="2" s="1"/>
  <c r="Z111" i="2" s="1"/>
  <c r="AA111" i="2" s="1"/>
  <c r="AB111" i="2" s="1"/>
  <c r="AC111" i="2" s="1"/>
  <c r="I110" i="2"/>
  <c r="Q110" i="2" s="1"/>
  <c r="R110" i="2" s="1"/>
  <c r="S110" i="2" s="1"/>
  <c r="T110" i="2" s="1"/>
  <c r="U110" i="2" s="1"/>
  <c r="V110" i="2" s="1"/>
  <c r="W110" i="2" s="1"/>
  <c r="X110" i="2" s="1"/>
  <c r="Y110" i="2" s="1"/>
  <c r="Z110" i="2" s="1"/>
  <c r="AA110" i="2" s="1"/>
  <c r="AB110" i="2" s="1"/>
  <c r="AC110" i="2" s="1"/>
  <c r="G110" i="2"/>
  <c r="I109" i="2"/>
  <c r="P109" i="2" s="1"/>
  <c r="Q109" i="2" s="1"/>
  <c r="R109" i="2" s="1"/>
  <c r="S109" i="2" s="1"/>
  <c r="T109" i="2" s="1"/>
  <c r="U109" i="2" s="1"/>
  <c r="V109" i="2" s="1"/>
  <c r="W109" i="2" s="1"/>
  <c r="X109" i="2" s="1"/>
  <c r="Y109" i="2" s="1"/>
  <c r="Z109" i="2" s="1"/>
  <c r="AA109" i="2" s="1"/>
  <c r="AB109" i="2" s="1"/>
  <c r="AC109" i="2" s="1"/>
  <c r="G109" i="2"/>
  <c r="I108" i="2"/>
  <c r="O108" i="2" s="1"/>
  <c r="P108" i="2" s="1"/>
  <c r="Q108" i="2" s="1"/>
  <c r="R108" i="2" s="1"/>
  <c r="S108" i="2" s="1"/>
  <c r="T108" i="2" s="1"/>
  <c r="U108" i="2" s="1"/>
  <c r="V108" i="2" s="1"/>
  <c r="W108" i="2" s="1"/>
  <c r="X108" i="2" s="1"/>
  <c r="Y108" i="2" s="1"/>
  <c r="Z108" i="2" s="1"/>
  <c r="AA108" i="2" s="1"/>
  <c r="AB108" i="2" s="1"/>
  <c r="AC108" i="2" s="1"/>
  <c r="G108" i="2"/>
  <c r="I107" i="2"/>
  <c r="G107" i="2"/>
  <c r="I106" i="2"/>
  <c r="M106" i="2" s="1"/>
  <c r="N106" i="2" s="1"/>
  <c r="O106" i="2" s="1"/>
  <c r="P106" i="2" s="1"/>
  <c r="Q106" i="2" s="1"/>
  <c r="R106" i="2" s="1"/>
  <c r="S106" i="2" s="1"/>
  <c r="T106" i="2" s="1"/>
  <c r="U106" i="2" s="1"/>
  <c r="V106" i="2" s="1"/>
  <c r="W106" i="2" s="1"/>
  <c r="X106" i="2" s="1"/>
  <c r="Y106" i="2" s="1"/>
  <c r="Z106" i="2" s="1"/>
  <c r="AA106" i="2" s="1"/>
  <c r="AB106" i="2" s="1"/>
  <c r="AC106" i="2" s="1"/>
  <c r="G106" i="2"/>
  <c r="I105" i="2"/>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K104" i="2" s="1"/>
  <c r="L104" i="2" s="1"/>
  <c r="M104" i="2" s="1"/>
  <c r="N104" i="2" s="1"/>
  <c r="O104" i="2" s="1"/>
  <c r="P104" i="2" s="1"/>
  <c r="Q104" i="2" s="1"/>
  <c r="R104" i="2" s="1"/>
  <c r="S104" i="2" s="1"/>
  <c r="T104" i="2" s="1"/>
  <c r="U104" i="2" s="1"/>
  <c r="V104" i="2" s="1"/>
  <c r="W104" i="2" s="1"/>
  <c r="X104" i="2" s="1"/>
  <c r="Y104" i="2" s="1"/>
  <c r="Z104" i="2" s="1"/>
  <c r="AA104" i="2" s="1"/>
  <c r="AB104" i="2" s="1"/>
  <c r="AC104" i="2" s="1"/>
  <c r="G104" i="2"/>
  <c r="I103" i="2"/>
  <c r="AE103" i="2" s="1"/>
  <c r="AG103" i="2" s="1"/>
  <c r="G103" i="2"/>
  <c r="I181" i="2"/>
  <c r="AC181" i="2" s="1"/>
  <c r="G181" i="2"/>
  <c r="F181" i="2"/>
  <c r="E181" i="2"/>
  <c r="D181" i="2"/>
  <c r="I180" i="2"/>
  <c r="AB180" i="2" s="1"/>
  <c r="AC180" i="2" s="1"/>
  <c r="G180" i="2"/>
  <c r="F180" i="2"/>
  <c r="E180" i="2"/>
  <c r="D180" i="2"/>
  <c r="I179" i="2"/>
  <c r="AA179" i="2" s="1"/>
  <c r="AB179" i="2" s="1"/>
  <c r="AC179" i="2" s="1"/>
  <c r="G179" i="2"/>
  <c r="F179" i="2"/>
  <c r="E179" i="2"/>
  <c r="D179" i="2"/>
  <c r="I178" i="2"/>
  <c r="Z178" i="2" s="1"/>
  <c r="AA178" i="2" s="1"/>
  <c r="AB178" i="2" s="1"/>
  <c r="AC178" i="2" s="1"/>
  <c r="G178" i="2"/>
  <c r="F178" i="2"/>
  <c r="E178" i="2"/>
  <c r="D178" i="2"/>
  <c r="I177" i="2"/>
  <c r="Y177" i="2" s="1"/>
  <c r="Z177" i="2" s="1"/>
  <c r="AA177" i="2" s="1"/>
  <c r="AB177" i="2" s="1"/>
  <c r="AC177" i="2" s="1"/>
  <c r="G177" i="2"/>
  <c r="F177" i="2"/>
  <c r="E177" i="2"/>
  <c r="D177" i="2"/>
  <c r="I176" i="2"/>
  <c r="X176" i="2" s="1"/>
  <c r="Y176" i="2" s="1"/>
  <c r="Z176" i="2" s="1"/>
  <c r="AA176" i="2" s="1"/>
  <c r="AB176" i="2" s="1"/>
  <c r="AC176" i="2" s="1"/>
  <c r="G176" i="2"/>
  <c r="F176" i="2"/>
  <c r="E176" i="2"/>
  <c r="D176" i="2"/>
  <c r="I175" i="2"/>
  <c r="W175" i="2" s="1"/>
  <c r="X175" i="2" s="1"/>
  <c r="Y175" i="2" s="1"/>
  <c r="Z175" i="2" s="1"/>
  <c r="AA175" i="2" s="1"/>
  <c r="AB175" i="2" s="1"/>
  <c r="AC175" i="2" s="1"/>
  <c r="G175" i="2"/>
  <c r="F175" i="2"/>
  <c r="E175" i="2"/>
  <c r="D175" i="2"/>
  <c r="I174" i="2"/>
  <c r="V174" i="2" s="1"/>
  <c r="W174" i="2" s="1"/>
  <c r="X174" i="2" s="1"/>
  <c r="Y174" i="2" s="1"/>
  <c r="Z174" i="2" s="1"/>
  <c r="AA174" i="2" s="1"/>
  <c r="AB174" i="2" s="1"/>
  <c r="AC174" i="2" s="1"/>
  <c r="G174" i="2"/>
  <c r="F174" i="2"/>
  <c r="E174" i="2"/>
  <c r="D174" i="2"/>
  <c r="I173" i="2"/>
  <c r="U173" i="2" s="1"/>
  <c r="V173" i="2" s="1"/>
  <c r="W173" i="2" s="1"/>
  <c r="X173" i="2" s="1"/>
  <c r="Y173" i="2" s="1"/>
  <c r="Z173" i="2" s="1"/>
  <c r="AA173" i="2" s="1"/>
  <c r="AB173" i="2" s="1"/>
  <c r="AC173" i="2" s="1"/>
  <c r="G173" i="2"/>
  <c r="F173" i="2"/>
  <c r="E173" i="2"/>
  <c r="D173" i="2"/>
  <c r="I172" i="2"/>
  <c r="T172" i="2" s="1"/>
  <c r="U172" i="2" s="1"/>
  <c r="V172" i="2" s="1"/>
  <c r="W172" i="2" s="1"/>
  <c r="X172" i="2" s="1"/>
  <c r="Y172" i="2" s="1"/>
  <c r="Z172" i="2" s="1"/>
  <c r="AA172" i="2" s="1"/>
  <c r="AB172" i="2" s="1"/>
  <c r="AC172" i="2" s="1"/>
  <c r="G172" i="2"/>
  <c r="F172" i="2"/>
  <c r="E172" i="2"/>
  <c r="D172" i="2"/>
  <c r="I171" i="2"/>
  <c r="S171" i="2" s="1"/>
  <c r="T171" i="2" s="1"/>
  <c r="U171" i="2" s="1"/>
  <c r="V171" i="2" s="1"/>
  <c r="W171" i="2" s="1"/>
  <c r="X171" i="2" s="1"/>
  <c r="Y171" i="2" s="1"/>
  <c r="Z171" i="2" s="1"/>
  <c r="AA171" i="2" s="1"/>
  <c r="AB171" i="2" s="1"/>
  <c r="AC171" i="2" s="1"/>
  <c r="G171" i="2"/>
  <c r="F171" i="2"/>
  <c r="E171" i="2"/>
  <c r="D171" i="2"/>
  <c r="I170" i="2"/>
  <c r="R170" i="2" s="1"/>
  <c r="S170" i="2" s="1"/>
  <c r="T170" i="2" s="1"/>
  <c r="U170" i="2" s="1"/>
  <c r="V170" i="2" s="1"/>
  <c r="W170" i="2" s="1"/>
  <c r="X170" i="2" s="1"/>
  <c r="Y170" i="2" s="1"/>
  <c r="Z170" i="2" s="1"/>
  <c r="AA170" i="2" s="1"/>
  <c r="AB170" i="2" s="1"/>
  <c r="AC170" i="2" s="1"/>
  <c r="I169" i="2"/>
  <c r="Q169" i="2" s="1"/>
  <c r="R169" i="2" s="1"/>
  <c r="S169" i="2" s="1"/>
  <c r="T169" i="2" s="1"/>
  <c r="U169" i="2" s="1"/>
  <c r="V169" i="2" s="1"/>
  <c r="W169" i="2" s="1"/>
  <c r="X169" i="2" s="1"/>
  <c r="Y169" i="2" s="1"/>
  <c r="Z169" i="2" s="1"/>
  <c r="AA169" i="2" s="1"/>
  <c r="AB169" i="2" s="1"/>
  <c r="AC169" i="2" s="1"/>
  <c r="G169" i="2"/>
  <c r="I168" i="2"/>
  <c r="P168" i="2" s="1"/>
  <c r="Q168" i="2" s="1"/>
  <c r="R168" i="2" s="1"/>
  <c r="S168" i="2" s="1"/>
  <c r="T168" i="2" s="1"/>
  <c r="U168" i="2" s="1"/>
  <c r="V168" i="2" s="1"/>
  <c r="W168" i="2" s="1"/>
  <c r="X168" i="2" s="1"/>
  <c r="Y168" i="2" s="1"/>
  <c r="Z168" i="2" s="1"/>
  <c r="AA168" i="2" s="1"/>
  <c r="AB168" i="2" s="1"/>
  <c r="AC168" i="2" s="1"/>
  <c r="G168" i="2"/>
  <c r="I167" i="2"/>
  <c r="O167" i="2" s="1"/>
  <c r="P167" i="2" s="1"/>
  <c r="Q167" i="2" s="1"/>
  <c r="R167" i="2" s="1"/>
  <c r="S167" i="2" s="1"/>
  <c r="T167" i="2" s="1"/>
  <c r="U167" i="2" s="1"/>
  <c r="V167" i="2" s="1"/>
  <c r="W167" i="2" s="1"/>
  <c r="X167" i="2" s="1"/>
  <c r="Y167" i="2" s="1"/>
  <c r="Z167" i="2" s="1"/>
  <c r="AA167" i="2" s="1"/>
  <c r="AB167" i="2" s="1"/>
  <c r="AC167" i="2" s="1"/>
  <c r="G167" i="2"/>
  <c r="I166" i="2"/>
  <c r="N166" i="2" s="1"/>
  <c r="O166" i="2" s="1"/>
  <c r="P166" i="2" s="1"/>
  <c r="Q166" i="2" s="1"/>
  <c r="R166" i="2" s="1"/>
  <c r="S166" i="2" s="1"/>
  <c r="T166" i="2" s="1"/>
  <c r="U166" i="2" s="1"/>
  <c r="V166" i="2" s="1"/>
  <c r="W166" i="2" s="1"/>
  <c r="X166" i="2" s="1"/>
  <c r="Y166" i="2" s="1"/>
  <c r="Z166" i="2" s="1"/>
  <c r="AA166" i="2" s="1"/>
  <c r="AB166" i="2" s="1"/>
  <c r="AC166" i="2" s="1"/>
  <c r="G166" i="2"/>
  <c r="I165" i="2"/>
  <c r="M165" i="2" s="1"/>
  <c r="N165" i="2" s="1"/>
  <c r="O165" i="2" s="1"/>
  <c r="P165" i="2" s="1"/>
  <c r="Q165" i="2" s="1"/>
  <c r="R165" i="2" s="1"/>
  <c r="S165" i="2" s="1"/>
  <c r="T165" i="2" s="1"/>
  <c r="U165" i="2" s="1"/>
  <c r="V165" i="2" s="1"/>
  <c r="W165" i="2" s="1"/>
  <c r="X165" i="2" s="1"/>
  <c r="Y165" i="2" s="1"/>
  <c r="Z165" i="2" s="1"/>
  <c r="AA165" i="2" s="1"/>
  <c r="AB165" i="2" s="1"/>
  <c r="AC165" i="2" s="1"/>
  <c r="G165" i="2"/>
  <c r="I164" i="2"/>
  <c r="L164" i="2" s="1"/>
  <c r="M164" i="2" s="1"/>
  <c r="N164" i="2" s="1"/>
  <c r="O164" i="2" s="1"/>
  <c r="P164" i="2" s="1"/>
  <c r="Q164" i="2" s="1"/>
  <c r="R164" i="2" s="1"/>
  <c r="S164" i="2" s="1"/>
  <c r="T164" i="2" s="1"/>
  <c r="U164" i="2" s="1"/>
  <c r="V164" i="2" s="1"/>
  <c r="W164" i="2" s="1"/>
  <c r="X164" i="2" s="1"/>
  <c r="Y164" i="2" s="1"/>
  <c r="Z164" i="2" s="1"/>
  <c r="AA164" i="2" s="1"/>
  <c r="AB164" i="2" s="1"/>
  <c r="AC164" i="2" s="1"/>
  <c r="G164" i="2"/>
  <c r="I163" i="2"/>
  <c r="K163" i="2" s="1"/>
  <c r="L163" i="2" s="1"/>
  <c r="M163" i="2" s="1"/>
  <c r="N163" i="2" s="1"/>
  <c r="O163" i="2" s="1"/>
  <c r="P163" i="2" s="1"/>
  <c r="Q163" i="2" s="1"/>
  <c r="R163" i="2" s="1"/>
  <c r="S163" i="2" s="1"/>
  <c r="T163" i="2" s="1"/>
  <c r="U163" i="2" s="1"/>
  <c r="V163" i="2" s="1"/>
  <c r="W163" i="2" s="1"/>
  <c r="X163" i="2" s="1"/>
  <c r="Y163" i="2" s="1"/>
  <c r="Z163" i="2" s="1"/>
  <c r="AA163" i="2" s="1"/>
  <c r="AB163" i="2" s="1"/>
  <c r="AC163" i="2" s="1"/>
  <c r="G163" i="2"/>
  <c r="I162" i="2"/>
  <c r="G162" i="2"/>
  <c r="I81" i="2"/>
  <c r="AC81" i="2" s="1"/>
  <c r="G81" i="2"/>
  <c r="F81" i="2"/>
  <c r="E81" i="2"/>
  <c r="D81" i="2"/>
  <c r="I80" i="2"/>
  <c r="AB80" i="2" s="1"/>
  <c r="AC80" i="2" s="1"/>
  <c r="G80" i="2"/>
  <c r="F80" i="2"/>
  <c r="E80" i="2"/>
  <c r="D80" i="2"/>
  <c r="I79" i="2"/>
  <c r="AA79" i="2" s="1"/>
  <c r="AB79" i="2" s="1"/>
  <c r="AC79" i="2" s="1"/>
  <c r="G79" i="2"/>
  <c r="F79" i="2"/>
  <c r="E79" i="2"/>
  <c r="D79" i="2"/>
  <c r="I78" i="2"/>
  <c r="Z78" i="2" s="1"/>
  <c r="AA78" i="2" s="1"/>
  <c r="AB78" i="2" s="1"/>
  <c r="AC78" i="2" s="1"/>
  <c r="G78" i="2"/>
  <c r="F78" i="2"/>
  <c r="E78" i="2"/>
  <c r="D78" i="2"/>
  <c r="I77" i="2"/>
  <c r="Y77" i="2" s="1"/>
  <c r="Z77" i="2" s="1"/>
  <c r="AA77" i="2" s="1"/>
  <c r="AB77" i="2" s="1"/>
  <c r="AC77" i="2" s="1"/>
  <c r="G77" i="2"/>
  <c r="F77" i="2"/>
  <c r="E77" i="2"/>
  <c r="D77" i="2"/>
  <c r="I76" i="2"/>
  <c r="X76" i="2" s="1"/>
  <c r="Y76" i="2" s="1"/>
  <c r="Z76" i="2" s="1"/>
  <c r="AA76" i="2" s="1"/>
  <c r="AB76" i="2" s="1"/>
  <c r="AC76" i="2" s="1"/>
  <c r="G76" i="2"/>
  <c r="F76" i="2"/>
  <c r="E76" i="2"/>
  <c r="D76" i="2"/>
  <c r="I75" i="2"/>
  <c r="W75" i="2" s="1"/>
  <c r="X75" i="2" s="1"/>
  <c r="Y75" i="2" s="1"/>
  <c r="Z75" i="2" s="1"/>
  <c r="AA75" i="2" s="1"/>
  <c r="AB75" i="2" s="1"/>
  <c r="AC75" i="2" s="1"/>
  <c r="G75" i="2"/>
  <c r="F75" i="2"/>
  <c r="E75" i="2"/>
  <c r="D75" i="2"/>
  <c r="I74" i="2"/>
  <c r="V74" i="2" s="1"/>
  <c r="W74" i="2" s="1"/>
  <c r="X74" i="2" s="1"/>
  <c r="Y74" i="2" s="1"/>
  <c r="Z74" i="2" s="1"/>
  <c r="AA74" i="2" s="1"/>
  <c r="AB74" i="2" s="1"/>
  <c r="AC74" i="2" s="1"/>
  <c r="G74" i="2"/>
  <c r="F74" i="2"/>
  <c r="E74" i="2"/>
  <c r="D74" i="2"/>
  <c r="I73" i="2"/>
  <c r="U73" i="2" s="1"/>
  <c r="V73" i="2" s="1"/>
  <c r="W73" i="2" s="1"/>
  <c r="X73" i="2" s="1"/>
  <c r="Y73" i="2" s="1"/>
  <c r="Z73" i="2" s="1"/>
  <c r="AA73" i="2" s="1"/>
  <c r="AB73" i="2" s="1"/>
  <c r="AC73" i="2" s="1"/>
  <c r="G73" i="2"/>
  <c r="F73" i="2"/>
  <c r="E73" i="2"/>
  <c r="D73" i="2"/>
  <c r="I72" i="2"/>
  <c r="T72" i="2" s="1"/>
  <c r="U72" i="2" s="1"/>
  <c r="V72" i="2" s="1"/>
  <c r="W72" i="2" s="1"/>
  <c r="X72" i="2" s="1"/>
  <c r="Y72" i="2" s="1"/>
  <c r="Z72" i="2" s="1"/>
  <c r="AA72" i="2" s="1"/>
  <c r="AB72" i="2" s="1"/>
  <c r="AC72" i="2" s="1"/>
  <c r="G72" i="2"/>
  <c r="F72" i="2"/>
  <c r="E72" i="2"/>
  <c r="D72" i="2"/>
  <c r="I71" i="2"/>
  <c r="S71" i="2" s="1"/>
  <c r="T71" i="2" s="1"/>
  <c r="U71" i="2" s="1"/>
  <c r="V71" i="2" s="1"/>
  <c r="W71" i="2" s="1"/>
  <c r="X71" i="2" s="1"/>
  <c r="Y71" i="2" s="1"/>
  <c r="Z71" i="2" s="1"/>
  <c r="AA71" i="2" s="1"/>
  <c r="AB71" i="2" s="1"/>
  <c r="AC71" i="2" s="1"/>
  <c r="G71" i="2"/>
  <c r="F71" i="2"/>
  <c r="E71" i="2"/>
  <c r="D71" i="2"/>
  <c r="I70" i="2"/>
  <c r="R70" i="2" s="1"/>
  <c r="S70" i="2" s="1"/>
  <c r="T70" i="2" s="1"/>
  <c r="U70" i="2" s="1"/>
  <c r="V70" i="2" s="1"/>
  <c r="W70" i="2" s="1"/>
  <c r="X70" i="2" s="1"/>
  <c r="Y70" i="2" s="1"/>
  <c r="Z70" i="2" s="1"/>
  <c r="AA70" i="2" s="1"/>
  <c r="AB70" i="2" s="1"/>
  <c r="AC70" i="2" s="1"/>
  <c r="I69" i="2"/>
  <c r="Q69" i="2" s="1"/>
  <c r="R69" i="2" s="1"/>
  <c r="S69" i="2" s="1"/>
  <c r="T69" i="2" s="1"/>
  <c r="U69" i="2" s="1"/>
  <c r="V69" i="2" s="1"/>
  <c r="W69" i="2" s="1"/>
  <c r="X69" i="2" s="1"/>
  <c r="Y69" i="2" s="1"/>
  <c r="Z69" i="2" s="1"/>
  <c r="AA69" i="2" s="1"/>
  <c r="AB69" i="2" s="1"/>
  <c r="AC69" i="2" s="1"/>
  <c r="G69" i="2"/>
  <c r="I68" i="2"/>
  <c r="P68" i="2" s="1"/>
  <c r="Q68" i="2" s="1"/>
  <c r="R68" i="2" s="1"/>
  <c r="S68" i="2" s="1"/>
  <c r="T68" i="2" s="1"/>
  <c r="U68" i="2" s="1"/>
  <c r="V68" i="2" s="1"/>
  <c r="W68" i="2" s="1"/>
  <c r="X68" i="2" s="1"/>
  <c r="Y68" i="2" s="1"/>
  <c r="Z68" i="2" s="1"/>
  <c r="AA68" i="2" s="1"/>
  <c r="AB68" i="2" s="1"/>
  <c r="AC68" i="2" s="1"/>
  <c r="G68" i="2"/>
  <c r="I67" i="2"/>
  <c r="O67" i="2" s="1"/>
  <c r="P67" i="2" s="1"/>
  <c r="Q67" i="2" s="1"/>
  <c r="R67" i="2" s="1"/>
  <c r="S67" i="2" s="1"/>
  <c r="T67" i="2" s="1"/>
  <c r="U67" i="2" s="1"/>
  <c r="V67" i="2" s="1"/>
  <c r="W67" i="2" s="1"/>
  <c r="X67" i="2" s="1"/>
  <c r="Y67" i="2" s="1"/>
  <c r="Z67" i="2" s="1"/>
  <c r="AA67" i="2" s="1"/>
  <c r="AB67" i="2" s="1"/>
  <c r="AC67" i="2" s="1"/>
  <c r="G67" i="2"/>
  <c r="I66" i="2"/>
  <c r="N66" i="2" s="1"/>
  <c r="O66" i="2" s="1"/>
  <c r="P66" i="2" s="1"/>
  <c r="Q66" i="2" s="1"/>
  <c r="R66" i="2" s="1"/>
  <c r="S66" i="2" s="1"/>
  <c r="T66" i="2" s="1"/>
  <c r="U66" i="2" s="1"/>
  <c r="V66" i="2" s="1"/>
  <c r="W66" i="2" s="1"/>
  <c r="X66" i="2" s="1"/>
  <c r="Y66" i="2" s="1"/>
  <c r="Z66" i="2" s="1"/>
  <c r="AA66" i="2" s="1"/>
  <c r="AB66" i="2" s="1"/>
  <c r="AC66" i="2" s="1"/>
  <c r="G66" i="2"/>
  <c r="I65" i="2"/>
  <c r="M65" i="2" s="1"/>
  <c r="N65" i="2" s="1"/>
  <c r="O65" i="2" s="1"/>
  <c r="P65" i="2" s="1"/>
  <c r="Q65" i="2" s="1"/>
  <c r="R65" i="2" s="1"/>
  <c r="S65" i="2" s="1"/>
  <c r="T65" i="2" s="1"/>
  <c r="U65" i="2" s="1"/>
  <c r="V65" i="2" s="1"/>
  <c r="W65" i="2" s="1"/>
  <c r="X65" i="2" s="1"/>
  <c r="Y65" i="2" s="1"/>
  <c r="Z65" i="2" s="1"/>
  <c r="AA65" i="2" s="1"/>
  <c r="AB65" i="2" s="1"/>
  <c r="AC65" i="2" s="1"/>
  <c r="G65" i="2"/>
  <c r="I64" i="2"/>
  <c r="L64" i="2" s="1"/>
  <c r="M64" i="2" s="1"/>
  <c r="N64" i="2" s="1"/>
  <c r="O64" i="2" s="1"/>
  <c r="P64" i="2" s="1"/>
  <c r="Q64" i="2" s="1"/>
  <c r="R64" i="2" s="1"/>
  <c r="S64" i="2" s="1"/>
  <c r="T64" i="2" s="1"/>
  <c r="U64" i="2" s="1"/>
  <c r="V64" i="2" s="1"/>
  <c r="W64" i="2" s="1"/>
  <c r="X64" i="2" s="1"/>
  <c r="Y64" i="2" s="1"/>
  <c r="Z64" i="2" s="1"/>
  <c r="AA64" i="2" s="1"/>
  <c r="AB64" i="2" s="1"/>
  <c r="AC64" i="2" s="1"/>
  <c r="G64" i="2"/>
  <c r="I63" i="2"/>
  <c r="K63" i="2" s="1"/>
  <c r="L63" i="2" s="1"/>
  <c r="M63" i="2" s="1"/>
  <c r="N63" i="2" s="1"/>
  <c r="O63" i="2" s="1"/>
  <c r="P63" i="2" s="1"/>
  <c r="Q63" i="2" s="1"/>
  <c r="R63" i="2" s="1"/>
  <c r="S63" i="2" s="1"/>
  <c r="T63" i="2" s="1"/>
  <c r="U63" i="2" s="1"/>
  <c r="V63" i="2" s="1"/>
  <c r="W63" i="2" s="1"/>
  <c r="X63" i="2" s="1"/>
  <c r="Y63" i="2" s="1"/>
  <c r="Z63" i="2" s="1"/>
  <c r="AA63" i="2" s="1"/>
  <c r="AB63" i="2" s="1"/>
  <c r="AC63" i="2" s="1"/>
  <c r="G63" i="2"/>
  <c r="I62" i="2"/>
  <c r="G62"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23" i="2"/>
  <c r="G224" i="2"/>
  <c r="G225" i="2"/>
  <c r="G226" i="2"/>
  <c r="G227" i="2"/>
  <c r="G228" i="2"/>
  <c r="G229" i="2"/>
  <c r="G230" i="2"/>
  <c r="G231" i="2"/>
  <c r="G232" i="2"/>
  <c r="G222" i="2"/>
  <c r="G206" i="2"/>
  <c r="G207" i="2"/>
  <c r="G208" i="2"/>
  <c r="G209" i="2"/>
  <c r="G210" i="2"/>
  <c r="G211" i="2"/>
  <c r="G212" i="2"/>
  <c r="G213" i="2"/>
  <c r="G214" i="2"/>
  <c r="G215" i="2"/>
  <c r="G205" i="2"/>
  <c r="G189" i="2"/>
  <c r="G190" i="2"/>
  <c r="G191" i="2"/>
  <c r="G192" i="2"/>
  <c r="G193" i="2"/>
  <c r="G194" i="2"/>
  <c r="G195" i="2"/>
  <c r="G196" i="2"/>
  <c r="G197" i="2"/>
  <c r="G198" i="2"/>
  <c r="G188" i="2"/>
  <c r="G148" i="2"/>
  <c r="G149" i="2"/>
  <c r="G150" i="2"/>
  <c r="G151" i="2"/>
  <c r="G152" i="2"/>
  <c r="G153" i="2"/>
  <c r="G154" i="2"/>
  <c r="G155" i="2"/>
  <c r="G156" i="2"/>
  <c r="G157" i="2"/>
  <c r="G147" i="2"/>
  <c r="G131" i="2"/>
  <c r="G132" i="2"/>
  <c r="G133" i="2"/>
  <c r="G134" i="2"/>
  <c r="G135" i="2"/>
  <c r="G136" i="2"/>
  <c r="G137" i="2"/>
  <c r="G138" i="2"/>
  <c r="G139" i="2"/>
  <c r="G140" i="2"/>
  <c r="G130" i="2"/>
  <c r="G89" i="2"/>
  <c r="G90" i="2"/>
  <c r="G91" i="2"/>
  <c r="G92" i="2"/>
  <c r="G93" i="2"/>
  <c r="G94" i="2"/>
  <c r="G95" i="2"/>
  <c r="G96" i="2"/>
  <c r="G97" i="2"/>
  <c r="G98" i="2"/>
  <c r="G88" i="2"/>
  <c r="G31" i="2"/>
  <c r="G32" i="2"/>
  <c r="G33" i="2"/>
  <c r="G34" i="2"/>
  <c r="G35" i="2"/>
  <c r="G36" i="2"/>
  <c r="G37" i="2"/>
  <c r="G38" i="2"/>
  <c r="G39" i="2"/>
  <c r="G40" i="2"/>
  <c r="G30" i="2"/>
  <c r="AC232" i="2"/>
  <c r="AB232" i="2"/>
  <c r="AA232" i="2"/>
  <c r="Z232" i="2"/>
  <c r="Y232" i="2"/>
  <c r="X232" i="2"/>
  <c r="W232" i="2"/>
  <c r="V232" i="2"/>
  <c r="U232" i="2"/>
  <c r="T232" i="2"/>
  <c r="S232" i="2"/>
  <c r="R232" i="2"/>
  <c r="Q232" i="2"/>
  <c r="P232" i="2"/>
  <c r="O232" i="2"/>
  <c r="N232" i="2"/>
  <c r="M232" i="2"/>
  <c r="L232" i="2"/>
  <c r="K232" i="2"/>
  <c r="J232" i="2"/>
  <c r="F232" i="2"/>
  <c r="E232" i="2"/>
  <c r="D232"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B227" i="2"/>
  <c r="AA227" i="2"/>
  <c r="Z227" i="2"/>
  <c r="Y227" i="2"/>
  <c r="X227" i="2"/>
  <c r="W227" i="2"/>
  <c r="V227" i="2"/>
  <c r="U227" i="2"/>
  <c r="T227" i="2"/>
  <c r="S227" i="2"/>
  <c r="R227" i="2"/>
  <c r="Q227" i="2"/>
  <c r="P227" i="2"/>
  <c r="O227" i="2"/>
  <c r="N227" i="2"/>
  <c r="M227" i="2"/>
  <c r="L227" i="2"/>
  <c r="K227" i="2"/>
  <c r="J227" i="2"/>
  <c r="F227" i="2"/>
  <c r="E227" i="2"/>
  <c r="D227" i="2"/>
  <c r="AA226" i="2"/>
  <c r="Z226" i="2"/>
  <c r="Y226" i="2"/>
  <c r="X226" i="2"/>
  <c r="W226" i="2"/>
  <c r="V226" i="2"/>
  <c r="U226" i="2"/>
  <c r="T226" i="2"/>
  <c r="S226" i="2"/>
  <c r="R226" i="2"/>
  <c r="Q226" i="2"/>
  <c r="P226" i="2"/>
  <c r="O226" i="2"/>
  <c r="N226" i="2"/>
  <c r="M226" i="2"/>
  <c r="L226" i="2"/>
  <c r="K226" i="2"/>
  <c r="J226" i="2"/>
  <c r="F226" i="2"/>
  <c r="E226" i="2"/>
  <c r="D226" i="2"/>
  <c r="Z225" i="2"/>
  <c r="Y225" i="2"/>
  <c r="X225" i="2"/>
  <c r="W225" i="2"/>
  <c r="V225" i="2"/>
  <c r="U225" i="2"/>
  <c r="T225" i="2"/>
  <c r="S225" i="2"/>
  <c r="R225" i="2"/>
  <c r="Q225" i="2"/>
  <c r="P225" i="2"/>
  <c r="O225" i="2"/>
  <c r="N225" i="2"/>
  <c r="M225" i="2"/>
  <c r="L225" i="2"/>
  <c r="K225" i="2"/>
  <c r="J225" i="2"/>
  <c r="F225" i="2"/>
  <c r="E225" i="2"/>
  <c r="D225" i="2"/>
  <c r="Y224" i="2"/>
  <c r="X224" i="2"/>
  <c r="W224" i="2"/>
  <c r="V224" i="2"/>
  <c r="U224" i="2"/>
  <c r="T224" i="2"/>
  <c r="S224" i="2"/>
  <c r="R224" i="2"/>
  <c r="Q224" i="2"/>
  <c r="P224" i="2"/>
  <c r="O224" i="2"/>
  <c r="N224" i="2"/>
  <c r="M224" i="2"/>
  <c r="L224" i="2"/>
  <c r="K224" i="2"/>
  <c r="J224" i="2"/>
  <c r="F224" i="2"/>
  <c r="E224" i="2"/>
  <c r="D224" i="2"/>
  <c r="X223" i="2"/>
  <c r="W223" i="2"/>
  <c r="V223" i="2"/>
  <c r="U223" i="2"/>
  <c r="T223" i="2"/>
  <c r="S223" i="2"/>
  <c r="R223" i="2"/>
  <c r="Q223" i="2"/>
  <c r="P223" i="2"/>
  <c r="O223" i="2"/>
  <c r="N223" i="2"/>
  <c r="M223" i="2"/>
  <c r="L223" i="2"/>
  <c r="K223" i="2"/>
  <c r="J223" i="2"/>
  <c r="F223" i="2"/>
  <c r="E223" i="2"/>
  <c r="D223" i="2"/>
  <c r="W222" i="2"/>
  <c r="V222" i="2"/>
  <c r="U222" i="2"/>
  <c r="T222" i="2"/>
  <c r="S222" i="2"/>
  <c r="R222" i="2"/>
  <c r="Q222" i="2"/>
  <c r="P222" i="2"/>
  <c r="O222" i="2"/>
  <c r="N222" i="2"/>
  <c r="M222" i="2"/>
  <c r="L222" i="2"/>
  <c r="K222" i="2"/>
  <c r="J222" i="2"/>
  <c r="F222" i="2"/>
  <c r="E222" i="2"/>
  <c r="D222" i="2"/>
  <c r="V221" i="2"/>
  <c r="U221" i="2"/>
  <c r="T221" i="2"/>
  <c r="S221" i="2"/>
  <c r="R221" i="2"/>
  <c r="Q221" i="2"/>
  <c r="P221" i="2"/>
  <c r="O221" i="2"/>
  <c r="N221" i="2"/>
  <c r="M221" i="2"/>
  <c r="L221" i="2"/>
  <c r="K221" i="2"/>
  <c r="J221" i="2"/>
  <c r="AC215" i="2"/>
  <c r="AB215" i="2"/>
  <c r="AA215" i="2"/>
  <c r="Z215" i="2"/>
  <c r="Y215" i="2"/>
  <c r="X215" i="2"/>
  <c r="W215" i="2"/>
  <c r="V215" i="2"/>
  <c r="U215" i="2"/>
  <c r="T215" i="2"/>
  <c r="S215" i="2"/>
  <c r="R215" i="2"/>
  <c r="Q215" i="2"/>
  <c r="P215" i="2"/>
  <c r="O215" i="2"/>
  <c r="N215" i="2"/>
  <c r="M215" i="2"/>
  <c r="L215" i="2"/>
  <c r="K215" i="2"/>
  <c r="J215" i="2"/>
  <c r="F215" i="2"/>
  <c r="E215" i="2"/>
  <c r="D215" i="2"/>
  <c r="AC214" i="2"/>
  <c r="AB214" i="2"/>
  <c r="AA214" i="2"/>
  <c r="Z214" i="2"/>
  <c r="Y214" i="2"/>
  <c r="X214" i="2"/>
  <c r="W214" i="2"/>
  <c r="V214" i="2"/>
  <c r="U214" i="2"/>
  <c r="T214" i="2"/>
  <c r="S214" i="2"/>
  <c r="R214" i="2"/>
  <c r="Q214" i="2"/>
  <c r="P214" i="2"/>
  <c r="O214" i="2"/>
  <c r="N214" i="2"/>
  <c r="M214" i="2"/>
  <c r="L214" i="2"/>
  <c r="K214" i="2"/>
  <c r="J214" i="2"/>
  <c r="F214" i="2"/>
  <c r="E214" i="2"/>
  <c r="D214" i="2"/>
  <c r="AC213" i="2"/>
  <c r="AB213" i="2"/>
  <c r="AA213" i="2"/>
  <c r="Z213" i="2"/>
  <c r="Y213" i="2"/>
  <c r="X213" i="2"/>
  <c r="W213" i="2"/>
  <c r="V213" i="2"/>
  <c r="U213" i="2"/>
  <c r="T213" i="2"/>
  <c r="S213" i="2"/>
  <c r="R213" i="2"/>
  <c r="Q213" i="2"/>
  <c r="P213" i="2"/>
  <c r="O213" i="2"/>
  <c r="N213" i="2"/>
  <c r="M213" i="2"/>
  <c r="L213" i="2"/>
  <c r="K213" i="2"/>
  <c r="J213" i="2"/>
  <c r="F213" i="2"/>
  <c r="E213" i="2"/>
  <c r="D213" i="2"/>
  <c r="AC212" i="2"/>
  <c r="AB212" i="2"/>
  <c r="AA212" i="2"/>
  <c r="Z212" i="2"/>
  <c r="Y212" i="2"/>
  <c r="X212" i="2"/>
  <c r="W212" i="2"/>
  <c r="V212" i="2"/>
  <c r="U212" i="2"/>
  <c r="T212" i="2"/>
  <c r="S212" i="2"/>
  <c r="R212" i="2"/>
  <c r="Q212" i="2"/>
  <c r="P212" i="2"/>
  <c r="O212" i="2"/>
  <c r="N212" i="2"/>
  <c r="M212" i="2"/>
  <c r="L212" i="2"/>
  <c r="K212" i="2"/>
  <c r="J212" i="2"/>
  <c r="F212" i="2"/>
  <c r="E212" i="2"/>
  <c r="D212" i="2"/>
  <c r="AC211" i="2"/>
  <c r="AB211" i="2"/>
  <c r="AA211" i="2"/>
  <c r="Z211" i="2"/>
  <c r="Y211" i="2"/>
  <c r="X211" i="2"/>
  <c r="W211" i="2"/>
  <c r="V211" i="2"/>
  <c r="U211" i="2"/>
  <c r="T211" i="2"/>
  <c r="S211" i="2"/>
  <c r="R211" i="2"/>
  <c r="Q211" i="2"/>
  <c r="P211" i="2"/>
  <c r="O211" i="2"/>
  <c r="N211" i="2"/>
  <c r="M211" i="2"/>
  <c r="L211" i="2"/>
  <c r="K211" i="2"/>
  <c r="J211" i="2"/>
  <c r="F211" i="2"/>
  <c r="E211" i="2"/>
  <c r="D211" i="2"/>
  <c r="AB210" i="2"/>
  <c r="AA210" i="2"/>
  <c r="Z210" i="2"/>
  <c r="Y210" i="2"/>
  <c r="X210" i="2"/>
  <c r="W210" i="2"/>
  <c r="V210" i="2"/>
  <c r="U210" i="2"/>
  <c r="T210" i="2"/>
  <c r="S210" i="2"/>
  <c r="R210" i="2"/>
  <c r="Q210" i="2"/>
  <c r="P210" i="2"/>
  <c r="O210" i="2"/>
  <c r="N210" i="2"/>
  <c r="M210" i="2"/>
  <c r="L210" i="2"/>
  <c r="K210" i="2"/>
  <c r="J210" i="2"/>
  <c r="F210" i="2"/>
  <c r="E210" i="2"/>
  <c r="D210" i="2"/>
  <c r="AA209" i="2"/>
  <c r="Z209" i="2"/>
  <c r="Y209" i="2"/>
  <c r="X209" i="2"/>
  <c r="W209" i="2"/>
  <c r="V209" i="2"/>
  <c r="U209" i="2"/>
  <c r="T209" i="2"/>
  <c r="S209" i="2"/>
  <c r="R209" i="2"/>
  <c r="Q209" i="2"/>
  <c r="P209" i="2"/>
  <c r="O209" i="2"/>
  <c r="N209" i="2"/>
  <c r="M209" i="2"/>
  <c r="L209" i="2"/>
  <c r="K209" i="2"/>
  <c r="J209" i="2"/>
  <c r="F209" i="2"/>
  <c r="E209" i="2"/>
  <c r="D209" i="2"/>
  <c r="Z208" i="2"/>
  <c r="Y208" i="2"/>
  <c r="X208" i="2"/>
  <c r="W208" i="2"/>
  <c r="V208" i="2"/>
  <c r="U208" i="2"/>
  <c r="T208" i="2"/>
  <c r="S208" i="2"/>
  <c r="R208" i="2"/>
  <c r="Q208" i="2"/>
  <c r="P208" i="2"/>
  <c r="O208" i="2"/>
  <c r="N208" i="2"/>
  <c r="M208" i="2"/>
  <c r="L208" i="2"/>
  <c r="K208" i="2"/>
  <c r="J208" i="2"/>
  <c r="F208" i="2"/>
  <c r="E208" i="2"/>
  <c r="D208" i="2"/>
  <c r="Y207" i="2"/>
  <c r="X207" i="2"/>
  <c r="W207" i="2"/>
  <c r="V207" i="2"/>
  <c r="U207" i="2"/>
  <c r="T207" i="2"/>
  <c r="S207" i="2"/>
  <c r="R207" i="2"/>
  <c r="Q207" i="2"/>
  <c r="P207" i="2"/>
  <c r="O207" i="2"/>
  <c r="N207" i="2"/>
  <c r="M207" i="2"/>
  <c r="L207" i="2"/>
  <c r="K207" i="2"/>
  <c r="J207" i="2"/>
  <c r="F207" i="2"/>
  <c r="E207" i="2"/>
  <c r="D207" i="2"/>
  <c r="X206" i="2"/>
  <c r="W206" i="2"/>
  <c r="V206" i="2"/>
  <c r="U206" i="2"/>
  <c r="T206" i="2"/>
  <c r="S206" i="2"/>
  <c r="R206" i="2"/>
  <c r="Q206" i="2"/>
  <c r="P206" i="2"/>
  <c r="O206" i="2"/>
  <c r="N206" i="2"/>
  <c r="M206" i="2"/>
  <c r="L206" i="2"/>
  <c r="K206" i="2"/>
  <c r="J206" i="2"/>
  <c r="F206" i="2"/>
  <c r="E206" i="2"/>
  <c r="D206" i="2"/>
  <c r="W205" i="2"/>
  <c r="V205" i="2"/>
  <c r="U205" i="2"/>
  <c r="T205" i="2"/>
  <c r="S205" i="2"/>
  <c r="R205" i="2"/>
  <c r="Q205" i="2"/>
  <c r="P205" i="2"/>
  <c r="O205" i="2"/>
  <c r="N205" i="2"/>
  <c r="M205" i="2"/>
  <c r="L205" i="2"/>
  <c r="K205" i="2"/>
  <c r="J205" i="2"/>
  <c r="F205" i="2"/>
  <c r="E205" i="2"/>
  <c r="D205" i="2"/>
  <c r="V204" i="2"/>
  <c r="U204" i="2"/>
  <c r="T204" i="2"/>
  <c r="S204" i="2"/>
  <c r="R204" i="2"/>
  <c r="Q204" i="2"/>
  <c r="P204" i="2"/>
  <c r="O204" i="2"/>
  <c r="N204" i="2"/>
  <c r="M204" i="2"/>
  <c r="L204" i="2"/>
  <c r="K204" i="2"/>
  <c r="J204" i="2"/>
  <c r="AC198" i="2"/>
  <c r="AB198" i="2"/>
  <c r="AA198" i="2"/>
  <c r="Z198" i="2"/>
  <c r="Y198" i="2"/>
  <c r="X198" i="2"/>
  <c r="W198" i="2"/>
  <c r="V198" i="2"/>
  <c r="U198" i="2"/>
  <c r="T198" i="2"/>
  <c r="S198" i="2"/>
  <c r="R198" i="2"/>
  <c r="Q198" i="2"/>
  <c r="P198" i="2"/>
  <c r="O198" i="2"/>
  <c r="N198" i="2"/>
  <c r="M198" i="2"/>
  <c r="L198" i="2"/>
  <c r="K198" i="2"/>
  <c r="J198" i="2"/>
  <c r="F198" i="2"/>
  <c r="E198" i="2"/>
  <c r="D198" i="2"/>
  <c r="AC197" i="2"/>
  <c r="AB197" i="2"/>
  <c r="AA197" i="2"/>
  <c r="Z197" i="2"/>
  <c r="Y197" i="2"/>
  <c r="X197" i="2"/>
  <c r="W197" i="2"/>
  <c r="V197" i="2"/>
  <c r="U197" i="2"/>
  <c r="T197" i="2"/>
  <c r="S197" i="2"/>
  <c r="R197" i="2"/>
  <c r="Q197" i="2"/>
  <c r="P197" i="2"/>
  <c r="O197" i="2"/>
  <c r="N197" i="2"/>
  <c r="M197" i="2"/>
  <c r="L197" i="2"/>
  <c r="K197" i="2"/>
  <c r="J197" i="2"/>
  <c r="F197" i="2"/>
  <c r="E197" i="2"/>
  <c r="D197" i="2"/>
  <c r="AC196" i="2"/>
  <c r="AB196" i="2"/>
  <c r="AA196" i="2"/>
  <c r="Z196" i="2"/>
  <c r="Y196" i="2"/>
  <c r="X196" i="2"/>
  <c r="W196" i="2"/>
  <c r="V196" i="2"/>
  <c r="U196" i="2"/>
  <c r="T196" i="2"/>
  <c r="S196" i="2"/>
  <c r="R196" i="2"/>
  <c r="Q196" i="2"/>
  <c r="P196" i="2"/>
  <c r="O196" i="2"/>
  <c r="N196" i="2"/>
  <c r="M196" i="2"/>
  <c r="L196" i="2"/>
  <c r="K196" i="2"/>
  <c r="J196" i="2"/>
  <c r="F196" i="2"/>
  <c r="E196" i="2"/>
  <c r="D196" i="2"/>
  <c r="AC195" i="2"/>
  <c r="AB195" i="2"/>
  <c r="AA195" i="2"/>
  <c r="Z195" i="2"/>
  <c r="Y195" i="2"/>
  <c r="X195" i="2"/>
  <c r="W195" i="2"/>
  <c r="V195" i="2"/>
  <c r="U195" i="2"/>
  <c r="T195" i="2"/>
  <c r="S195" i="2"/>
  <c r="R195" i="2"/>
  <c r="Q195" i="2"/>
  <c r="P195" i="2"/>
  <c r="O195" i="2"/>
  <c r="N195" i="2"/>
  <c r="M195" i="2"/>
  <c r="L195" i="2"/>
  <c r="K195" i="2"/>
  <c r="J195" i="2"/>
  <c r="F195" i="2"/>
  <c r="E195" i="2"/>
  <c r="D195" i="2"/>
  <c r="AC194" i="2"/>
  <c r="AB194" i="2"/>
  <c r="AA194" i="2"/>
  <c r="Z194" i="2"/>
  <c r="Y194" i="2"/>
  <c r="X194" i="2"/>
  <c r="W194" i="2"/>
  <c r="V194" i="2"/>
  <c r="U194" i="2"/>
  <c r="T194" i="2"/>
  <c r="S194" i="2"/>
  <c r="R194" i="2"/>
  <c r="Q194" i="2"/>
  <c r="P194" i="2"/>
  <c r="O194" i="2"/>
  <c r="N194" i="2"/>
  <c r="M194" i="2"/>
  <c r="L194" i="2"/>
  <c r="K194" i="2"/>
  <c r="J194" i="2"/>
  <c r="F194" i="2"/>
  <c r="E194" i="2"/>
  <c r="D194" i="2"/>
  <c r="AB193" i="2"/>
  <c r="AA193" i="2"/>
  <c r="Z193" i="2"/>
  <c r="Y193" i="2"/>
  <c r="X193" i="2"/>
  <c r="W193" i="2"/>
  <c r="V193" i="2"/>
  <c r="U193" i="2"/>
  <c r="T193" i="2"/>
  <c r="S193" i="2"/>
  <c r="R193" i="2"/>
  <c r="Q193" i="2"/>
  <c r="P193" i="2"/>
  <c r="O193" i="2"/>
  <c r="N193" i="2"/>
  <c r="M193" i="2"/>
  <c r="L193" i="2"/>
  <c r="K193" i="2"/>
  <c r="J193" i="2"/>
  <c r="F193" i="2"/>
  <c r="E193" i="2"/>
  <c r="D193" i="2"/>
  <c r="AA192" i="2"/>
  <c r="Z192" i="2"/>
  <c r="Y192" i="2"/>
  <c r="X192" i="2"/>
  <c r="W192" i="2"/>
  <c r="V192" i="2"/>
  <c r="U192" i="2"/>
  <c r="T192" i="2"/>
  <c r="S192" i="2"/>
  <c r="R192" i="2"/>
  <c r="Q192" i="2"/>
  <c r="P192" i="2"/>
  <c r="O192" i="2"/>
  <c r="N192" i="2"/>
  <c r="M192" i="2"/>
  <c r="L192" i="2"/>
  <c r="K192" i="2"/>
  <c r="J192" i="2"/>
  <c r="F192" i="2"/>
  <c r="E192" i="2"/>
  <c r="D192" i="2"/>
  <c r="Z191" i="2"/>
  <c r="Y191" i="2"/>
  <c r="X191" i="2"/>
  <c r="W191" i="2"/>
  <c r="V191" i="2"/>
  <c r="U191" i="2"/>
  <c r="T191" i="2"/>
  <c r="S191" i="2"/>
  <c r="R191" i="2"/>
  <c r="Q191" i="2"/>
  <c r="P191" i="2"/>
  <c r="O191" i="2"/>
  <c r="N191" i="2"/>
  <c r="M191" i="2"/>
  <c r="L191" i="2"/>
  <c r="K191" i="2"/>
  <c r="J191" i="2"/>
  <c r="F191" i="2"/>
  <c r="E191" i="2"/>
  <c r="D191" i="2"/>
  <c r="Y190" i="2"/>
  <c r="X190" i="2"/>
  <c r="W190" i="2"/>
  <c r="V190" i="2"/>
  <c r="U190" i="2"/>
  <c r="T190" i="2"/>
  <c r="S190" i="2"/>
  <c r="R190" i="2"/>
  <c r="Q190" i="2"/>
  <c r="P190" i="2"/>
  <c r="O190" i="2"/>
  <c r="N190" i="2"/>
  <c r="M190" i="2"/>
  <c r="L190" i="2"/>
  <c r="K190" i="2"/>
  <c r="J190" i="2"/>
  <c r="F190" i="2"/>
  <c r="E190" i="2"/>
  <c r="D190" i="2"/>
  <c r="X189" i="2"/>
  <c r="W189" i="2"/>
  <c r="V189" i="2"/>
  <c r="U189" i="2"/>
  <c r="T189" i="2"/>
  <c r="S189" i="2"/>
  <c r="R189" i="2"/>
  <c r="Q189" i="2"/>
  <c r="P189" i="2"/>
  <c r="O189" i="2"/>
  <c r="N189" i="2"/>
  <c r="M189" i="2"/>
  <c r="L189" i="2"/>
  <c r="K189" i="2"/>
  <c r="J189" i="2"/>
  <c r="F189" i="2"/>
  <c r="E189" i="2"/>
  <c r="D189" i="2"/>
  <c r="W188" i="2"/>
  <c r="V188" i="2"/>
  <c r="U188" i="2"/>
  <c r="T188" i="2"/>
  <c r="S188" i="2"/>
  <c r="R188" i="2"/>
  <c r="Q188" i="2"/>
  <c r="P188" i="2"/>
  <c r="O188" i="2"/>
  <c r="N188" i="2"/>
  <c r="M188" i="2"/>
  <c r="L188" i="2"/>
  <c r="K188" i="2"/>
  <c r="J188" i="2"/>
  <c r="F188" i="2"/>
  <c r="E188" i="2"/>
  <c r="D188" i="2"/>
  <c r="V187" i="2"/>
  <c r="U187" i="2"/>
  <c r="T187" i="2"/>
  <c r="S187" i="2"/>
  <c r="R187" i="2"/>
  <c r="Q187" i="2"/>
  <c r="P187" i="2"/>
  <c r="O187" i="2"/>
  <c r="N187" i="2"/>
  <c r="M187" i="2"/>
  <c r="L187" i="2"/>
  <c r="K187" i="2"/>
  <c r="J187" i="2"/>
  <c r="AC157" i="2"/>
  <c r="AB157" i="2"/>
  <c r="AA157" i="2"/>
  <c r="Z157" i="2"/>
  <c r="Y157" i="2"/>
  <c r="X157" i="2"/>
  <c r="W157" i="2"/>
  <c r="V157" i="2"/>
  <c r="U157" i="2"/>
  <c r="T157" i="2"/>
  <c r="S157" i="2"/>
  <c r="R157" i="2"/>
  <c r="Q157" i="2"/>
  <c r="P157" i="2"/>
  <c r="O157" i="2"/>
  <c r="N157" i="2"/>
  <c r="M157" i="2"/>
  <c r="L157" i="2"/>
  <c r="K157" i="2"/>
  <c r="J157" i="2"/>
  <c r="F157" i="2"/>
  <c r="E157" i="2"/>
  <c r="D157" i="2"/>
  <c r="AC156" i="2"/>
  <c r="AB156" i="2"/>
  <c r="AA156" i="2"/>
  <c r="Z156" i="2"/>
  <c r="Y156" i="2"/>
  <c r="X156" i="2"/>
  <c r="W156" i="2"/>
  <c r="V156" i="2"/>
  <c r="U156" i="2"/>
  <c r="T156" i="2"/>
  <c r="S156" i="2"/>
  <c r="R156" i="2"/>
  <c r="Q156" i="2"/>
  <c r="P156" i="2"/>
  <c r="O156" i="2"/>
  <c r="N156" i="2"/>
  <c r="M156" i="2"/>
  <c r="L156" i="2"/>
  <c r="K156" i="2"/>
  <c r="J156" i="2"/>
  <c r="F156" i="2"/>
  <c r="E156" i="2"/>
  <c r="D156" i="2"/>
  <c r="AC155" i="2"/>
  <c r="AB155" i="2"/>
  <c r="AA155" i="2"/>
  <c r="Z155" i="2"/>
  <c r="Y155" i="2"/>
  <c r="X155" i="2"/>
  <c r="W155" i="2"/>
  <c r="V155" i="2"/>
  <c r="U155" i="2"/>
  <c r="T155" i="2"/>
  <c r="S155" i="2"/>
  <c r="R155" i="2"/>
  <c r="Q155" i="2"/>
  <c r="P155" i="2"/>
  <c r="O155" i="2"/>
  <c r="N155" i="2"/>
  <c r="M155" i="2"/>
  <c r="L155" i="2"/>
  <c r="K155" i="2"/>
  <c r="J155" i="2"/>
  <c r="F155" i="2"/>
  <c r="E155" i="2"/>
  <c r="D155" i="2"/>
  <c r="AC154" i="2"/>
  <c r="AB154" i="2"/>
  <c r="AA154" i="2"/>
  <c r="Z154" i="2"/>
  <c r="Y154" i="2"/>
  <c r="X154" i="2"/>
  <c r="W154" i="2"/>
  <c r="V154" i="2"/>
  <c r="U154" i="2"/>
  <c r="T154" i="2"/>
  <c r="S154" i="2"/>
  <c r="R154" i="2"/>
  <c r="Q154" i="2"/>
  <c r="P154" i="2"/>
  <c r="O154" i="2"/>
  <c r="N154" i="2"/>
  <c r="M154" i="2"/>
  <c r="L154" i="2"/>
  <c r="K154" i="2"/>
  <c r="J154" i="2"/>
  <c r="F154" i="2"/>
  <c r="E154" i="2"/>
  <c r="D154" i="2"/>
  <c r="AC153" i="2"/>
  <c r="AB153" i="2"/>
  <c r="AA153" i="2"/>
  <c r="Z153" i="2"/>
  <c r="Y153" i="2"/>
  <c r="X153" i="2"/>
  <c r="W153" i="2"/>
  <c r="V153" i="2"/>
  <c r="U153" i="2"/>
  <c r="T153" i="2"/>
  <c r="S153" i="2"/>
  <c r="R153" i="2"/>
  <c r="Q153" i="2"/>
  <c r="P153" i="2"/>
  <c r="O153" i="2"/>
  <c r="N153" i="2"/>
  <c r="M153" i="2"/>
  <c r="L153" i="2"/>
  <c r="K153" i="2"/>
  <c r="J153" i="2"/>
  <c r="F153" i="2"/>
  <c r="E153" i="2"/>
  <c r="D153" i="2"/>
  <c r="AB152" i="2"/>
  <c r="AA152" i="2"/>
  <c r="Z152" i="2"/>
  <c r="Y152" i="2"/>
  <c r="X152" i="2"/>
  <c r="W152" i="2"/>
  <c r="V152" i="2"/>
  <c r="U152" i="2"/>
  <c r="T152" i="2"/>
  <c r="S152" i="2"/>
  <c r="R152" i="2"/>
  <c r="Q152" i="2"/>
  <c r="P152" i="2"/>
  <c r="O152" i="2"/>
  <c r="N152" i="2"/>
  <c r="M152" i="2"/>
  <c r="L152" i="2"/>
  <c r="K152" i="2"/>
  <c r="J152" i="2"/>
  <c r="F152" i="2"/>
  <c r="E152" i="2"/>
  <c r="D152" i="2"/>
  <c r="AA151" i="2"/>
  <c r="Z151" i="2"/>
  <c r="Y151" i="2"/>
  <c r="X151" i="2"/>
  <c r="W151" i="2"/>
  <c r="V151" i="2"/>
  <c r="U151" i="2"/>
  <c r="T151" i="2"/>
  <c r="S151" i="2"/>
  <c r="R151" i="2"/>
  <c r="Q151" i="2"/>
  <c r="P151" i="2"/>
  <c r="O151" i="2"/>
  <c r="N151" i="2"/>
  <c r="M151" i="2"/>
  <c r="L151" i="2"/>
  <c r="K151" i="2"/>
  <c r="J151" i="2"/>
  <c r="F151" i="2"/>
  <c r="E151" i="2"/>
  <c r="D151" i="2"/>
  <c r="Z150" i="2"/>
  <c r="Y150" i="2"/>
  <c r="X150" i="2"/>
  <c r="W150" i="2"/>
  <c r="V150" i="2"/>
  <c r="U150" i="2"/>
  <c r="T150" i="2"/>
  <c r="S150" i="2"/>
  <c r="R150" i="2"/>
  <c r="Q150" i="2"/>
  <c r="P150" i="2"/>
  <c r="O150" i="2"/>
  <c r="N150" i="2"/>
  <c r="M150" i="2"/>
  <c r="L150" i="2"/>
  <c r="K150" i="2"/>
  <c r="J150" i="2"/>
  <c r="F150" i="2"/>
  <c r="E150" i="2"/>
  <c r="D150" i="2"/>
  <c r="Y149" i="2"/>
  <c r="X149" i="2"/>
  <c r="W149" i="2"/>
  <c r="V149" i="2"/>
  <c r="U149" i="2"/>
  <c r="T149" i="2"/>
  <c r="S149" i="2"/>
  <c r="R149" i="2"/>
  <c r="Q149" i="2"/>
  <c r="P149" i="2"/>
  <c r="O149" i="2"/>
  <c r="N149" i="2"/>
  <c r="M149" i="2"/>
  <c r="L149" i="2"/>
  <c r="K149" i="2"/>
  <c r="J149" i="2"/>
  <c r="F149" i="2"/>
  <c r="E149" i="2"/>
  <c r="D149" i="2"/>
  <c r="X148" i="2"/>
  <c r="W148" i="2"/>
  <c r="V148" i="2"/>
  <c r="U148" i="2"/>
  <c r="T148" i="2"/>
  <c r="S148" i="2"/>
  <c r="R148" i="2"/>
  <c r="Q148" i="2"/>
  <c r="P148" i="2"/>
  <c r="O148" i="2"/>
  <c r="N148" i="2"/>
  <c r="M148" i="2"/>
  <c r="L148" i="2"/>
  <c r="K148" i="2"/>
  <c r="J148" i="2"/>
  <c r="F148" i="2"/>
  <c r="E148" i="2"/>
  <c r="D148" i="2"/>
  <c r="W147" i="2"/>
  <c r="V147" i="2"/>
  <c r="U147" i="2"/>
  <c r="T147" i="2"/>
  <c r="S147" i="2"/>
  <c r="R147" i="2"/>
  <c r="Q147" i="2"/>
  <c r="P147" i="2"/>
  <c r="O147" i="2"/>
  <c r="N147" i="2"/>
  <c r="M147" i="2"/>
  <c r="L147" i="2"/>
  <c r="K147" i="2"/>
  <c r="J147" i="2"/>
  <c r="F147" i="2"/>
  <c r="E147" i="2"/>
  <c r="D147" i="2"/>
  <c r="V146" i="2"/>
  <c r="U146" i="2"/>
  <c r="T146" i="2"/>
  <c r="S146" i="2"/>
  <c r="R146" i="2"/>
  <c r="Q146" i="2"/>
  <c r="P146" i="2"/>
  <c r="O146" i="2"/>
  <c r="N146" i="2"/>
  <c r="M146" i="2"/>
  <c r="L146" i="2"/>
  <c r="K146" i="2"/>
  <c r="J146" i="2"/>
  <c r="AC140" i="2"/>
  <c r="AB140" i="2"/>
  <c r="AA140" i="2"/>
  <c r="Z140" i="2"/>
  <c r="Y140" i="2"/>
  <c r="X140" i="2"/>
  <c r="W140" i="2"/>
  <c r="V140" i="2"/>
  <c r="U140" i="2"/>
  <c r="T140" i="2"/>
  <c r="S140" i="2"/>
  <c r="R140" i="2"/>
  <c r="Q140" i="2"/>
  <c r="P140" i="2"/>
  <c r="O140" i="2"/>
  <c r="N140" i="2"/>
  <c r="M140" i="2"/>
  <c r="L140" i="2"/>
  <c r="K140" i="2"/>
  <c r="J140" i="2"/>
  <c r="F140" i="2"/>
  <c r="E140" i="2"/>
  <c r="D140" i="2"/>
  <c r="AC139" i="2"/>
  <c r="AB139" i="2"/>
  <c r="AA139" i="2"/>
  <c r="Z139" i="2"/>
  <c r="Y139" i="2"/>
  <c r="X139" i="2"/>
  <c r="W139" i="2"/>
  <c r="V139" i="2"/>
  <c r="U139" i="2"/>
  <c r="T139" i="2"/>
  <c r="S139" i="2"/>
  <c r="R139" i="2"/>
  <c r="Q139" i="2"/>
  <c r="P139" i="2"/>
  <c r="O139" i="2"/>
  <c r="N139" i="2"/>
  <c r="M139" i="2"/>
  <c r="L139" i="2"/>
  <c r="K139" i="2"/>
  <c r="J139" i="2"/>
  <c r="F139" i="2"/>
  <c r="E139" i="2"/>
  <c r="D139" i="2"/>
  <c r="AC138" i="2"/>
  <c r="AB138" i="2"/>
  <c r="AA138" i="2"/>
  <c r="Z138" i="2"/>
  <c r="Y138" i="2"/>
  <c r="X138" i="2"/>
  <c r="W138" i="2"/>
  <c r="V138" i="2"/>
  <c r="U138" i="2"/>
  <c r="T138" i="2"/>
  <c r="S138" i="2"/>
  <c r="R138" i="2"/>
  <c r="Q138" i="2"/>
  <c r="P138" i="2"/>
  <c r="O138" i="2"/>
  <c r="N138" i="2"/>
  <c r="M138" i="2"/>
  <c r="L138" i="2"/>
  <c r="K138" i="2"/>
  <c r="J138" i="2"/>
  <c r="F138" i="2"/>
  <c r="E138" i="2"/>
  <c r="D138" i="2"/>
  <c r="AC137" i="2"/>
  <c r="AB137" i="2"/>
  <c r="AA137" i="2"/>
  <c r="Z137" i="2"/>
  <c r="Y137" i="2"/>
  <c r="X137" i="2"/>
  <c r="W137" i="2"/>
  <c r="V137" i="2"/>
  <c r="U137" i="2"/>
  <c r="T137" i="2"/>
  <c r="S137" i="2"/>
  <c r="R137" i="2"/>
  <c r="Q137" i="2"/>
  <c r="P137" i="2"/>
  <c r="O137" i="2"/>
  <c r="N137" i="2"/>
  <c r="M137" i="2"/>
  <c r="L137" i="2"/>
  <c r="K137" i="2"/>
  <c r="J137" i="2"/>
  <c r="F137" i="2"/>
  <c r="E137" i="2"/>
  <c r="D137" i="2"/>
  <c r="AC136" i="2"/>
  <c r="AB136" i="2"/>
  <c r="AA136" i="2"/>
  <c r="Z136" i="2"/>
  <c r="Y136" i="2"/>
  <c r="X136" i="2"/>
  <c r="W136" i="2"/>
  <c r="V136" i="2"/>
  <c r="U136" i="2"/>
  <c r="T136" i="2"/>
  <c r="S136" i="2"/>
  <c r="R136" i="2"/>
  <c r="Q136" i="2"/>
  <c r="P136" i="2"/>
  <c r="O136" i="2"/>
  <c r="N136" i="2"/>
  <c r="M136" i="2"/>
  <c r="L136" i="2"/>
  <c r="K136" i="2"/>
  <c r="J136" i="2"/>
  <c r="F136" i="2"/>
  <c r="E136" i="2"/>
  <c r="D136" i="2"/>
  <c r="AB135" i="2"/>
  <c r="AA135" i="2"/>
  <c r="Z135" i="2"/>
  <c r="Y135" i="2"/>
  <c r="X135" i="2"/>
  <c r="W135" i="2"/>
  <c r="V135" i="2"/>
  <c r="U135" i="2"/>
  <c r="T135" i="2"/>
  <c r="S135" i="2"/>
  <c r="R135" i="2"/>
  <c r="Q135" i="2"/>
  <c r="P135" i="2"/>
  <c r="O135" i="2"/>
  <c r="N135" i="2"/>
  <c r="M135" i="2"/>
  <c r="L135" i="2"/>
  <c r="K135" i="2"/>
  <c r="J135" i="2"/>
  <c r="F135" i="2"/>
  <c r="E135" i="2"/>
  <c r="D135" i="2"/>
  <c r="AA134" i="2"/>
  <c r="Z134" i="2"/>
  <c r="Y134" i="2"/>
  <c r="X134" i="2"/>
  <c r="W134" i="2"/>
  <c r="V134" i="2"/>
  <c r="U134" i="2"/>
  <c r="T134" i="2"/>
  <c r="S134" i="2"/>
  <c r="R134" i="2"/>
  <c r="Q134" i="2"/>
  <c r="P134" i="2"/>
  <c r="O134" i="2"/>
  <c r="N134" i="2"/>
  <c r="M134" i="2"/>
  <c r="L134" i="2"/>
  <c r="K134" i="2"/>
  <c r="J134" i="2"/>
  <c r="F134" i="2"/>
  <c r="E134" i="2"/>
  <c r="D134" i="2"/>
  <c r="Z133" i="2"/>
  <c r="Y133" i="2"/>
  <c r="X133" i="2"/>
  <c r="W133" i="2"/>
  <c r="V133" i="2"/>
  <c r="U133" i="2"/>
  <c r="T133" i="2"/>
  <c r="S133" i="2"/>
  <c r="R133" i="2"/>
  <c r="Q133" i="2"/>
  <c r="P133" i="2"/>
  <c r="O133" i="2"/>
  <c r="N133" i="2"/>
  <c r="M133" i="2"/>
  <c r="L133" i="2"/>
  <c r="K133" i="2"/>
  <c r="J133" i="2"/>
  <c r="F133" i="2"/>
  <c r="E133" i="2"/>
  <c r="D133" i="2"/>
  <c r="Y132" i="2"/>
  <c r="X132" i="2"/>
  <c r="W132" i="2"/>
  <c r="V132" i="2"/>
  <c r="U132" i="2"/>
  <c r="T132" i="2"/>
  <c r="S132" i="2"/>
  <c r="R132" i="2"/>
  <c r="Q132" i="2"/>
  <c r="P132" i="2"/>
  <c r="O132" i="2"/>
  <c r="N132" i="2"/>
  <c r="M132" i="2"/>
  <c r="L132" i="2"/>
  <c r="K132" i="2"/>
  <c r="J132" i="2"/>
  <c r="F132" i="2"/>
  <c r="E132" i="2"/>
  <c r="D132" i="2"/>
  <c r="X131" i="2"/>
  <c r="W131" i="2"/>
  <c r="V131" i="2"/>
  <c r="U131" i="2"/>
  <c r="T131" i="2"/>
  <c r="S131" i="2"/>
  <c r="R131" i="2"/>
  <c r="Q131" i="2"/>
  <c r="P131" i="2"/>
  <c r="O131" i="2"/>
  <c r="N131" i="2"/>
  <c r="M131" i="2"/>
  <c r="L131" i="2"/>
  <c r="K131" i="2"/>
  <c r="J131" i="2"/>
  <c r="F131" i="2"/>
  <c r="E131" i="2"/>
  <c r="D131" i="2"/>
  <c r="W130" i="2"/>
  <c r="V130" i="2"/>
  <c r="U130" i="2"/>
  <c r="T130" i="2"/>
  <c r="S130" i="2"/>
  <c r="R130" i="2"/>
  <c r="Q130" i="2"/>
  <c r="P130" i="2"/>
  <c r="O130" i="2"/>
  <c r="N130" i="2"/>
  <c r="M130" i="2"/>
  <c r="L130" i="2"/>
  <c r="K130" i="2"/>
  <c r="J130" i="2"/>
  <c r="F130" i="2"/>
  <c r="E130" i="2"/>
  <c r="D130" i="2"/>
  <c r="V129" i="2"/>
  <c r="U129" i="2"/>
  <c r="T129" i="2"/>
  <c r="S129" i="2"/>
  <c r="R129" i="2"/>
  <c r="Q129" i="2"/>
  <c r="P129" i="2"/>
  <c r="O129" i="2"/>
  <c r="N129" i="2"/>
  <c r="M129" i="2"/>
  <c r="L129" i="2"/>
  <c r="K129" i="2"/>
  <c r="J129" i="2"/>
  <c r="AC98" i="2"/>
  <c r="AB98" i="2"/>
  <c r="AA98" i="2"/>
  <c r="Z98" i="2"/>
  <c r="Y98" i="2"/>
  <c r="X98" i="2"/>
  <c r="W98" i="2"/>
  <c r="V98" i="2"/>
  <c r="U98" i="2"/>
  <c r="T98" i="2"/>
  <c r="S98" i="2"/>
  <c r="R98" i="2"/>
  <c r="Q98" i="2"/>
  <c r="P98" i="2"/>
  <c r="O98" i="2"/>
  <c r="N98" i="2"/>
  <c r="M98" i="2"/>
  <c r="L98" i="2"/>
  <c r="K98" i="2"/>
  <c r="J98" i="2"/>
  <c r="F98" i="2"/>
  <c r="E98" i="2"/>
  <c r="D98" i="2"/>
  <c r="AC97" i="2"/>
  <c r="AB97" i="2"/>
  <c r="AA97" i="2"/>
  <c r="Z97" i="2"/>
  <c r="Y97" i="2"/>
  <c r="X97" i="2"/>
  <c r="W97" i="2"/>
  <c r="V97" i="2"/>
  <c r="U97" i="2"/>
  <c r="T97" i="2"/>
  <c r="S97" i="2"/>
  <c r="R97" i="2"/>
  <c r="Q97" i="2"/>
  <c r="P97" i="2"/>
  <c r="O97" i="2"/>
  <c r="N97" i="2"/>
  <c r="M97" i="2"/>
  <c r="L97" i="2"/>
  <c r="K97" i="2"/>
  <c r="J97" i="2"/>
  <c r="F97" i="2"/>
  <c r="E97" i="2"/>
  <c r="D97" i="2"/>
  <c r="AC96" i="2"/>
  <c r="AB96" i="2"/>
  <c r="AA96" i="2"/>
  <c r="Z96" i="2"/>
  <c r="Y96" i="2"/>
  <c r="X96" i="2"/>
  <c r="W96" i="2"/>
  <c r="V96" i="2"/>
  <c r="U96" i="2"/>
  <c r="T96" i="2"/>
  <c r="S96" i="2"/>
  <c r="R96" i="2"/>
  <c r="Q96" i="2"/>
  <c r="P96" i="2"/>
  <c r="O96" i="2"/>
  <c r="N96" i="2"/>
  <c r="M96" i="2"/>
  <c r="L96" i="2"/>
  <c r="K96" i="2"/>
  <c r="J96" i="2"/>
  <c r="F96" i="2"/>
  <c r="E96" i="2"/>
  <c r="D96" i="2"/>
  <c r="AC95" i="2"/>
  <c r="AB95" i="2"/>
  <c r="AA95" i="2"/>
  <c r="Z95" i="2"/>
  <c r="Y95" i="2"/>
  <c r="X95" i="2"/>
  <c r="W95" i="2"/>
  <c r="V95" i="2"/>
  <c r="U95" i="2"/>
  <c r="T95" i="2"/>
  <c r="S95" i="2"/>
  <c r="R95" i="2"/>
  <c r="Q95" i="2"/>
  <c r="P95" i="2"/>
  <c r="O95" i="2"/>
  <c r="N95" i="2"/>
  <c r="M95" i="2"/>
  <c r="L95" i="2"/>
  <c r="K95" i="2"/>
  <c r="J95" i="2"/>
  <c r="F95" i="2"/>
  <c r="E95" i="2"/>
  <c r="D95" i="2"/>
  <c r="AC94" i="2"/>
  <c r="AB94" i="2"/>
  <c r="AA94" i="2"/>
  <c r="Z94" i="2"/>
  <c r="Y94" i="2"/>
  <c r="X94" i="2"/>
  <c r="W94" i="2"/>
  <c r="V94" i="2"/>
  <c r="U94" i="2"/>
  <c r="T94" i="2"/>
  <c r="S94" i="2"/>
  <c r="R94" i="2"/>
  <c r="Q94" i="2"/>
  <c r="P94" i="2"/>
  <c r="O94" i="2"/>
  <c r="N94" i="2"/>
  <c r="M94" i="2"/>
  <c r="L94" i="2"/>
  <c r="K94" i="2"/>
  <c r="J94" i="2"/>
  <c r="F94" i="2"/>
  <c r="E94" i="2"/>
  <c r="D94" i="2"/>
  <c r="AB93" i="2"/>
  <c r="AA93" i="2"/>
  <c r="Z93" i="2"/>
  <c r="Y93" i="2"/>
  <c r="X93" i="2"/>
  <c r="W93" i="2"/>
  <c r="V93" i="2"/>
  <c r="U93" i="2"/>
  <c r="T93" i="2"/>
  <c r="S93" i="2"/>
  <c r="R93" i="2"/>
  <c r="Q93" i="2"/>
  <c r="P93" i="2"/>
  <c r="O93" i="2"/>
  <c r="N93" i="2"/>
  <c r="M93" i="2"/>
  <c r="L93" i="2"/>
  <c r="K93" i="2"/>
  <c r="J93" i="2"/>
  <c r="F93" i="2"/>
  <c r="E93" i="2"/>
  <c r="D93" i="2"/>
  <c r="AA92" i="2"/>
  <c r="Z92" i="2"/>
  <c r="Y92" i="2"/>
  <c r="X92" i="2"/>
  <c r="W92" i="2"/>
  <c r="V92" i="2"/>
  <c r="U92" i="2"/>
  <c r="T92" i="2"/>
  <c r="S92" i="2"/>
  <c r="R92" i="2"/>
  <c r="Q92" i="2"/>
  <c r="P92" i="2"/>
  <c r="O92" i="2"/>
  <c r="N92" i="2"/>
  <c r="M92" i="2"/>
  <c r="L92" i="2"/>
  <c r="K92" i="2"/>
  <c r="J92" i="2"/>
  <c r="F92" i="2"/>
  <c r="E92" i="2"/>
  <c r="D92" i="2"/>
  <c r="Z91" i="2"/>
  <c r="Y91" i="2"/>
  <c r="X91" i="2"/>
  <c r="W91" i="2"/>
  <c r="V91" i="2"/>
  <c r="U91" i="2"/>
  <c r="T91" i="2"/>
  <c r="S91" i="2"/>
  <c r="R91" i="2"/>
  <c r="Q91" i="2"/>
  <c r="P91" i="2"/>
  <c r="O91" i="2"/>
  <c r="N91" i="2"/>
  <c r="M91" i="2"/>
  <c r="L91" i="2"/>
  <c r="K91" i="2"/>
  <c r="J91" i="2"/>
  <c r="F91" i="2"/>
  <c r="E91" i="2"/>
  <c r="D91" i="2"/>
  <c r="Y90" i="2"/>
  <c r="X90" i="2"/>
  <c r="W90" i="2"/>
  <c r="V90" i="2"/>
  <c r="U90" i="2"/>
  <c r="T90" i="2"/>
  <c r="S90" i="2"/>
  <c r="R90" i="2"/>
  <c r="Q90" i="2"/>
  <c r="P90" i="2"/>
  <c r="O90" i="2"/>
  <c r="N90" i="2"/>
  <c r="M90" i="2"/>
  <c r="L90" i="2"/>
  <c r="K90" i="2"/>
  <c r="J90" i="2"/>
  <c r="F90" i="2"/>
  <c r="E90" i="2"/>
  <c r="D90" i="2"/>
  <c r="X89" i="2"/>
  <c r="W89" i="2"/>
  <c r="V89" i="2"/>
  <c r="U89" i="2"/>
  <c r="T89" i="2"/>
  <c r="S89" i="2"/>
  <c r="R89" i="2"/>
  <c r="Q89" i="2"/>
  <c r="P89" i="2"/>
  <c r="O89" i="2"/>
  <c r="N89" i="2"/>
  <c r="M89" i="2"/>
  <c r="L89" i="2"/>
  <c r="K89" i="2"/>
  <c r="J89" i="2"/>
  <c r="F89" i="2"/>
  <c r="E89" i="2"/>
  <c r="D89" i="2"/>
  <c r="W88" i="2"/>
  <c r="V88" i="2"/>
  <c r="U88" i="2"/>
  <c r="T88" i="2"/>
  <c r="S88" i="2"/>
  <c r="R88" i="2"/>
  <c r="Q88" i="2"/>
  <c r="P88" i="2"/>
  <c r="O88" i="2"/>
  <c r="N88" i="2"/>
  <c r="M88" i="2"/>
  <c r="L88" i="2"/>
  <c r="K88" i="2"/>
  <c r="J88" i="2"/>
  <c r="F88" i="2"/>
  <c r="E88" i="2"/>
  <c r="D88" i="2"/>
  <c r="V87" i="2"/>
  <c r="U87" i="2"/>
  <c r="T87" i="2"/>
  <c r="S87" i="2"/>
  <c r="R87" i="2"/>
  <c r="Q87" i="2"/>
  <c r="P87" i="2"/>
  <c r="O87" i="2"/>
  <c r="N87" i="2"/>
  <c r="M87" i="2"/>
  <c r="L87" i="2"/>
  <c r="K87" i="2"/>
  <c r="J87" i="2"/>
  <c r="AC40" i="2"/>
  <c r="AB40" i="2"/>
  <c r="AA40" i="2"/>
  <c r="Z40" i="2"/>
  <c r="Y40" i="2"/>
  <c r="X40" i="2"/>
  <c r="W40" i="2"/>
  <c r="V40" i="2"/>
  <c r="U40" i="2"/>
  <c r="T40" i="2"/>
  <c r="S40" i="2"/>
  <c r="R40" i="2"/>
  <c r="Q40" i="2"/>
  <c r="P40" i="2"/>
  <c r="O40" i="2"/>
  <c r="N40" i="2"/>
  <c r="M40" i="2"/>
  <c r="L40" i="2"/>
  <c r="K40" i="2"/>
  <c r="J40" i="2"/>
  <c r="F40" i="2"/>
  <c r="E40" i="2"/>
  <c r="D40" i="2"/>
  <c r="AC39" i="2"/>
  <c r="AB39" i="2"/>
  <c r="AA39" i="2"/>
  <c r="Z39" i="2"/>
  <c r="Y39" i="2"/>
  <c r="X39" i="2"/>
  <c r="W39" i="2"/>
  <c r="V39" i="2"/>
  <c r="U39" i="2"/>
  <c r="T39" i="2"/>
  <c r="S39" i="2"/>
  <c r="R39" i="2"/>
  <c r="Q39" i="2"/>
  <c r="P39" i="2"/>
  <c r="O39" i="2"/>
  <c r="N39" i="2"/>
  <c r="M39" i="2"/>
  <c r="L39" i="2"/>
  <c r="K39" i="2"/>
  <c r="J39" i="2"/>
  <c r="F39" i="2"/>
  <c r="E39" i="2"/>
  <c r="D39" i="2"/>
  <c r="AC38" i="2"/>
  <c r="AB38" i="2"/>
  <c r="AA38" i="2"/>
  <c r="Z38" i="2"/>
  <c r="Y38" i="2"/>
  <c r="X38" i="2"/>
  <c r="W38" i="2"/>
  <c r="V38" i="2"/>
  <c r="U38" i="2"/>
  <c r="T38" i="2"/>
  <c r="S38" i="2"/>
  <c r="R38" i="2"/>
  <c r="Q38" i="2"/>
  <c r="P38" i="2"/>
  <c r="O38" i="2"/>
  <c r="N38" i="2"/>
  <c r="M38" i="2"/>
  <c r="L38" i="2"/>
  <c r="K38" i="2"/>
  <c r="J38" i="2"/>
  <c r="F38" i="2"/>
  <c r="E38" i="2"/>
  <c r="D38" i="2"/>
  <c r="AC37" i="2"/>
  <c r="AB37" i="2"/>
  <c r="AA37" i="2"/>
  <c r="Z37" i="2"/>
  <c r="Y37" i="2"/>
  <c r="X37" i="2"/>
  <c r="W37" i="2"/>
  <c r="V37" i="2"/>
  <c r="U37" i="2"/>
  <c r="T37" i="2"/>
  <c r="S37" i="2"/>
  <c r="R37" i="2"/>
  <c r="Q37" i="2"/>
  <c r="P37" i="2"/>
  <c r="O37" i="2"/>
  <c r="N37" i="2"/>
  <c r="M37" i="2"/>
  <c r="L37" i="2"/>
  <c r="K37" i="2"/>
  <c r="J37" i="2"/>
  <c r="F37" i="2"/>
  <c r="E37" i="2"/>
  <c r="D37" i="2"/>
  <c r="AC36" i="2"/>
  <c r="AB36" i="2"/>
  <c r="AA36" i="2"/>
  <c r="Z36" i="2"/>
  <c r="Y36" i="2"/>
  <c r="X36" i="2"/>
  <c r="W36" i="2"/>
  <c r="V36" i="2"/>
  <c r="U36" i="2"/>
  <c r="T36" i="2"/>
  <c r="S36" i="2"/>
  <c r="R36" i="2"/>
  <c r="Q36" i="2"/>
  <c r="P36" i="2"/>
  <c r="O36" i="2"/>
  <c r="N36" i="2"/>
  <c r="M36" i="2"/>
  <c r="L36" i="2"/>
  <c r="K36" i="2"/>
  <c r="J36" i="2"/>
  <c r="F36" i="2"/>
  <c r="E36" i="2"/>
  <c r="D36" i="2"/>
  <c r="AB35" i="2"/>
  <c r="AA35" i="2"/>
  <c r="Z35" i="2"/>
  <c r="Y35" i="2"/>
  <c r="X35" i="2"/>
  <c r="W35" i="2"/>
  <c r="V35" i="2"/>
  <c r="U35" i="2"/>
  <c r="T35" i="2"/>
  <c r="S35" i="2"/>
  <c r="R35" i="2"/>
  <c r="Q35" i="2"/>
  <c r="P35" i="2"/>
  <c r="O35" i="2"/>
  <c r="N35" i="2"/>
  <c r="M35" i="2"/>
  <c r="L35" i="2"/>
  <c r="K35" i="2"/>
  <c r="J35" i="2"/>
  <c r="F35" i="2"/>
  <c r="E35" i="2"/>
  <c r="D35" i="2"/>
  <c r="AA34" i="2"/>
  <c r="Z34" i="2"/>
  <c r="Y34" i="2"/>
  <c r="X34" i="2"/>
  <c r="W34" i="2"/>
  <c r="V34" i="2"/>
  <c r="U34" i="2"/>
  <c r="T34" i="2"/>
  <c r="S34" i="2"/>
  <c r="R34" i="2"/>
  <c r="Q34" i="2"/>
  <c r="P34" i="2"/>
  <c r="O34" i="2"/>
  <c r="N34" i="2"/>
  <c r="M34" i="2"/>
  <c r="L34" i="2"/>
  <c r="K34" i="2"/>
  <c r="J34" i="2"/>
  <c r="F34" i="2"/>
  <c r="E34" i="2"/>
  <c r="D34" i="2"/>
  <c r="Z33" i="2"/>
  <c r="Y33" i="2"/>
  <c r="X33" i="2"/>
  <c r="W33" i="2"/>
  <c r="V33" i="2"/>
  <c r="U33" i="2"/>
  <c r="T33" i="2"/>
  <c r="S33" i="2"/>
  <c r="R33" i="2"/>
  <c r="Q33" i="2"/>
  <c r="P33" i="2"/>
  <c r="O33" i="2"/>
  <c r="N33" i="2"/>
  <c r="M33" i="2"/>
  <c r="L33" i="2"/>
  <c r="K33" i="2"/>
  <c r="J33" i="2"/>
  <c r="F33" i="2"/>
  <c r="E33" i="2"/>
  <c r="D33" i="2"/>
  <c r="Y32" i="2"/>
  <c r="X32" i="2"/>
  <c r="W32" i="2"/>
  <c r="V32" i="2"/>
  <c r="U32" i="2"/>
  <c r="T32" i="2"/>
  <c r="S32" i="2"/>
  <c r="R32" i="2"/>
  <c r="Q32" i="2"/>
  <c r="P32" i="2"/>
  <c r="O32" i="2"/>
  <c r="N32" i="2"/>
  <c r="M32" i="2"/>
  <c r="L32" i="2"/>
  <c r="K32" i="2"/>
  <c r="J32" i="2"/>
  <c r="F32" i="2"/>
  <c r="E32" i="2"/>
  <c r="D32" i="2"/>
  <c r="X31" i="2"/>
  <c r="W31" i="2"/>
  <c r="V31" i="2"/>
  <c r="U31" i="2"/>
  <c r="T31" i="2"/>
  <c r="S31" i="2"/>
  <c r="R31" i="2"/>
  <c r="Q31" i="2"/>
  <c r="P31" i="2"/>
  <c r="O31" i="2"/>
  <c r="N31" i="2"/>
  <c r="M31" i="2"/>
  <c r="L31" i="2"/>
  <c r="K31" i="2"/>
  <c r="J31" i="2"/>
  <c r="F31" i="2"/>
  <c r="E31" i="2"/>
  <c r="D31" i="2"/>
  <c r="W30" i="2"/>
  <c r="V30" i="2"/>
  <c r="U30" i="2"/>
  <c r="T30" i="2"/>
  <c r="S30" i="2"/>
  <c r="R30" i="2"/>
  <c r="Q30" i="2"/>
  <c r="P30" i="2"/>
  <c r="O30" i="2"/>
  <c r="N30" i="2"/>
  <c r="M30" i="2"/>
  <c r="L30" i="2"/>
  <c r="K30" i="2"/>
  <c r="J30" i="2"/>
  <c r="F30" i="2"/>
  <c r="E30" i="2"/>
  <c r="D30" i="2"/>
  <c r="V29" i="2"/>
  <c r="U29" i="2"/>
  <c r="T29" i="2"/>
  <c r="S29" i="2"/>
  <c r="R29" i="2"/>
  <c r="Q29" i="2"/>
  <c r="P29" i="2"/>
  <c r="O29" i="2"/>
  <c r="N29" i="2"/>
  <c r="M29" i="2"/>
  <c r="L29" i="2"/>
  <c r="K29" i="2"/>
  <c r="J29"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56" i="2"/>
  <c r="F55" i="2"/>
  <c r="F54" i="2"/>
  <c r="F53" i="2"/>
  <c r="F52" i="2"/>
  <c r="F51" i="2"/>
  <c r="F50" i="2"/>
  <c r="F49" i="2"/>
  <c r="F48" i="2"/>
  <c r="F47" i="2"/>
  <c r="F46" i="2"/>
  <c r="E56" i="2"/>
  <c r="E55" i="2"/>
  <c r="E54" i="2"/>
  <c r="E53" i="2"/>
  <c r="E52" i="2"/>
  <c r="E51" i="2"/>
  <c r="E50" i="2"/>
  <c r="E49" i="2"/>
  <c r="E48" i="2"/>
  <c r="E47" i="2"/>
  <c r="E46" i="2"/>
  <c r="D56" i="2"/>
  <c r="D55" i="2"/>
  <c r="D54" i="2"/>
  <c r="D53" i="2"/>
  <c r="D52" i="2"/>
  <c r="D51" i="2"/>
  <c r="D50" i="2"/>
  <c r="D49" i="2"/>
  <c r="D48" i="2"/>
  <c r="D47" i="2"/>
  <c r="D46" i="2"/>
  <c r="AC56" i="2"/>
  <c r="AC55" i="2"/>
  <c r="AC54" i="2"/>
  <c r="AC53" i="2"/>
  <c r="AC52" i="2"/>
  <c r="AB56" i="2"/>
  <c r="AB55" i="2"/>
  <c r="AB54" i="2"/>
  <c r="AB53" i="2"/>
  <c r="AB52" i="2"/>
  <c r="AB51" i="2"/>
  <c r="AA56" i="2"/>
  <c r="AA55" i="2"/>
  <c r="AA54" i="2"/>
  <c r="AA53" i="2"/>
  <c r="AA52" i="2"/>
  <c r="AA51" i="2"/>
  <c r="AA50" i="2"/>
  <c r="Z56" i="2"/>
  <c r="Z55" i="2"/>
  <c r="Z54" i="2"/>
  <c r="Z53" i="2"/>
  <c r="Z52" i="2"/>
  <c r="Z51" i="2"/>
  <c r="Z50" i="2"/>
  <c r="Z49" i="2"/>
  <c r="Y56" i="2"/>
  <c r="Y55" i="2"/>
  <c r="Y54" i="2"/>
  <c r="Y53" i="2"/>
  <c r="Y52" i="2"/>
  <c r="Y51" i="2"/>
  <c r="Y50" i="2"/>
  <c r="Y49" i="2"/>
  <c r="Y48" i="2"/>
  <c r="X56" i="2"/>
  <c r="X55" i="2"/>
  <c r="X54" i="2"/>
  <c r="X53" i="2"/>
  <c r="X52" i="2"/>
  <c r="X51" i="2"/>
  <c r="X50" i="2"/>
  <c r="X49" i="2"/>
  <c r="X48" i="2"/>
  <c r="X47" i="2"/>
  <c r="W56" i="2"/>
  <c r="W55" i="2"/>
  <c r="W54" i="2"/>
  <c r="W53" i="2"/>
  <c r="W52" i="2"/>
  <c r="W51" i="2"/>
  <c r="W50" i="2"/>
  <c r="W49" i="2"/>
  <c r="W48" i="2"/>
  <c r="W47" i="2"/>
  <c r="W46" i="2"/>
  <c r="V56" i="2"/>
  <c r="V55" i="2"/>
  <c r="V54" i="2"/>
  <c r="V53" i="2"/>
  <c r="V52" i="2"/>
  <c r="V51" i="2"/>
  <c r="V50" i="2"/>
  <c r="V49" i="2"/>
  <c r="V48" i="2"/>
  <c r="V47" i="2"/>
  <c r="V46" i="2"/>
  <c r="U55" i="2"/>
  <c r="U54" i="2"/>
  <c r="U53" i="2"/>
  <c r="U52" i="2"/>
  <c r="U51" i="2"/>
  <c r="U50" i="2"/>
  <c r="U49" i="2"/>
  <c r="U48" i="2"/>
  <c r="U47" i="2"/>
  <c r="U46" i="2"/>
  <c r="T54" i="2"/>
  <c r="T53" i="2"/>
  <c r="T52" i="2"/>
  <c r="T51" i="2"/>
  <c r="T50" i="2"/>
  <c r="T49" i="2"/>
  <c r="T48" i="2"/>
  <c r="T47" i="2"/>
  <c r="T46" i="2"/>
  <c r="S53" i="2"/>
  <c r="S52" i="2"/>
  <c r="S51" i="2"/>
  <c r="S50" i="2"/>
  <c r="S49" i="2"/>
  <c r="S48" i="2"/>
  <c r="S47" i="2"/>
  <c r="S46" i="2"/>
  <c r="R52" i="2"/>
  <c r="R51" i="2"/>
  <c r="R50" i="2"/>
  <c r="R49" i="2"/>
  <c r="R48" i="2"/>
  <c r="R47" i="2"/>
  <c r="R46" i="2"/>
  <c r="Q51" i="2"/>
  <c r="Q50" i="2"/>
  <c r="Q49" i="2"/>
  <c r="Q48" i="2"/>
  <c r="Q47" i="2"/>
  <c r="Q46" i="2"/>
  <c r="P50" i="2"/>
  <c r="P49" i="2"/>
  <c r="P48" i="2"/>
  <c r="P47" i="2"/>
  <c r="P46" i="2"/>
  <c r="O49" i="2"/>
  <c r="O48" i="2"/>
  <c r="O47" i="2"/>
  <c r="O46" i="2"/>
  <c r="N48" i="2"/>
  <c r="N47" i="2"/>
  <c r="N46" i="2"/>
  <c r="M47" i="2"/>
  <c r="M46" i="2"/>
  <c r="L46" i="2"/>
  <c r="V45" i="2"/>
  <c r="U45" i="2"/>
  <c r="T45" i="2"/>
  <c r="S45" i="2"/>
  <c r="R45" i="2"/>
  <c r="Q45" i="2"/>
  <c r="P45" i="2"/>
  <c r="O45" i="2"/>
  <c r="N45" i="2"/>
  <c r="M45" i="2"/>
  <c r="L45" i="2"/>
  <c r="K45" i="2"/>
  <c r="J45" i="2"/>
  <c r="G46" i="2"/>
  <c r="J46" i="2"/>
  <c r="K46" i="2"/>
  <c r="G47" i="2"/>
  <c r="J47" i="2"/>
  <c r="K47" i="2"/>
  <c r="L47" i="2"/>
  <c r="G48" i="2"/>
  <c r="J48" i="2"/>
  <c r="K48" i="2"/>
  <c r="L48" i="2"/>
  <c r="M48" i="2"/>
  <c r="G49" i="2"/>
  <c r="J49" i="2"/>
  <c r="K49" i="2"/>
  <c r="L49" i="2"/>
  <c r="M49" i="2"/>
  <c r="N49" i="2"/>
  <c r="G50" i="2"/>
  <c r="J50" i="2"/>
  <c r="K50" i="2"/>
  <c r="L50" i="2"/>
  <c r="M50" i="2"/>
  <c r="N50" i="2"/>
  <c r="O50" i="2"/>
  <c r="G51" i="2"/>
  <c r="J51" i="2"/>
  <c r="K51" i="2"/>
  <c r="L51" i="2"/>
  <c r="M51" i="2"/>
  <c r="N51" i="2"/>
  <c r="O51" i="2"/>
  <c r="P51" i="2"/>
  <c r="G52" i="2"/>
  <c r="J52" i="2"/>
  <c r="K52" i="2"/>
  <c r="L52" i="2"/>
  <c r="M52" i="2"/>
  <c r="N52" i="2"/>
  <c r="O52" i="2"/>
  <c r="P52" i="2"/>
  <c r="Q52" i="2"/>
  <c r="G53" i="2"/>
  <c r="J53" i="2"/>
  <c r="K53" i="2"/>
  <c r="L53" i="2"/>
  <c r="M53" i="2"/>
  <c r="N53" i="2"/>
  <c r="O53" i="2"/>
  <c r="P53" i="2"/>
  <c r="Q53" i="2"/>
  <c r="R53" i="2"/>
  <c r="G54" i="2"/>
  <c r="J54" i="2"/>
  <c r="K54" i="2"/>
  <c r="L54" i="2"/>
  <c r="M54" i="2"/>
  <c r="N54" i="2"/>
  <c r="O54" i="2"/>
  <c r="P54" i="2"/>
  <c r="Q54" i="2"/>
  <c r="R54" i="2"/>
  <c r="S54" i="2"/>
  <c r="G55" i="2"/>
  <c r="J55" i="2"/>
  <c r="K55" i="2"/>
  <c r="L55" i="2"/>
  <c r="M55" i="2"/>
  <c r="N55" i="2"/>
  <c r="O55" i="2"/>
  <c r="P55" i="2"/>
  <c r="Q55" i="2"/>
  <c r="R55" i="2"/>
  <c r="S55" i="2"/>
  <c r="T55" i="2"/>
  <c r="G56" i="2"/>
  <c r="J56" i="2"/>
  <c r="K56" i="2"/>
  <c r="L56" i="2"/>
  <c r="M56" i="2"/>
  <c r="N56" i="2"/>
  <c r="O56" i="2"/>
  <c r="P56" i="2"/>
  <c r="Q56" i="2"/>
  <c r="R56" i="2"/>
  <c r="S56" i="2"/>
  <c r="T56" i="2"/>
  <c r="U56" i="2"/>
  <c r="AE112" i="2" l="1"/>
  <c r="AG112" i="2" s="1"/>
  <c r="AE111" i="2"/>
  <c r="AG111" i="2" s="1"/>
  <c r="AE104" i="2"/>
  <c r="AG104" i="2" s="1"/>
  <c r="J103" i="2"/>
  <c r="AE113" i="2"/>
  <c r="AG113" i="2" s="1"/>
  <c r="AE116" i="2"/>
  <c r="AG116" i="2" s="1"/>
  <c r="AE121" i="2"/>
  <c r="AG121" i="2" s="1"/>
  <c r="AE106" i="2"/>
  <c r="AG106" i="2" s="1"/>
  <c r="AE109" i="2"/>
  <c r="AG109" i="2" s="1"/>
  <c r="AE117" i="2"/>
  <c r="AG117" i="2" s="1"/>
  <c r="AE120" i="2"/>
  <c r="AG120" i="2" s="1"/>
  <c r="AE105" i="2"/>
  <c r="AG105" i="2" s="1"/>
  <c r="AE118" i="2"/>
  <c r="AG118" i="2" s="1"/>
  <c r="AE119" i="2"/>
  <c r="AG119" i="2" s="1"/>
  <c r="AE114" i="2"/>
  <c r="AG114" i="2" s="1"/>
  <c r="N107" i="2"/>
  <c r="O107" i="2" s="1"/>
  <c r="P107" i="2" s="1"/>
  <c r="Q107" i="2" s="1"/>
  <c r="R107" i="2" s="1"/>
  <c r="S107" i="2" s="1"/>
  <c r="T107" i="2" s="1"/>
  <c r="U107" i="2" s="1"/>
  <c r="V107" i="2" s="1"/>
  <c r="W107" i="2" s="1"/>
  <c r="X107" i="2" s="1"/>
  <c r="Y107" i="2" s="1"/>
  <c r="Z107" i="2" s="1"/>
  <c r="AA107" i="2" s="1"/>
  <c r="AB107" i="2" s="1"/>
  <c r="AC107" i="2" s="1"/>
  <c r="AE108" i="2"/>
  <c r="AG108" i="2" s="1"/>
  <c r="AE110" i="2"/>
  <c r="AG110" i="2" s="1"/>
  <c r="AE115" i="2"/>
  <c r="AG115" i="2" s="1"/>
  <c r="AE122" i="2"/>
  <c r="AG122" i="2" s="1"/>
  <c r="AE107" i="2"/>
  <c r="AG107" i="2" s="1"/>
  <c r="AE170" i="2"/>
  <c r="AG170" i="2" s="1"/>
  <c r="AE165" i="2"/>
  <c r="AG165" i="2" s="1"/>
  <c r="AE172" i="2"/>
  <c r="AG172" i="2" s="1"/>
  <c r="AE175" i="2"/>
  <c r="AG175" i="2" s="1"/>
  <c r="AE180" i="2"/>
  <c r="AG180" i="2" s="1"/>
  <c r="AE168" i="2"/>
  <c r="AG168" i="2" s="1"/>
  <c r="AE176" i="2"/>
  <c r="AG176" i="2" s="1"/>
  <c r="AE179" i="2"/>
  <c r="AG179" i="2" s="1"/>
  <c r="AE164" i="2"/>
  <c r="AG164" i="2" s="1"/>
  <c r="AE177" i="2"/>
  <c r="AG177" i="2" s="1"/>
  <c r="AE178" i="2"/>
  <c r="AG178" i="2" s="1"/>
  <c r="AE162" i="2"/>
  <c r="AG162" i="2" s="1"/>
  <c r="AE163" i="2"/>
  <c r="AG163" i="2" s="1"/>
  <c r="AE173" i="2"/>
  <c r="AG173" i="2" s="1"/>
  <c r="AE167" i="2"/>
  <c r="AG167" i="2" s="1"/>
  <c r="AE171" i="2"/>
  <c r="AG171" i="2" s="1"/>
  <c r="AE169" i="2"/>
  <c r="AG169" i="2" s="1"/>
  <c r="J162" i="2"/>
  <c r="AE174" i="2"/>
  <c r="AG174" i="2" s="1"/>
  <c r="AE181" i="2"/>
  <c r="AG181" i="2" s="1"/>
  <c r="AE166" i="2"/>
  <c r="AG166" i="2" s="1"/>
  <c r="AE70" i="2"/>
  <c r="AG70" i="2" s="1"/>
  <c r="AE69" i="2"/>
  <c r="AG69" i="2" s="1"/>
  <c r="AE72" i="2"/>
  <c r="AG72" i="2" s="1"/>
  <c r="AE75" i="2"/>
  <c r="AG75" i="2" s="1"/>
  <c r="AE80" i="2"/>
  <c r="AG80" i="2" s="1"/>
  <c r="AE65" i="2"/>
  <c r="AG65" i="2" s="1"/>
  <c r="AE68" i="2"/>
  <c r="AG68" i="2" s="1"/>
  <c r="AE76" i="2"/>
  <c r="AG76" i="2" s="1"/>
  <c r="AE79" i="2"/>
  <c r="AG79" i="2" s="1"/>
  <c r="AE64" i="2"/>
  <c r="AG64" i="2" s="1"/>
  <c r="AE77" i="2"/>
  <c r="AG77" i="2" s="1"/>
  <c r="AE78" i="2"/>
  <c r="AG78" i="2" s="1"/>
  <c r="AE62" i="2"/>
  <c r="AG62" i="2" s="1"/>
  <c r="AE63" i="2"/>
  <c r="AG63" i="2" s="1"/>
  <c r="AE73" i="2"/>
  <c r="AG73" i="2" s="1"/>
  <c r="AE67" i="2"/>
  <c r="AG67" i="2" s="1"/>
  <c r="AE71" i="2"/>
  <c r="AG71" i="2" s="1"/>
  <c r="AE74" i="2"/>
  <c r="AG74" i="2" s="1"/>
  <c r="AE81" i="2"/>
  <c r="AG81" i="2" s="1"/>
  <c r="AE66" i="2"/>
  <c r="AG66" i="2" s="1"/>
  <c r="J62"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51" i="2"/>
  <c r="AG51" i="2" s="1"/>
  <c r="AE131" i="2"/>
  <c r="AG131" i="2" s="1"/>
  <c r="AF133" i="2"/>
  <c r="AF212" i="2"/>
  <c r="AF226" i="2"/>
  <c r="AF188" i="2"/>
  <c r="AF29" i="2"/>
  <c r="AF37" i="2"/>
  <c r="AF131" i="2"/>
  <c r="AF209" i="2"/>
  <c r="AE228" i="2"/>
  <c r="AG228" i="2" s="1"/>
  <c r="AE36" i="2"/>
  <c r="AG36" i="2" s="1"/>
  <c r="AE148" i="2"/>
  <c r="AG148" i="2" s="1"/>
  <c r="AE205" i="2"/>
  <c r="AG205" i="2" s="1"/>
  <c r="AF187" i="2"/>
  <c r="AE195" i="2"/>
  <c r="AG195" i="2" s="1"/>
  <c r="AE196" i="2"/>
  <c r="AG196" i="2" s="1"/>
  <c r="AF35" i="2"/>
  <c r="AE91" i="2"/>
  <c r="AG91" i="2" s="1"/>
  <c r="AF50" i="2"/>
  <c r="AF49" i="2"/>
  <c r="AF46" i="2"/>
  <c r="AE98" i="2"/>
  <c r="AG98" i="2" s="1"/>
  <c r="AE151" i="2"/>
  <c r="AG151" i="2" s="1"/>
  <c r="AF194" i="2"/>
  <c r="AE224" i="2"/>
  <c r="AG224" i="2" s="1"/>
  <c r="AE227" i="2"/>
  <c r="AG227" i="2" s="1"/>
  <c r="AF34" i="2"/>
  <c r="AE90" i="2"/>
  <c r="AG90" i="2" s="1"/>
  <c r="AF147" i="2"/>
  <c r="AE230" i="2"/>
  <c r="AG230" i="2" s="1"/>
  <c r="AF91" i="2"/>
  <c r="AE97" i="2"/>
  <c r="AG97" i="2" s="1"/>
  <c r="AE129" i="2"/>
  <c r="AG129" i="2" s="1"/>
  <c r="AE206" i="2"/>
  <c r="AG206" i="2" s="1"/>
  <c r="AE222" i="2"/>
  <c r="AG222" i="2" s="1"/>
  <c r="AF33" i="2"/>
  <c r="AE89" i="2"/>
  <c r="AG89" i="2" s="1"/>
  <c r="AF130" i="2"/>
  <c r="AF45" i="2"/>
  <c r="AE190" i="2"/>
  <c r="AG190" i="2" s="1"/>
  <c r="AF32" i="2"/>
  <c r="AF31" i="2"/>
  <c r="AF88" i="2"/>
  <c r="AF227" i="2"/>
  <c r="AF98" i="2"/>
  <c r="AE194" i="2"/>
  <c r="AG194" i="2" s="1"/>
  <c r="AF210" i="2"/>
  <c r="AF204" i="2"/>
  <c r="AE188" i="2"/>
  <c r="AG188" i="2" s="1"/>
  <c r="AE53" i="2"/>
  <c r="AG53" i="2" s="1"/>
  <c r="AE93" i="2"/>
  <c r="AG93" i="2" s="1"/>
  <c r="AE136" i="2"/>
  <c r="AG136" i="2" s="1"/>
  <c r="AF146" i="2"/>
  <c r="AF192" i="2"/>
  <c r="AF152" i="2"/>
  <c r="AE192" i="2"/>
  <c r="AG192" i="2" s="1"/>
  <c r="AE48" i="2"/>
  <c r="AG48" i="2" s="1"/>
  <c r="AF54" i="2"/>
  <c r="AE150" i="2"/>
  <c r="AG150" i="2" s="1"/>
  <c r="AE46" i="2"/>
  <c r="AG46" i="2" s="1"/>
  <c r="AE30" i="2"/>
  <c r="AG30" i="2" s="1"/>
  <c r="AF39" i="2"/>
  <c r="AF40" i="2"/>
  <c r="AE87" i="2"/>
  <c r="AG87" i="2" s="1"/>
  <c r="AF95" i="2"/>
  <c r="AF97" i="2"/>
  <c r="AE130" i="2"/>
  <c r="AG130" i="2" s="1"/>
  <c r="AF132" i="2"/>
  <c r="AE134" i="2"/>
  <c r="AG134" i="2" s="1"/>
  <c r="AE146" i="2"/>
  <c r="AG146" i="2" s="1"/>
  <c r="AE147" i="2"/>
  <c r="AG147" i="2" s="1"/>
  <c r="AF148" i="2"/>
  <c r="AF149" i="2"/>
  <c r="AF189" i="2"/>
  <c r="AF193" i="2"/>
  <c r="AE204" i="2"/>
  <c r="AG204" i="2" s="1"/>
  <c r="AF207" i="2"/>
  <c r="AF208" i="2"/>
  <c r="AE210" i="2"/>
  <c r="AG210" i="2" s="1"/>
  <c r="AE215" i="2"/>
  <c r="AG215" i="2" s="1"/>
  <c r="AF222" i="2"/>
  <c r="AF223" i="2"/>
  <c r="AE225" i="2"/>
  <c r="AG225" i="2" s="1"/>
  <c r="AE226" i="2"/>
  <c r="AG226" i="2" s="1"/>
  <c r="AE229" i="2"/>
  <c r="AG229" i="2" s="1"/>
  <c r="AF230" i="2"/>
  <c r="AE231" i="2"/>
  <c r="AG231" i="2" s="1"/>
  <c r="AF52" i="2"/>
  <c r="AF53" i="2"/>
  <c r="AE135" i="2"/>
  <c r="AG135" i="2" s="1"/>
  <c r="AE193" i="2"/>
  <c r="AG193" i="2" s="1"/>
  <c r="AE54" i="2"/>
  <c r="AG54" i="2" s="1"/>
  <c r="AE52" i="2"/>
  <c r="AG52" i="2" s="1"/>
  <c r="AE56" i="2"/>
  <c r="AG56" i="2" s="1"/>
  <c r="AF55" i="2"/>
  <c r="AF47" i="2"/>
  <c r="AF38" i="2"/>
  <c r="AE149" i="2"/>
  <c r="AG149" i="2" s="1"/>
  <c r="AE191" i="2"/>
  <c r="AG191" i="2" s="1"/>
  <c r="AE197" i="2"/>
  <c r="AG197" i="2" s="1"/>
  <c r="AE221" i="2"/>
  <c r="AG221" i="2" s="1"/>
  <c r="AF229" i="2"/>
  <c r="AE50" i="2"/>
  <c r="AG50" i="2" s="1"/>
  <c r="AE208" i="2"/>
  <c r="AG208" i="2" s="1"/>
  <c r="AE32" i="2"/>
  <c r="AG32" i="2" s="1"/>
  <c r="AE47" i="2"/>
  <c r="AG47" i="2" s="1"/>
  <c r="AE88" i="2"/>
  <c r="AG88" i="2" s="1"/>
  <c r="AE189" i="2"/>
  <c r="AG189" i="2" s="1"/>
  <c r="AF151" i="2"/>
  <c r="AF228" i="2"/>
  <c r="AF92" i="2"/>
  <c r="AF232" i="2"/>
  <c r="AE31" i="2"/>
  <c r="AG31" i="2" s="1"/>
  <c r="AF150" i="2"/>
  <c r="AF215" i="2"/>
  <c r="AF231" i="2"/>
  <c r="AE29" i="2"/>
  <c r="AG29" i="2" s="1"/>
  <c r="AE45" i="2"/>
  <c r="AG45" i="2" s="1"/>
  <c r="AF51" i="2"/>
  <c r="AE133" i="2"/>
  <c r="AG133" i="2" s="1"/>
  <c r="AE187" i="2"/>
  <c r="AG187" i="2" s="1"/>
  <c r="AF87" i="2"/>
  <c r="AF225" i="2"/>
  <c r="AE157" i="2"/>
  <c r="AG157" i="2" s="1"/>
  <c r="AF197" i="2"/>
  <c r="AF213" i="2"/>
  <c r="AF214" i="2"/>
  <c r="AE40" i="2"/>
  <c r="AG40" i="2" s="1"/>
  <c r="AE132" i="2"/>
  <c r="AG132" i="2" s="1"/>
  <c r="AE214" i="2"/>
  <c r="AG214" i="2" s="1"/>
  <c r="AF129" i="2"/>
  <c r="AF224" i="2"/>
  <c r="AF140" i="2"/>
  <c r="AF156" i="2"/>
  <c r="AF196" i="2"/>
  <c r="AE212" i="2"/>
  <c r="AG212" i="2" s="1"/>
  <c r="AE39" i="2"/>
  <c r="AG39" i="2" s="1"/>
  <c r="AF56" i="2"/>
  <c r="AF134" i="2"/>
  <c r="AF139" i="2"/>
  <c r="AE155" i="2"/>
  <c r="AG155" i="2" s="1"/>
  <c r="AF195" i="2"/>
  <c r="AE211" i="2"/>
  <c r="AG211" i="2" s="1"/>
  <c r="AE207" i="2"/>
  <c r="AG207" i="2" s="1"/>
  <c r="AF206" i="2"/>
  <c r="AF137" i="2"/>
  <c r="AF153" i="2"/>
  <c r="AE209" i="2"/>
  <c r="AG209" i="2" s="1"/>
  <c r="AF138" i="2"/>
  <c r="AF30" i="2"/>
  <c r="AE38" i="2"/>
  <c r="AG38" i="2" s="1"/>
  <c r="AE37" i="2"/>
  <c r="AG37" i="2" s="1"/>
  <c r="AE55" i="2"/>
  <c r="AG55" i="2" s="1"/>
  <c r="AE153" i="2"/>
  <c r="AG153" i="2" s="1"/>
  <c r="AF205" i="2"/>
  <c r="AF96" i="2"/>
  <c r="AF136" i="2"/>
  <c r="AE35" i="2"/>
  <c r="AG35" i="2" s="1"/>
  <c r="AF48" i="2"/>
  <c r="AE139" i="2"/>
  <c r="AG139" i="2" s="1"/>
  <c r="AE152" i="2"/>
  <c r="AG152" i="2" s="1"/>
  <c r="AF89" i="2"/>
  <c r="AF191" i="2"/>
  <c r="AF221" i="2"/>
  <c r="AE95" i="2"/>
  <c r="AG95" i="2" s="1"/>
  <c r="AF135" i="2"/>
  <c r="AE223" i="2"/>
  <c r="AG223" i="2" s="1"/>
  <c r="AF198" i="2"/>
  <c r="AE154" i="2"/>
  <c r="AG154" i="2" s="1"/>
  <c r="AE49" i="2"/>
  <c r="AG49" i="2" s="1"/>
  <c r="AE140" i="2"/>
  <c r="AG140" i="2" s="1"/>
  <c r="AF36" i="2"/>
  <c r="AF90" i="2"/>
  <c r="AE34" i="2"/>
  <c r="AG34" i="2" s="1"/>
  <c r="AE138" i="2"/>
  <c r="AG138" i="2" s="1"/>
  <c r="AF190" i="2"/>
  <c r="AF94" i="2"/>
  <c r="AE33" i="2"/>
  <c r="AG33" i="2" s="1"/>
  <c r="AE137" i="2"/>
  <c r="AG137" i="2" s="1"/>
  <c r="AE232" i="2"/>
  <c r="AG232" i="2" s="1"/>
  <c r="AF93" i="2"/>
  <c r="AF211" i="2"/>
  <c r="AE213" i="2"/>
  <c r="AG213" i="2" s="1"/>
  <c r="AE198" i="2"/>
  <c r="AG198" i="2" s="1"/>
  <c r="AF157" i="2"/>
  <c r="AE156" i="2"/>
  <c r="AG156" i="2" s="1"/>
  <c r="AF155" i="2"/>
  <c r="AF154" i="2"/>
  <c r="AE96" i="2"/>
  <c r="AG96" i="2" s="1"/>
  <c r="AE94" i="2"/>
  <c r="AG94" i="2" s="1"/>
  <c r="AE92" i="2"/>
  <c r="AG92" i="2" s="1"/>
  <c r="K103" i="2" l="1"/>
  <c r="AF103" i="2"/>
  <c r="K162" i="2"/>
  <c r="AF162" i="2"/>
  <c r="K62" i="2"/>
  <c r="AF62" i="2"/>
  <c r="M6" i="2"/>
  <c r="AF7" i="2"/>
  <c r="L103" i="2" l="1"/>
  <c r="AF104" i="2"/>
  <c r="L162" i="2"/>
  <c r="AF163" i="2"/>
  <c r="L62" i="2"/>
  <c r="AF63" i="2"/>
  <c r="AF8" i="2"/>
  <c r="N6" i="2"/>
  <c r="M103" i="2" l="1"/>
  <c r="AF105" i="2"/>
  <c r="M162" i="2"/>
  <c r="AF164" i="2"/>
  <c r="M62" i="2"/>
  <c r="AF64" i="2"/>
  <c r="AF9" i="2"/>
  <c r="O6" i="2"/>
  <c r="AF106" i="2" l="1"/>
  <c r="N103" i="2"/>
  <c r="AF165" i="2"/>
  <c r="N162" i="2"/>
  <c r="AF65" i="2"/>
  <c r="N62" i="2"/>
  <c r="AF10" i="2"/>
  <c r="P6" i="2"/>
  <c r="AF107" i="2" l="1"/>
  <c r="O103" i="2"/>
  <c r="AF166" i="2"/>
  <c r="O162" i="2"/>
  <c r="AF66" i="2"/>
  <c r="O62" i="2"/>
  <c r="AF11" i="2"/>
  <c r="Q6" i="2"/>
  <c r="P103" i="2" l="1"/>
  <c r="AF108" i="2"/>
  <c r="AF167" i="2"/>
  <c r="P162" i="2"/>
  <c r="AF67" i="2"/>
  <c r="P62" i="2"/>
  <c r="AF12" i="2"/>
  <c r="R6" i="2"/>
  <c r="Q103" i="2" l="1"/>
  <c r="AF109" i="2"/>
  <c r="Q162" i="2"/>
  <c r="AF168" i="2"/>
  <c r="Q62" i="2"/>
  <c r="AF68" i="2"/>
  <c r="AF13" i="2"/>
  <c r="S6" i="2"/>
  <c r="R103" i="2" l="1"/>
  <c r="AF110" i="2"/>
  <c r="AF169" i="2"/>
  <c r="R162" i="2"/>
  <c r="AF69" i="2"/>
  <c r="R62" i="2"/>
  <c r="AF14" i="2"/>
  <c r="T6" i="2"/>
  <c r="S103" i="2" l="1"/>
  <c r="AF111" i="2"/>
  <c r="S162" i="2"/>
  <c r="AF170" i="2"/>
  <c r="S62" i="2"/>
  <c r="AF70" i="2"/>
  <c r="AF15" i="2"/>
  <c r="U6" i="2"/>
  <c r="AF112" i="2" l="1"/>
  <c r="T103" i="2"/>
  <c r="AF171" i="2"/>
  <c r="T162" i="2"/>
  <c r="AF71" i="2"/>
  <c r="T62" i="2"/>
  <c r="AF16" i="2"/>
  <c r="V6" i="2"/>
  <c r="U103" i="2" l="1"/>
  <c r="AF113" i="2"/>
  <c r="U162" i="2"/>
  <c r="AF172" i="2"/>
  <c r="AF72" i="2"/>
  <c r="U62" i="2"/>
  <c r="AF17" i="2"/>
  <c r="W6" i="2"/>
  <c r="AF114" i="2" l="1"/>
  <c r="V103" i="2"/>
  <c r="V162" i="2"/>
  <c r="AF173" i="2"/>
  <c r="V62" i="2"/>
  <c r="AF73" i="2"/>
  <c r="AF18" i="2"/>
  <c r="X6" i="2"/>
  <c r="AF115" i="2" l="1"/>
  <c r="W103" i="2"/>
  <c r="AF174" i="2"/>
  <c r="W162" i="2"/>
  <c r="AF74" i="2"/>
  <c r="W62" i="2"/>
  <c r="AF19" i="2"/>
  <c r="Y6" i="2"/>
  <c r="X103" i="2" l="1"/>
  <c r="AF116" i="2"/>
  <c r="X162" i="2"/>
  <c r="AF175" i="2"/>
  <c r="X62" i="2"/>
  <c r="AF75" i="2"/>
  <c r="AF20" i="2"/>
  <c r="Z6" i="2"/>
  <c r="Y103" i="2" l="1"/>
  <c r="AF117" i="2"/>
  <c r="Y162" i="2"/>
  <c r="AF176" i="2"/>
  <c r="Y62" i="2"/>
  <c r="AF76" i="2"/>
  <c r="AF21" i="2"/>
  <c r="AA6" i="2"/>
  <c r="AF118" i="2" l="1"/>
  <c r="Z103" i="2"/>
  <c r="AF177" i="2"/>
  <c r="Z162" i="2"/>
  <c r="AF77" i="2"/>
  <c r="Z62" i="2"/>
  <c r="AF22" i="2"/>
  <c r="AB6" i="2"/>
  <c r="AF119" i="2" l="1"/>
  <c r="AA103" i="2"/>
  <c r="AF178" i="2"/>
  <c r="AA162" i="2"/>
  <c r="AF78" i="2"/>
  <c r="AA62" i="2"/>
  <c r="AF23" i="2"/>
  <c r="AC6" i="2"/>
  <c r="AF24" i="2" s="1"/>
  <c r="AF120" i="2" l="1"/>
  <c r="AB103" i="2"/>
  <c r="AF179" i="2"/>
  <c r="AB162" i="2"/>
  <c r="AF79" i="2"/>
  <c r="AB62" i="2"/>
  <c r="AC103" i="2" l="1"/>
  <c r="AF122" i="2" s="1"/>
  <c r="AF121" i="2"/>
  <c r="AC162" i="2"/>
  <c r="AF181" i="2" s="1"/>
  <c r="AF180" i="2"/>
  <c r="AC62" i="2"/>
  <c r="AF81" i="2" s="1"/>
  <c r="AF80" i="2"/>
</calcChain>
</file>

<file path=xl/sharedStrings.xml><?xml version="1.0" encoding="utf-8"?>
<sst xmlns="http://purl.oclc.org/ooxml/spreadsheetml/main" count="4088" uniqueCount="493">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</sst>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AF1" workbookViewId="0">
      <pane ySplit="1" topLeftCell="A61" activePane="bottomLeft" state="frozen"/>
      <selection pane="bottomLeft" activeCell="AH93" sqref="AH93"/>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AZ64">
        <v>336800000</v>
      </c>
      <c r="BA64">
        <v>274.3</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A67">
        <f>70.7+97+1.8+1.7</f>
        <v>171.2</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f>140.6+196+3.5-14.3-BA67</f>
        <v>154.60000000000002</v>
      </c>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f>212.9+297.4+5.3-34.4-BA68-BA67</f>
        <v>155.39999999999992</v>
      </c>
      <c r="BB69" s="3">
        <f>+BA69*1000000</f>
        <v>155399999.99999991</v>
      </c>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53"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53"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53"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53"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53"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53"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53"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53"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53"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53"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c r="AY90">
        <f>-237-82-381-461-27-66</f>
        <v>-1254</v>
      </c>
    </row>
    <row r="91" spans="1:53"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c r="AY91">
        <f>-480-172-750-740-63-165-AY90</f>
        <v>-1116</v>
      </c>
    </row>
    <row r="92" spans="1:53"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c r="AY92">
        <f>-743-272-1198-1005-88-263-AY91-AY90</f>
        <v>-1199</v>
      </c>
      <c r="AZ92">
        <f>+AY92*1000000</f>
        <v>-1199000000</v>
      </c>
      <c r="BA92">
        <f>+AH92-AZ92</f>
        <v>0</v>
      </c>
    </row>
    <row r="93" spans="1:53"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c r="AY93">
        <f>-1033-375-2908-117-375-AY92-AY91-AY90</f>
        <v>-1239</v>
      </c>
      <c r="AZ93">
        <f>+AY93*1000000</f>
        <v>-1239000000</v>
      </c>
    </row>
    <row r="94" spans="1:53"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53"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53"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32"/>
  <sheetViews>
    <sheetView topLeftCell="A157" workbookViewId="0">
      <selection activeCell="AG170" sqref="AE170:AG181"/>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438</v>
      </c>
      <c r="E27" s="6" t="s">
        <v>439</v>
      </c>
      <c r="F27" s="6" t="s">
        <v>440</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B29" t="s">
        <v>77</v>
      </c>
      <c r="C29" s="18" t="s">
        <v>104</v>
      </c>
      <c r="D29" s="4">
        <v>113000000</v>
      </c>
      <c r="E29" s="4">
        <v>124000000</v>
      </c>
      <c r="F29" s="4">
        <v>124000000</v>
      </c>
      <c r="G29" s="19">
        <v>20</v>
      </c>
      <c r="H29" s="4">
        <v>33000000</v>
      </c>
      <c r="J29" s="20">
        <f t="shared" ref="J29:J40" si="9">H29</f>
        <v>33000000</v>
      </c>
      <c r="K29" s="20">
        <f>$F29/4</f>
        <v>31000000</v>
      </c>
      <c r="L29" s="20">
        <f>$F29/4</f>
        <v>31000000</v>
      </c>
      <c r="M29" s="20">
        <f>$F29/4</f>
        <v>31000000</v>
      </c>
      <c r="N29" s="20">
        <f>$F29/4</f>
        <v>31000000</v>
      </c>
      <c r="O29" s="20">
        <f>$E29/4</f>
        <v>31000000</v>
      </c>
      <c r="P29" s="20">
        <f>$E29/4</f>
        <v>31000000</v>
      </c>
      <c r="Q29" s="20">
        <f>$E29/4</f>
        <v>31000000</v>
      </c>
      <c r="R29" s="20">
        <f>$E29/4</f>
        <v>31000000</v>
      </c>
      <c r="S29" s="20">
        <f>$D29/4</f>
        <v>28250000</v>
      </c>
      <c r="T29" s="20">
        <f>$D29/4</f>
        <v>28250000</v>
      </c>
      <c r="U29" s="20">
        <f>$D29/4</f>
        <v>28250000</v>
      </c>
      <c r="V29" s="20">
        <f>$D29/4</f>
        <v>28250000</v>
      </c>
      <c r="W29" s="20">
        <v>0</v>
      </c>
      <c r="X29" s="20">
        <v>0</v>
      </c>
      <c r="Y29" s="20">
        <v>0</v>
      </c>
      <c r="Z29" s="20">
        <v>0</v>
      </c>
      <c r="AA29" s="20">
        <v>0</v>
      </c>
      <c r="AB29" s="20">
        <v>0</v>
      </c>
      <c r="AC29" s="20">
        <v>0</v>
      </c>
      <c r="AE29" s="21">
        <f>SUM(J29:AC29)/$G29</f>
        <v>19700000</v>
      </c>
      <c r="AF29" s="21">
        <f>SUMPRODUCT($J$28:$AC$28,J29:AC29)/$G29</f>
        <v>278875000</v>
      </c>
      <c r="AG29" s="21">
        <f t="shared" ref="AG29:AG40" si="10">H29-AE29</f>
        <v>13300000</v>
      </c>
    </row>
    <row r="30" spans="1:33" x14ac:dyDescent="0.2">
      <c r="B30" t="s">
        <v>77</v>
      </c>
      <c r="C30" s="18" t="s">
        <v>103</v>
      </c>
      <c r="D30" s="22">
        <f>$D29</f>
        <v>113000000</v>
      </c>
      <c r="E30" s="22">
        <f>$E29</f>
        <v>124000000</v>
      </c>
      <c r="F30" s="22">
        <f>$F29</f>
        <v>124000000</v>
      </c>
      <c r="G30" s="23">
        <f>$G$29</f>
        <v>20</v>
      </c>
      <c r="H30" s="4">
        <v>32000000</v>
      </c>
      <c r="J30" s="20">
        <f t="shared" si="9"/>
        <v>32000000</v>
      </c>
      <c r="K30" s="20">
        <f t="shared" ref="K30:K40" si="11">H29</f>
        <v>33000000</v>
      </c>
      <c r="L30" s="20">
        <f>$F29/4</f>
        <v>31000000</v>
      </c>
      <c r="M30" s="20">
        <f>$F29/4</f>
        <v>31000000</v>
      </c>
      <c r="N30" s="20">
        <f>$F29/4</f>
        <v>31000000</v>
      </c>
      <c r="O30" s="20">
        <f>$F29/4</f>
        <v>31000000</v>
      </c>
      <c r="P30" s="20">
        <f>$E29/4</f>
        <v>31000000</v>
      </c>
      <c r="Q30" s="20">
        <f>$E29/4</f>
        <v>31000000</v>
      </c>
      <c r="R30" s="20">
        <f>$E29/4</f>
        <v>31000000</v>
      </c>
      <c r="S30" s="20">
        <f>$E29/4</f>
        <v>31000000</v>
      </c>
      <c r="T30" s="20">
        <f>$D29/4</f>
        <v>28250000</v>
      </c>
      <c r="U30" s="20">
        <f>$D29/4</f>
        <v>28250000</v>
      </c>
      <c r="V30" s="20">
        <f>$D29/4</f>
        <v>28250000</v>
      </c>
      <c r="W30" s="20">
        <f>$D29/4</f>
        <v>28250000</v>
      </c>
      <c r="X30" s="20">
        <v>0</v>
      </c>
      <c r="Y30" s="20">
        <v>0</v>
      </c>
      <c r="Z30" s="20">
        <v>0</v>
      </c>
      <c r="AA30" s="20">
        <v>0</v>
      </c>
      <c r="AB30" s="20">
        <v>0</v>
      </c>
      <c r="AC30" s="20">
        <v>0</v>
      </c>
      <c r="AE30" s="21">
        <f t="shared" ref="AE30:AE40" si="12">SUM(J30:AC30)/$G30</f>
        <v>21300000</v>
      </c>
      <c r="AF30" s="21">
        <f t="shared" ref="AF30:AF40" si="13">SUMPRODUCT($J$28:$AC$28,J30:AC30)/$G30</f>
        <v>291175000</v>
      </c>
      <c r="AG30" s="21">
        <f t="shared" si="10"/>
        <v>10700000</v>
      </c>
    </row>
    <row r="31" spans="1:33" x14ac:dyDescent="0.2">
      <c r="B31" t="s">
        <v>77</v>
      </c>
      <c r="C31" s="18" t="s">
        <v>102</v>
      </c>
      <c r="D31" s="22">
        <f>$D29</f>
        <v>113000000</v>
      </c>
      <c r="E31" s="22">
        <f>$E29</f>
        <v>124000000</v>
      </c>
      <c r="F31" s="22">
        <f>$F29</f>
        <v>124000000</v>
      </c>
      <c r="G31" s="23">
        <f t="shared" ref="G31:G40" si="14">$G$29</f>
        <v>20</v>
      </c>
      <c r="H31" s="4">
        <v>31000000</v>
      </c>
      <c r="J31" s="20">
        <f t="shared" si="9"/>
        <v>31000000</v>
      </c>
      <c r="K31" s="20">
        <f t="shared" si="11"/>
        <v>32000000</v>
      </c>
      <c r="L31" s="20">
        <f t="shared" ref="L31:L40" si="15">H29</f>
        <v>33000000</v>
      </c>
      <c r="M31" s="20">
        <f>$F29/4</f>
        <v>31000000</v>
      </c>
      <c r="N31" s="20">
        <f>$F29/4</f>
        <v>31000000</v>
      </c>
      <c r="O31" s="20">
        <f>$F29/4</f>
        <v>31000000</v>
      </c>
      <c r="P31" s="20">
        <f>$F29/4</f>
        <v>31000000</v>
      </c>
      <c r="Q31" s="20">
        <f>$E29/4</f>
        <v>31000000</v>
      </c>
      <c r="R31" s="20">
        <f>$E29/4</f>
        <v>31000000</v>
      </c>
      <c r="S31" s="20">
        <f>$E29/4</f>
        <v>31000000</v>
      </c>
      <c r="T31" s="20">
        <f>$E29/4</f>
        <v>31000000</v>
      </c>
      <c r="U31" s="20">
        <f>$D29/4</f>
        <v>28250000</v>
      </c>
      <c r="V31" s="20">
        <f>$D29/4</f>
        <v>28250000</v>
      </c>
      <c r="W31" s="20">
        <f>$D29/4</f>
        <v>28250000</v>
      </c>
      <c r="X31" s="20">
        <f>$D29/4</f>
        <v>28250000</v>
      </c>
      <c r="Y31" s="20">
        <v>0</v>
      </c>
      <c r="Z31" s="20">
        <v>0</v>
      </c>
      <c r="AA31" s="20">
        <v>0</v>
      </c>
      <c r="AB31" s="20">
        <v>0</v>
      </c>
      <c r="AC31" s="20">
        <v>0</v>
      </c>
      <c r="AE31" s="21">
        <f t="shared" si="12"/>
        <v>22850000</v>
      </c>
      <c r="AF31" s="21">
        <f t="shared" si="13"/>
        <v>300875000</v>
      </c>
      <c r="AG31" s="21">
        <f t="shared" si="10"/>
        <v>8150000</v>
      </c>
    </row>
    <row r="32" spans="1:33" x14ac:dyDescent="0.2">
      <c r="B32" t="s">
        <v>77</v>
      </c>
      <c r="C32" s="18" t="s">
        <v>101</v>
      </c>
      <c r="D32" s="22">
        <f>$D29</f>
        <v>113000000</v>
      </c>
      <c r="E32" s="22">
        <f>$E29</f>
        <v>124000000</v>
      </c>
      <c r="F32" s="22">
        <f>$F29</f>
        <v>124000000</v>
      </c>
      <c r="G32" s="23">
        <f t="shared" si="14"/>
        <v>20</v>
      </c>
      <c r="H32" s="4">
        <v>34000000</v>
      </c>
      <c r="J32" s="20">
        <f t="shared" si="9"/>
        <v>34000000</v>
      </c>
      <c r="K32" s="20">
        <f t="shared" si="11"/>
        <v>31000000</v>
      </c>
      <c r="L32" s="20">
        <f t="shared" si="15"/>
        <v>32000000</v>
      </c>
      <c r="M32" s="20">
        <f t="shared" ref="M32:M40" si="16">H29</f>
        <v>33000000</v>
      </c>
      <c r="N32" s="20">
        <f>$F29/4</f>
        <v>31000000</v>
      </c>
      <c r="O32" s="20">
        <f>$F29/4</f>
        <v>31000000</v>
      </c>
      <c r="P32" s="20">
        <f>$F29/4</f>
        <v>31000000</v>
      </c>
      <c r="Q32" s="20">
        <f>$F29/4</f>
        <v>31000000</v>
      </c>
      <c r="R32" s="20">
        <f>$E29/4</f>
        <v>31000000</v>
      </c>
      <c r="S32" s="20">
        <f>$E29/4</f>
        <v>31000000</v>
      </c>
      <c r="T32" s="20">
        <f>$E29/4</f>
        <v>31000000</v>
      </c>
      <c r="U32" s="20">
        <f>$E29/4</f>
        <v>31000000</v>
      </c>
      <c r="V32" s="20">
        <f>$D29/4</f>
        <v>28250000</v>
      </c>
      <c r="W32" s="20">
        <f>$D29/4</f>
        <v>28250000</v>
      </c>
      <c r="X32" s="20">
        <f>$D29/4</f>
        <v>28250000</v>
      </c>
      <c r="Y32" s="20">
        <f>$D29/4</f>
        <v>28250000</v>
      </c>
      <c r="Z32" s="20">
        <v>0</v>
      </c>
      <c r="AA32" s="20">
        <v>0</v>
      </c>
      <c r="AB32" s="20">
        <v>0</v>
      </c>
      <c r="AC32" s="20">
        <v>0</v>
      </c>
      <c r="AE32" s="21">
        <f t="shared" si="12"/>
        <v>24550000</v>
      </c>
      <c r="AF32" s="21">
        <f t="shared" si="13"/>
        <v>312025000</v>
      </c>
      <c r="AG32" s="21">
        <f t="shared" si="10"/>
        <v>9450000</v>
      </c>
    </row>
    <row r="33" spans="2:33" x14ac:dyDescent="0.2">
      <c r="B33" t="s">
        <v>77</v>
      </c>
      <c r="C33" s="18" t="s">
        <v>100</v>
      </c>
      <c r="D33" s="22">
        <f>$D29</f>
        <v>113000000</v>
      </c>
      <c r="E33" s="22">
        <f>$E29</f>
        <v>124000000</v>
      </c>
      <c r="F33" s="22">
        <f>$F29</f>
        <v>124000000</v>
      </c>
      <c r="G33" s="23">
        <f t="shared" si="14"/>
        <v>20</v>
      </c>
      <c r="H33" s="4">
        <v>32000000</v>
      </c>
      <c r="J33" s="20">
        <f t="shared" si="9"/>
        <v>32000000</v>
      </c>
      <c r="K33" s="20">
        <f t="shared" si="11"/>
        <v>34000000</v>
      </c>
      <c r="L33" s="20">
        <f t="shared" si="15"/>
        <v>31000000</v>
      </c>
      <c r="M33" s="20">
        <f t="shared" si="16"/>
        <v>32000000</v>
      </c>
      <c r="N33" s="20">
        <f t="shared" ref="N33:N40" si="17">H29</f>
        <v>33000000</v>
      </c>
      <c r="O33" s="20">
        <f>$F29/4</f>
        <v>31000000</v>
      </c>
      <c r="P33" s="20">
        <f>$F29/4</f>
        <v>31000000</v>
      </c>
      <c r="Q33" s="20">
        <f>$F29/4</f>
        <v>31000000</v>
      </c>
      <c r="R33" s="20">
        <f>$F29/4</f>
        <v>31000000</v>
      </c>
      <c r="S33" s="20">
        <f>$E29/4</f>
        <v>31000000</v>
      </c>
      <c r="T33" s="20">
        <f>$E29/4</f>
        <v>31000000</v>
      </c>
      <c r="U33" s="20">
        <f>$E29/4</f>
        <v>31000000</v>
      </c>
      <c r="V33" s="20">
        <f>$E29/4</f>
        <v>31000000</v>
      </c>
      <c r="W33" s="20">
        <f>$D29/4</f>
        <v>28250000</v>
      </c>
      <c r="X33" s="20">
        <f>$D29/4</f>
        <v>28250000</v>
      </c>
      <c r="Y33" s="20">
        <f>$D29/4</f>
        <v>28250000</v>
      </c>
      <c r="Z33" s="20">
        <f>$D29/4</f>
        <v>28250000</v>
      </c>
      <c r="AA33" s="20">
        <v>0</v>
      </c>
      <c r="AB33" s="20">
        <v>0</v>
      </c>
      <c r="AC33" s="20">
        <v>0</v>
      </c>
      <c r="AE33" s="21">
        <f t="shared" si="12"/>
        <v>26150000</v>
      </c>
      <c r="AF33" s="21">
        <f t="shared" si="13"/>
        <v>319475000</v>
      </c>
      <c r="AG33" s="21">
        <f t="shared" si="10"/>
        <v>5850000</v>
      </c>
    </row>
    <row r="34" spans="2:33" x14ac:dyDescent="0.2">
      <c r="B34" t="s">
        <v>77</v>
      </c>
      <c r="C34" s="18" t="s">
        <v>99</v>
      </c>
      <c r="D34" s="22">
        <f>$D29</f>
        <v>113000000</v>
      </c>
      <c r="E34" s="22">
        <f>$E29</f>
        <v>124000000</v>
      </c>
      <c r="F34" s="22">
        <f>$F29</f>
        <v>124000000</v>
      </c>
      <c r="G34" s="23">
        <f t="shared" si="14"/>
        <v>20</v>
      </c>
      <c r="H34" s="4">
        <v>33000000</v>
      </c>
      <c r="J34" s="20">
        <f t="shared" si="9"/>
        <v>33000000</v>
      </c>
      <c r="K34" s="20">
        <f t="shared" si="11"/>
        <v>32000000</v>
      </c>
      <c r="L34" s="20">
        <f t="shared" si="15"/>
        <v>34000000</v>
      </c>
      <c r="M34" s="20">
        <f t="shared" si="16"/>
        <v>31000000</v>
      </c>
      <c r="N34" s="20">
        <f t="shared" si="17"/>
        <v>32000000</v>
      </c>
      <c r="O34" s="20">
        <f t="shared" ref="O34:O40" si="18">H29</f>
        <v>33000000</v>
      </c>
      <c r="P34" s="20">
        <f>$F29/4</f>
        <v>31000000</v>
      </c>
      <c r="Q34" s="20">
        <f>$F29/4</f>
        <v>31000000</v>
      </c>
      <c r="R34" s="20">
        <f>$F29/4</f>
        <v>31000000</v>
      </c>
      <c r="S34" s="20">
        <f>$F29/4</f>
        <v>31000000</v>
      </c>
      <c r="T34" s="20">
        <f>$E29/4</f>
        <v>31000000</v>
      </c>
      <c r="U34" s="20">
        <f>$E29/4</f>
        <v>31000000</v>
      </c>
      <c r="V34" s="20">
        <f>$E29/4</f>
        <v>31000000</v>
      </c>
      <c r="W34" s="20">
        <f>$E29/4</f>
        <v>31000000</v>
      </c>
      <c r="X34" s="20">
        <f>$D29/4</f>
        <v>28250000</v>
      </c>
      <c r="Y34" s="20">
        <f>$D29/4</f>
        <v>28250000</v>
      </c>
      <c r="Z34" s="20">
        <f>$D29/4</f>
        <v>28250000</v>
      </c>
      <c r="AA34" s="20">
        <f>$D29/4</f>
        <v>28250000</v>
      </c>
      <c r="AB34" s="20">
        <v>0</v>
      </c>
      <c r="AC34" s="20">
        <v>0</v>
      </c>
      <c r="AE34" s="21">
        <f t="shared" si="12"/>
        <v>27800000</v>
      </c>
      <c r="AF34" s="21">
        <f t="shared" si="13"/>
        <v>326325000</v>
      </c>
      <c r="AG34" s="21">
        <f t="shared" si="10"/>
        <v>5200000</v>
      </c>
    </row>
    <row r="35" spans="2:33" x14ac:dyDescent="0.2">
      <c r="B35" t="s">
        <v>77</v>
      </c>
      <c r="C35" s="18" t="s">
        <v>98</v>
      </c>
      <c r="D35" s="22">
        <f>$D29</f>
        <v>113000000</v>
      </c>
      <c r="E35" s="22">
        <f>$E29</f>
        <v>124000000</v>
      </c>
      <c r="F35" s="22">
        <f>$F29</f>
        <v>124000000</v>
      </c>
      <c r="G35" s="23">
        <f t="shared" si="14"/>
        <v>20</v>
      </c>
      <c r="H35" s="4">
        <v>31000000</v>
      </c>
      <c r="J35" s="20">
        <f t="shared" si="9"/>
        <v>31000000</v>
      </c>
      <c r="K35" s="20">
        <f t="shared" si="11"/>
        <v>33000000</v>
      </c>
      <c r="L35" s="20">
        <f t="shared" si="15"/>
        <v>32000000</v>
      </c>
      <c r="M35" s="20">
        <f t="shared" si="16"/>
        <v>34000000</v>
      </c>
      <c r="N35" s="20">
        <f t="shared" si="17"/>
        <v>31000000</v>
      </c>
      <c r="O35" s="20">
        <f t="shared" si="18"/>
        <v>32000000</v>
      </c>
      <c r="P35" s="20">
        <f t="shared" ref="P35:P40" si="19">H29</f>
        <v>33000000</v>
      </c>
      <c r="Q35" s="20">
        <f>$F29/4</f>
        <v>31000000</v>
      </c>
      <c r="R35" s="20">
        <f>$F29/4</f>
        <v>31000000</v>
      </c>
      <c r="S35" s="20">
        <f>$F29/4</f>
        <v>31000000</v>
      </c>
      <c r="T35" s="20">
        <f>$F29/4</f>
        <v>31000000</v>
      </c>
      <c r="U35" s="20">
        <f>$E29/4</f>
        <v>31000000</v>
      </c>
      <c r="V35" s="20">
        <f>$E29/4</f>
        <v>31000000</v>
      </c>
      <c r="W35" s="20">
        <f>$E29/4</f>
        <v>31000000</v>
      </c>
      <c r="X35" s="20">
        <f>$E29/4</f>
        <v>31000000</v>
      </c>
      <c r="Y35" s="20">
        <f>$D29/4</f>
        <v>28250000</v>
      </c>
      <c r="Z35" s="20">
        <f>$D29/4</f>
        <v>28250000</v>
      </c>
      <c r="AA35" s="20">
        <f>$D29/4</f>
        <v>28250000</v>
      </c>
      <c r="AB35" s="20">
        <f>$D29/4</f>
        <v>28250000</v>
      </c>
      <c r="AC35" s="20">
        <v>0</v>
      </c>
      <c r="AE35" s="21">
        <f t="shared" si="12"/>
        <v>29350000</v>
      </c>
      <c r="AF35" s="21">
        <f t="shared" si="13"/>
        <v>329525000</v>
      </c>
      <c r="AG35" s="21">
        <f t="shared" si="10"/>
        <v>1650000</v>
      </c>
    </row>
    <row r="36" spans="2:33" x14ac:dyDescent="0.2">
      <c r="B36" t="s">
        <v>77</v>
      </c>
      <c r="C36" s="18" t="s">
        <v>97</v>
      </c>
      <c r="D36" s="22">
        <f>$D29</f>
        <v>113000000</v>
      </c>
      <c r="E36" s="22">
        <f>$E29</f>
        <v>124000000</v>
      </c>
      <c r="F36" s="22">
        <f>$F29</f>
        <v>124000000</v>
      </c>
      <c r="G36" s="23">
        <f t="shared" si="14"/>
        <v>20</v>
      </c>
      <c r="H36" s="4">
        <v>39000000</v>
      </c>
      <c r="J36" s="20">
        <f t="shared" si="9"/>
        <v>39000000</v>
      </c>
      <c r="K36" s="20">
        <f t="shared" si="11"/>
        <v>31000000</v>
      </c>
      <c r="L36" s="20">
        <f t="shared" si="15"/>
        <v>33000000</v>
      </c>
      <c r="M36" s="20">
        <f t="shared" si="16"/>
        <v>32000000</v>
      </c>
      <c r="N36" s="20">
        <f t="shared" si="17"/>
        <v>34000000</v>
      </c>
      <c r="O36" s="20">
        <f t="shared" si="18"/>
        <v>31000000</v>
      </c>
      <c r="P36" s="20">
        <f t="shared" si="19"/>
        <v>32000000</v>
      </c>
      <c r="Q36" s="20">
        <f>H29</f>
        <v>33000000</v>
      </c>
      <c r="R36" s="20">
        <f>$F29/4</f>
        <v>31000000</v>
      </c>
      <c r="S36" s="20">
        <f>$F29/4</f>
        <v>31000000</v>
      </c>
      <c r="T36" s="20">
        <f>$F29/4</f>
        <v>31000000</v>
      </c>
      <c r="U36" s="20">
        <f>$F29/4</f>
        <v>31000000</v>
      </c>
      <c r="V36" s="20">
        <f>$E29/4</f>
        <v>31000000</v>
      </c>
      <c r="W36" s="20">
        <f>$E29/4</f>
        <v>31000000</v>
      </c>
      <c r="X36" s="20">
        <f>$E29/4</f>
        <v>31000000</v>
      </c>
      <c r="Y36" s="20">
        <f>$E29/4</f>
        <v>31000000</v>
      </c>
      <c r="Z36" s="20">
        <f>$D29/4</f>
        <v>28250000</v>
      </c>
      <c r="AA36" s="20">
        <f>$D29/4</f>
        <v>28250000</v>
      </c>
      <c r="AB36" s="20">
        <f>$D29/4</f>
        <v>28250000</v>
      </c>
      <c r="AC36" s="20">
        <f>$D29/4</f>
        <v>28250000</v>
      </c>
      <c r="AE36" s="21">
        <f t="shared" si="12"/>
        <v>31300000</v>
      </c>
      <c r="AF36" s="21">
        <f t="shared" si="13"/>
        <v>339175000</v>
      </c>
      <c r="AG36" s="21">
        <f t="shared" si="10"/>
        <v>7700000</v>
      </c>
    </row>
    <row r="37" spans="2:33" x14ac:dyDescent="0.2">
      <c r="B37" t="s">
        <v>77</v>
      </c>
      <c r="C37" s="18" t="s">
        <v>96</v>
      </c>
      <c r="D37" s="22">
        <f>$D29</f>
        <v>113000000</v>
      </c>
      <c r="E37" s="22">
        <f>$E29</f>
        <v>124000000</v>
      </c>
      <c r="F37" s="22">
        <f>$F29</f>
        <v>124000000</v>
      </c>
      <c r="G37" s="23">
        <f t="shared" si="14"/>
        <v>20</v>
      </c>
      <c r="H37" s="4">
        <v>34000000</v>
      </c>
      <c r="J37" s="20">
        <f t="shared" si="9"/>
        <v>34000000</v>
      </c>
      <c r="K37" s="20">
        <f t="shared" si="11"/>
        <v>39000000</v>
      </c>
      <c r="L37" s="20">
        <f t="shared" si="15"/>
        <v>31000000</v>
      </c>
      <c r="M37" s="20">
        <f t="shared" si="16"/>
        <v>33000000</v>
      </c>
      <c r="N37" s="20">
        <f t="shared" si="17"/>
        <v>32000000</v>
      </c>
      <c r="O37" s="20">
        <f t="shared" si="18"/>
        <v>34000000</v>
      </c>
      <c r="P37" s="20">
        <f t="shared" si="19"/>
        <v>31000000</v>
      </c>
      <c r="Q37" s="20">
        <f>H30</f>
        <v>32000000</v>
      </c>
      <c r="R37" s="20">
        <f>H29</f>
        <v>33000000</v>
      </c>
      <c r="S37" s="20">
        <f>$F29/4</f>
        <v>31000000</v>
      </c>
      <c r="T37" s="20">
        <f>$F29/4</f>
        <v>31000000</v>
      </c>
      <c r="U37" s="20">
        <f>$F29/4</f>
        <v>31000000</v>
      </c>
      <c r="V37" s="20">
        <f>$F29/4</f>
        <v>31000000</v>
      </c>
      <c r="W37" s="20">
        <f>$E29/4</f>
        <v>31000000</v>
      </c>
      <c r="X37" s="20">
        <f>$E29/4</f>
        <v>31000000</v>
      </c>
      <c r="Y37" s="20">
        <f>$E29/4</f>
        <v>31000000</v>
      </c>
      <c r="Z37" s="20">
        <f>$E29/4</f>
        <v>31000000</v>
      </c>
      <c r="AA37" s="20">
        <f>$D29/4</f>
        <v>28250000</v>
      </c>
      <c r="AB37" s="20">
        <f>$D29/4</f>
        <v>28250000</v>
      </c>
      <c r="AC37" s="20">
        <f>$D29/4</f>
        <v>28250000</v>
      </c>
      <c r="AE37" s="21">
        <f t="shared" si="12"/>
        <v>31587500</v>
      </c>
      <c r="AF37" s="21">
        <f t="shared" si="13"/>
        <v>341875000</v>
      </c>
      <c r="AG37" s="21">
        <f t="shared" si="10"/>
        <v>2412500</v>
      </c>
    </row>
    <row r="38" spans="2:33" x14ac:dyDescent="0.2">
      <c r="B38" t="s">
        <v>77</v>
      </c>
      <c r="C38" s="18" t="s">
        <v>95</v>
      </c>
      <c r="D38" s="22">
        <f>$D29</f>
        <v>113000000</v>
      </c>
      <c r="E38" s="22">
        <f>$E29</f>
        <v>124000000</v>
      </c>
      <c r="F38" s="22">
        <f>$F29</f>
        <v>124000000</v>
      </c>
      <c r="G38" s="23">
        <f t="shared" si="14"/>
        <v>20</v>
      </c>
      <c r="H38" s="4">
        <v>35000000</v>
      </c>
      <c r="J38" s="20">
        <f t="shared" si="9"/>
        <v>35000000</v>
      </c>
      <c r="K38" s="20">
        <f t="shared" si="11"/>
        <v>34000000</v>
      </c>
      <c r="L38" s="20">
        <f t="shared" si="15"/>
        <v>39000000</v>
      </c>
      <c r="M38" s="20">
        <f t="shared" si="16"/>
        <v>31000000</v>
      </c>
      <c r="N38" s="20">
        <f t="shared" si="17"/>
        <v>33000000</v>
      </c>
      <c r="O38" s="20">
        <f t="shared" si="18"/>
        <v>32000000</v>
      </c>
      <c r="P38" s="20">
        <f t="shared" si="19"/>
        <v>34000000</v>
      </c>
      <c r="Q38" s="20">
        <f>H31</f>
        <v>31000000</v>
      </c>
      <c r="R38" s="20">
        <f>H30</f>
        <v>32000000</v>
      </c>
      <c r="S38" s="20">
        <f>H29</f>
        <v>33000000</v>
      </c>
      <c r="T38" s="20">
        <f>$F29/4</f>
        <v>31000000</v>
      </c>
      <c r="U38" s="20">
        <f>$F29/4</f>
        <v>31000000</v>
      </c>
      <c r="V38" s="20">
        <f>$F29/4</f>
        <v>31000000</v>
      </c>
      <c r="W38" s="20">
        <f>$F29/4</f>
        <v>31000000</v>
      </c>
      <c r="X38" s="20">
        <f>$E29/4</f>
        <v>31000000</v>
      </c>
      <c r="Y38" s="20">
        <f>$E29/4</f>
        <v>31000000</v>
      </c>
      <c r="Z38" s="20">
        <f>$E29/4</f>
        <v>31000000</v>
      </c>
      <c r="AA38" s="20">
        <f>$E29/4</f>
        <v>31000000</v>
      </c>
      <c r="AB38" s="20">
        <f>$D29/4</f>
        <v>28250000</v>
      </c>
      <c r="AC38" s="20">
        <f>$D29/4</f>
        <v>28250000</v>
      </c>
      <c r="AE38" s="21">
        <f t="shared" si="12"/>
        <v>31925000</v>
      </c>
      <c r="AF38" s="21">
        <f t="shared" si="13"/>
        <v>345287500</v>
      </c>
      <c r="AG38" s="21">
        <f t="shared" si="10"/>
        <v>3075000</v>
      </c>
    </row>
    <row r="39" spans="2:33" x14ac:dyDescent="0.2">
      <c r="B39" t="s">
        <v>77</v>
      </c>
      <c r="C39" s="18" t="s">
        <v>94</v>
      </c>
      <c r="D39" s="22">
        <f>$D29</f>
        <v>113000000</v>
      </c>
      <c r="E39" s="22">
        <f>$E29</f>
        <v>124000000</v>
      </c>
      <c r="F39" s="22">
        <f>$F29</f>
        <v>124000000</v>
      </c>
      <c r="G39" s="23">
        <f t="shared" si="14"/>
        <v>20</v>
      </c>
      <c r="H39" s="4">
        <v>34000000</v>
      </c>
      <c r="J39" s="20">
        <f t="shared" si="9"/>
        <v>34000000</v>
      </c>
      <c r="K39" s="20">
        <f t="shared" si="11"/>
        <v>35000000</v>
      </c>
      <c r="L39" s="20">
        <f t="shared" si="15"/>
        <v>34000000</v>
      </c>
      <c r="M39" s="20">
        <f t="shared" si="16"/>
        <v>39000000</v>
      </c>
      <c r="N39" s="20">
        <f t="shared" si="17"/>
        <v>31000000</v>
      </c>
      <c r="O39" s="20">
        <f t="shared" si="18"/>
        <v>33000000</v>
      </c>
      <c r="P39" s="20">
        <f t="shared" si="19"/>
        <v>32000000</v>
      </c>
      <c r="Q39" s="20">
        <f>H32</f>
        <v>34000000</v>
      </c>
      <c r="R39" s="20">
        <f>H31</f>
        <v>31000000</v>
      </c>
      <c r="S39" s="20">
        <f>H30</f>
        <v>32000000</v>
      </c>
      <c r="T39" s="20">
        <f>H29</f>
        <v>33000000</v>
      </c>
      <c r="U39" s="20">
        <f>$F29/4</f>
        <v>31000000</v>
      </c>
      <c r="V39" s="20">
        <f>$F29/4</f>
        <v>31000000</v>
      </c>
      <c r="W39" s="20">
        <f>$F29/4</f>
        <v>31000000</v>
      </c>
      <c r="X39" s="20">
        <f>$F29/4</f>
        <v>31000000</v>
      </c>
      <c r="Y39" s="20">
        <f>$E29/4</f>
        <v>31000000</v>
      </c>
      <c r="Z39" s="20">
        <f>$E29/4</f>
        <v>31000000</v>
      </c>
      <c r="AA39" s="20">
        <f>$E29/4</f>
        <v>31000000</v>
      </c>
      <c r="AB39" s="20">
        <f>$E29/4</f>
        <v>31000000</v>
      </c>
      <c r="AC39" s="20">
        <f>$D29/4</f>
        <v>28250000</v>
      </c>
      <c r="AE39" s="21">
        <f t="shared" si="12"/>
        <v>32212500</v>
      </c>
      <c r="AF39" s="21">
        <f t="shared" si="13"/>
        <v>347362500</v>
      </c>
      <c r="AG39" s="21">
        <f t="shared" si="10"/>
        <v>1787500</v>
      </c>
    </row>
    <row r="40" spans="2:33" x14ac:dyDescent="0.2">
      <c r="B40" t="s">
        <v>77</v>
      </c>
      <c r="C40" s="18" t="s">
        <v>93</v>
      </c>
      <c r="D40" s="22">
        <f>$D29</f>
        <v>113000000</v>
      </c>
      <c r="E40" s="22">
        <f>$E29</f>
        <v>124000000</v>
      </c>
      <c r="F40" s="22">
        <f>$F29</f>
        <v>124000000</v>
      </c>
      <c r="G40" s="23">
        <f t="shared" si="14"/>
        <v>20</v>
      </c>
      <c r="H40" s="4">
        <v>33000000</v>
      </c>
      <c r="J40" s="20">
        <f t="shared" si="9"/>
        <v>33000000</v>
      </c>
      <c r="K40" s="20">
        <f t="shared" si="11"/>
        <v>34000000</v>
      </c>
      <c r="L40" s="20">
        <f t="shared" si="15"/>
        <v>35000000</v>
      </c>
      <c r="M40" s="20">
        <f t="shared" si="16"/>
        <v>34000000</v>
      </c>
      <c r="N40" s="20">
        <f t="shared" si="17"/>
        <v>39000000</v>
      </c>
      <c r="O40" s="20">
        <f t="shared" si="18"/>
        <v>31000000</v>
      </c>
      <c r="P40" s="20">
        <f t="shared" si="19"/>
        <v>33000000</v>
      </c>
      <c r="Q40" s="20">
        <f>H33</f>
        <v>32000000</v>
      </c>
      <c r="R40" s="20">
        <f>H32</f>
        <v>34000000</v>
      </c>
      <c r="S40" s="20">
        <f>H31</f>
        <v>31000000</v>
      </c>
      <c r="T40" s="20">
        <f>H30</f>
        <v>32000000</v>
      </c>
      <c r="U40" s="20">
        <f>H29</f>
        <v>33000000</v>
      </c>
      <c r="V40" s="20">
        <f>$F29/4</f>
        <v>31000000</v>
      </c>
      <c r="W40" s="20">
        <f>$F29/4</f>
        <v>31000000</v>
      </c>
      <c r="X40" s="20">
        <f>$F29/4</f>
        <v>31000000</v>
      </c>
      <c r="Y40" s="20">
        <f>$F29/4</f>
        <v>31000000</v>
      </c>
      <c r="Z40" s="20">
        <f>$E29/4</f>
        <v>31000000</v>
      </c>
      <c r="AA40" s="20">
        <f>$E29/4</f>
        <v>31000000</v>
      </c>
      <c r="AB40" s="20">
        <f>$E29/4</f>
        <v>31000000</v>
      </c>
      <c r="AC40" s="20">
        <f>$E29/4</f>
        <v>31000000</v>
      </c>
      <c r="AE40" s="21">
        <f t="shared" si="12"/>
        <v>32450000</v>
      </c>
      <c r="AF40" s="21">
        <f t="shared" si="13"/>
        <v>348150000</v>
      </c>
      <c r="AG40" s="21">
        <f t="shared" si="10"/>
        <v>550000</v>
      </c>
    </row>
    <row r="42" spans="2:33" x14ac:dyDescent="0.2">
      <c r="C42" t="s">
        <v>113</v>
      </c>
    </row>
    <row r="43" spans="2:33" x14ac:dyDescent="0.2">
      <c r="C43" s="6" t="s">
        <v>107</v>
      </c>
      <c r="D43" s="6" t="s">
        <v>438</v>
      </c>
      <c r="E43" s="6" t="s">
        <v>439</v>
      </c>
      <c r="F43" s="6" t="s">
        <v>440</v>
      </c>
      <c r="G43" s="6" t="s">
        <v>441</v>
      </c>
      <c r="H43" s="6" t="s">
        <v>442</v>
      </c>
      <c r="I43" s="15"/>
      <c r="J43" s="6" t="s">
        <v>443</v>
      </c>
      <c r="K43" s="6" t="s">
        <v>444</v>
      </c>
      <c r="L43" s="6" t="s">
        <v>445</v>
      </c>
      <c r="M43" s="6" t="s">
        <v>446</v>
      </c>
      <c r="N43" s="6" t="s">
        <v>447</v>
      </c>
      <c r="O43" s="6" t="s">
        <v>448</v>
      </c>
      <c r="P43" s="6" t="s">
        <v>449</v>
      </c>
      <c r="Q43" s="6" t="s">
        <v>450</v>
      </c>
      <c r="R43" s="6" t="s">
        <v>451</v>
      </c>
      <c r="S43" s="6" t="s">
        <v>452</v>
      </c>
      <c r="T43" s="6" t="s">
        <v>453</v>
      </c>
      <c r="U43" s="6" t="s">
        <v>454</v>
      </c>
      <c r="V43" s="6" t="s">
        <v>455</v>
      </c>
      <c r="W43" s="6" t="s">
        <v>456</v>
      </c>
      <c r="X43" s="6" t="s">
        <v>457</v>
      </c>
      <c r="Y43" s="6" t="s">
        <v>458</v>
      </c>
      <c r="Z43" s="6" t="s">
        <v>459</v>
      </c>
      <c r="AA43" s="6" t="s">
        <v>460</v>
      </c>
      <c r="AB43" s="6" t="s">
        <v>461</v>
      </c>
      <c r="AC43" s="6" t="s">
        <v>462</v>
      </c>
      <c r="AD43" s="15"/>
      <c r="AE43" s="6" t="s">
        <v>106</v>
      </c>
      <c r="AF43" s="6" t="s">
        <v>105</v>
      </c>
      <c r="AG43" s="6" t="s">
        <v>463</v>
      </c>
    </row>
    <row r="44" spans="2:33" x14ac:dyDescent="0.2">
      <c r="C44" s="16" t="s">
        <v>464</v>
      </c>
      <c r="J44" s="17">
        <v>20</v>
      </c>
      <c r="K44" s="17">
        <v>19</v>
      </c>
      <c r="L44" s="17">
        <v>18</v>
      </c>
      <c r="M44" s="17">
        <v>17</v>
      </c>
      <c r="N44" s="17">
        <v>16</v>
      </c>
      <c r="O44" s="17">
        <v>15</v>
      </c>
      <c r="P44" s="17">
        <v>14</v>
      </c>
      <c r="Q44" s="17">
        <v>13</v>
      </c>
      <c r="R44" s="17">
        <v>12</v>
      </c>
      <c r="S44" s="17">
        <v>11</v>
      </c>
      <c r="T44" s="17">
        <v>10</v>
      </c>
      <c r="U44" s="17">
        <v>9</v>
      </c>
      <c r="V44" s="17">
        <v>8</v>
      </c>
      <c r="W44" s="17">
        <v>7</v>
      </c>
      <c r="X44" s="17">
        <v>6</v>
      </c>
      <c r="Y44" s="17">
        <v>5</v>
      </c>
      <c r="Z44" s="17">
        <v>4</v>
      </c>
      <c r="AA44" s="17">
        <v>3</v>
      </c>
      <c r="AB44" s="17">
        <v>2</v>
      </c>
      <c r="AC44" s="17">
        <v>1</v>
      </c>
    </row>
    <row r="45" spans="2:33" x14ac:dyDescent="0.2">
      <c r="B45" t="s">
        <v>113</v>
      </c>
      <c r="C45" s="18" t="s">
        <v>103</v>
      </c>
      <c r="D45" s="4">
        <v>0</v>
      </c>
      <c r="E45" s="4">
        <v>0</v>
      </c>
      <c r="F45" s="4">
        <v>124141000</v>
      </c>
      <c r="G45" s="19">
        <v>20</v>
      </c>
      <c r="H45" s="4">
        <v>49666000</v>
      </c>
      <c r="J45" s="20">
        <f t="shared" ref="J45:J56" si="20">H45</f>
        <v>49666000</v>
      </c>
      <c r="K45" s="20">
        <f>$F45/4</f>
        <v>31035250</v>
      </c>
      <c r="L45" s="20">
        <f>$F45/4</f>
        <v>31035250</v>
      </c>
      <c r="M45" s="20">
        <f>$F45/4</f>
        <v>31035250</v>
      </c>
      <c r="N45" s="20">
        <f>$F45/4</f>
        <v>31035250</v>
      </c>
      <c r="O45" s="20">
        <f>$E45/4</f>
        <v>0</v>
      </c>
      <c r="P45" s="20">
        <f>$E45/4</f>
        <v>0</v>
      </c>
      <c r="Q45" s="20">
        <f>$E45/4</f>
        <v>0</v>
      </c>
      <c r="R45" s="20">
        <f>$E45/4</f>
        <v>0</v>
      </c>
      <c r="S45" s="20">
        <f>$D45/4</f>
        <v>0</v>
      </c>
      <c r="T45" s="20">
        <f>$D45/4</f>
        <v>0</v>
      </c>
      <c r="U45" s="20">
        <f>$D45/4</f>
        <v>0</v>
      </c>
      <c r="V45" s="20">
        <f>$D45/4</f>
        <v>0</v>
      </c>
      <c r="W45" s="20">
        <v>0</v>
      </c>
      <c r="X45" s="20">
        <v>0</v>
      </c>
      <c r="Y45" s="20">
        <v>0</v>
      </c>
      <c r="Z45" s="20">
        <v>0</v>
      </c>
      <c r="AA45" s="20">
        <v>0</v>
      </c>
      <c r="AB45" s="20">
        <v>0</v>
      </c>
      <c r="AC45" s="20">
        <v>0</v>
      </c>
      <c r="AE45" s="21">
        <f>SUM(J45:AC45)/$G45</f>
        <v>8690350</v>
      </c>
      <c r="AF45" s="21">
        <f>SUMPRODUCT($J$44:$AC$44,J45:AC45)/$G45</f>
        <v>158289375</v>
      </c>
      <c r="AG45" s="21">
        <f t="shared" ref="AG45:AG56" si="21">H45-AE45</f>
        <v>40975650</v>
      </c>
    </row>
    <row r="46" spans="2:33" x14ac:dyDescent="0.2">
      <c r="B46" t="s">
        <v>113</v>
      </c>
      <c r="C46" s="18" t="s">
        <v>102</v>
      </c>
      <c r="D46" s="22">
        <f>$D45</f>
        <v>0</v>
      </c>
      <c r="E46" s="22">
        <f>$E45</f>
        <v>0</v>
      </c>
      <c r="F46" s="22">
        <f>$F45</f>
        <v>124141000</v>
      </c>
      <c r="G46" s="23">
        <f t="shared" ref="G46:G56" si="22">$G$45</f>
        <v>20</v>
      </c>
      <c r="H46" s="4">
        <v>48845000</v>
      </c>
      <c r="J46" s="20">
        <f t="shared" si="20"/>
        <v>48845000</v>
      </c>
      <c r="K46" s="20">
        <f t="shared" ref="K46:K56" si="23">H45</f>
        <v>49666000</v>
      </c>
      <c r="L46" s="20">
        <f>$F45/4</f>
        <v>31035250</v>
      </c>
      <c r="M46" s="20">
        <f>$F45/4</f>
        <v>31035250</v>
      </c>
      <c r="N46" s="20">
        <f>$F45/4</f>
        <v>31035250</v>
      </c>
      <c r="O46" s="20">
        <f>$F45/4</f>
        <v>31035250</v>
      </c>
      <c r="P46" s="20">
        <f>$E45/4</f>
        <v>0</v>
      </c>
      <c r="Q46" s="20">
        <f>$E45/4</f>
        <v>0</v>
      </c>
      <c r="R46" s="20">
        <f>$E45/4</f>
        <v>0</v>
      </c>
      <c r="S46" s="20">
        <f>$E45/4</f>
        <v>0</v>
      </c>
      <c r="T46" s="20">
        <f>$D45/4</f>
        <v>0</v>
      </c>
      <c r="U46" s="20">
        <f>$D45/4</f>
        <v>0</v>
      </c>
      <c r="V46" s="20">
        <f>$D45/4</f>
        <v>0</v>
      </c>
      <c r="W46" s="20">
        <f>$D45/4</f>
        <v>0</v>
      </c>
      <c r="X46" s="20">
        <v>0</v>
      </c>
      <c r="Y46" s="20">
        <v>0</v>
      </c>
      <c r="Z46" s="20">
        <v>0</v>
      </c>
      <c r="AA46" s="20">
        <v>0</v>
      </c>
      <c r="AB46" s="20">
        <v>0</v>
      </c>
      <c r="AC46" s="20">
        <v>0</v>
      </c>
      <c r="AE46" s="21">
        <f t="shared" ref="AE46:AE56" si="24">SUM(J46:AC46)/$G46</f>
        <v>11132600</v>
      </c>
      <c r="AF46" s="21">
        <f t="shared" ref="AF46:AF56" si="25">SUMPRODUCT($J$44:$AC$44,J46:AC46)/$G46</f>
        <v>198444025</v>
      </c>
      <c r="AG46" s="21">
        <f t="shared" si="21"/>
        <v>37712400</v>
      </c>
    </row>
    <row r="47" spans="2:33" x14ac:dyDescent="0.2">
      <c r="B47" t="s">
        <v>113</v>
      </c>
      <c r="C47" s="18" t="s">
        <v>101</v>
      </c>
      <c r="D47" s="22">
        <f>$D45</f>
        <v>0</v>
      </c>
      <c r="E47" s="22">
        <f>$E45</f>
        <v>0</v>
      </c>
      <c r="F47" s="22">
        <f>$F45</f>
        <v>124141000</v>
      </c>
      <c r="G47" s="23">
        <f t="shared" si="22"/>
        <v>20</v>
      </c>
      <c r="H47" s="4">
        <v>96531000</v>
      </c>
      <c r="J47" s="20">
        <f t="shared" si="20"/>
        <v>96531000</v>
      </c>
      <c r="K47" s="20">
        <f t="shared" si="23"/>
        <v>48845000</v>
      </c>
      <c r="L47" s="20">
        <f t="shared" ref="L47:L56" si="26">H45</f>
        <v>49666000</v>
      </c>
      <c r="M47" s="20">
        <f>$F45/4</f>
        <v>31035250</v>
      </c>
      <c r="N47" s="20">
        <f>$F45/4</f>
        <v>31035250</v>
      </c>
      <c r="O47" s="20">
        <f>$F45/4</f>
        <v>31035250</v>
      </c>
      <c r="P47" s="20">
        <f>$F45/4</f>
        <v>31035250</v>
      </c>
      <c r="Q47" s="20">
        <f>$E45/4</f>
        <v>0</v>
      </c>
      <c r="R47" s="20">
        <f>$E45/4</f>
        <v>0</v>
      </c>
      <c r="S47" s="20">
        <f>$E45/4</f>
        <v>0</v>
      </c>
      <c r="T47" s="20">
        <f>$E45/4</f>
        <v>0</v>
      </c>
      <c r="U47" s="20">
        <f>$D45/4</f>
        <v>0</v>
      </c>
      <c r="V47" s="20">
        <f>$D45/4</f>
        <v>0</v>
      </c>
      <c r="W47" s="20">
        <f>$D45/4</f>
        <v>0</v>
      </c>
      <c r="X47" s="20">
        <f>$D45/4</f>
        <v>0</v>
      </c>
      <c r="Y47" s="20">
        <v>0</v>
      </c>
      <c r="Z47" s="20">
        <v>0</v>
      </c>
      <c r="AA47" s="20">
        <v>0</v>
      </c>
      <c r="AB47" s="20">
        <v>0</v>
      </c>
      <c r="AC47" s="20">
        <v>0</v>
      </c>
      <c r="AE47" s="21">
        <f t="shared" si="24"/>
        <v>15959150</v>
      </c>
      <c r="AF47" s="21">
        <f t="shared" si="25"/>
        <v>283842425</v>
      </c>
      <c r="AG47" s="21">
        <f t="shared" si="21"/>
        <v>80571850</v>
      </c>
    </row>
    <row r="48" spans="2:33" x14ac:dyDescent="0.2">
      <c r="B48" t="s">
        <v>113</v>
      </c>
      <c r="C48" s="18" t="s">
        <v>100</v>
      </c>
      <c r="D48" s="22">
        <f>$D45</f>
        <v>0</v>
      </c>
      <c r="E48" s="22">
        <f>$E45</f>
        <v>0</v>
      </c>
      <c r="F48" s="22">
        <f>$F45</f>
        <v>124141000</v>
      </c>
      <c r="G48" s="23">
        <f t="shared" si="22"/>
        <v>20</v>
      </c>
      <c r="H48" s="4">
        <v>42144000</v>
      </c>
      <c r="J48" s="20">
        <f t="shared" si="20"/>
        <v>42144000</v>
      </c>
      <c r="K48" s="20">
        <f t="shared" si="23"/>
        <v>96531000</v>
      </c>
      <c r="L48" s="20">
        <f t="shared" si="26"/>
        <v>48845000</v>
      </c>
      <c r="M48" s="20">
        <f t="shared" ref="M48:M56" si="27">H45</f>
        <v>49666000</v>
      </c>
      <c r="N48" s="20">
        <f>$F45/4</f>
        <v>31035250</v>
      </c>
      <c r="O48" s="20">
        <f>$F45/4</f>
        <v>31035250</v>
      </c>
      <c r="P48" s="20">
        <f>$F45/4</f>
        <v>31035250</v>
      </c>
      <c r="Q48" s="20">
        <f>$F45/4</f>
        <v>31035250</v>
      </c>
      <c r="R48" s="20">
        <f>$E45/4</f>
        <v>0</v>
      </c>
      <c r="S48" s="20">
        <f>$E45/4</f>
        <v>0</v>
      </c>
      <c r="T48" s="20">
        <f>$E45/4</f>
        <v>0</v>
      </c>
      <c r="U48" s="20">
        <f>$E45/4</f>
        <v>0</v>
      </c>
      <c r="V48" s="20">
        <f>$D45/4</f>
        <v>0</v>
      </c>
      <c r="W48" s="20">
        <f>$D45/4</f>
        <v>0</v>
      </c>
      <c r="X48" s="20">
        <f>$D45/4</f>
        <v>0</v>
      </c>
      <c r="Y48" s="20">
        <f>$D45/4</f>
        <v>0</v>
      </c>
      <c r="Z48" s="20">
        <v>0</v>
      </c>
      <c r="AA48" s="20">
        <v>0</v>
      </c>
      <c r="AB48" s="20">
        <v>0</v>
      </c>
      <c r="AC48" s="20">
        <v>0</v>
      </c>
      <c r="AE48" s="21">
        <f t="shared" si="24"/>
        <v>18066350</v>
      </c>
      <c r="AF48" s="21">
        <f t="shared" si="25"/>
        <v>310027275</v>
      </c>
      <c r="AG48" s="21">
        <f t="shared" si="21"/>
        <v>24077650</v>
      </c>
    </row>
    <row r="49" spans="1:33" x14ac:dyDescent="0.2">
      <c r="B49" t="s">
        <v>113</v>
      </c>
      <c r="C49" s="18" t="s">
        <v>99</v>
      </c>
      <c r="D49" s="22">
        <f>$D45</f>
        <v>0</v>
      </c>
      <c r="E49" s="22">
        <f>$E45</f>
        <v>0</v>
      </c>
      <c r="F49" s="22">
        <f>$F45</f>
        <v>124141000</v>
      </c>
      <c r="G49" s="23">
        <f t="shared" si="22"/>
        <v>20</v>
      </c>
      <c r="H49" s="4">
        <v>46462000</v>
      </c>
      <c r="J49" s="20">
        <f t="shared" si="20"/>
        <v>46462000</v>
      </c>
      <c r="K49" s="20">
        <f t="shared" si="23"/>
        <v>42144000</v>
      </c>
      <c r="L49" s="20">
        <f t="shared" si="26"/>
        <v>96531000</v>
      </c>
      <c r="M49" s="20">
        <f t="shared" si="27"/>
        <v>48845000</v>
      </c>
      <c r="N49" s="20">
        <f t="shared" ref="N49:N56" si="28">H45</f>
        <v>49666000</v>
      </c>
      <c r="O49" s="20">
        <f>$F45/4</f>
        <v>31035250</v>
      </c>
      <c r="P49" s="20">
        <f>$F45/4</f>
        <v>31035250</v>
      </c>
      <c r="Q49" s="20">
        <f>$F45/4</f>
        <v>31035250</v>
      </c>
      <c r="R49" s="20">
        <f>$F45/4</f>
        <v>31035250</v>
      </c>
      <c r="S49" s="20">
        <f>$E45/4</f>
        <v>0</v>
      </c>
      <c r="T49" s="20">
        <f>$E45/4</f>
        <v>0</v>
      </c>
      <c r="U49" s="20">
        <f>$E45/4</f>
        <v>0</v>
      </c>
      <c r="V49" s="20">
        <f>$E45/4</f>
        <v>0</v>
      </c>
      <c r="W49" s="20">
        <f>$D45/4</f>
        <v>0</v>
      </c>
      <c r="X49" s="20">
        <f>$D45/4</f>
        <v>0</v>
      </c>
      <c r="Y49" s="20">
        <f>$D45/4</f>
        <v>0</v>
      </c>
      <c r="Z49" s="20">
        <f>$D45/4</f>
        <v>0</v>
      </c>
      <c r="AA49" s="20">
        <v>0</v>
      </c>
      <c r="AB49" s="20">
        <v>0</v>
      </c>
      <c r="AC49" s="20">
        <v>0</v>
      </c>
      <c r="AE49" s="21">
        <f t="shared" si="24"/>
        <v>20389450</v>
      </c>
      <c r="AF49" s="21">
        <f t="shared" si="25"/>
        <v>338422925</v>
      </c>
      <c r="AG49" s="21">
        <f t="shared" si="21"/>
        <v>26072550</v>
      </c>
    </row>
    <row r="50" spans="1:33" x14ac:dyDescent="0.2">
      <c r="B50" t="s">
        <v>113</v>
      </c>
      <c r="C50" s="18" t="s">
        <v>98</v>
      </c>
      <c r="D50" s="22">
        <f>$D45</f>
        <v>0</v>
      </c>
      <c r="E50" s="22">
        <f>$E45</f>
        <v>0</v>
      </c>
      <c r="F50" s="22">
        <f>$F45</f>
        <v>124141000</v>
      </c>
      <c r="G50" s="23">
        <f t="shared" si="22"/>
        <v>20</v>
      </c>
      <c r="H50" s="4">
        <v>44722000</v>
      </c>
      <c r="J50" s="20">
        <f t="shared" si="20"/>
        <v>44722000</v>
      </c>
      <c r="K50" s="20">
        <f t="shared" si="23"/>
        <v>46462000</v>
      </c>
      <c r="L50" s="20">
        <f t="shared" si="26"/>
        <v>42144000</v>
      </c>
      <c r="M50" s="20">
        <f t="shared" si="27"/>
        <v>96531000</v>
      </c>
      <c r="N50" s="20">
        <f t="shared" si="28"/>
        <v>48845000</v>
      </c>
      <c r="O50" s="20">
        <f t="shared" ref="O50:O56" si="29">H45</f>
        <v>49666000</v>
      </c>
      <c r="P50" s="20">
        <f>$F45/4</f>
        <v>31035250</v>
      </c>
      <c r="Q50" s="20">
        <f>$F45/4</f>
        <v>31035250</v>
      </c>
      <c r="R50" s="20">
        <f>$F45/4</f>
        <v>31035250</v>
      </c>
      <c r="S50" s="20">
        <f>$F45/4</f>
        <v>31035250</v>
      </c>
      <c r="T50" s="20">
        <f>$E45/4</f>
        <v>0</v>
      </c>
      <c r="U50" s="20">
        <f>$E45/4</f>
        <v>0</v>
      </c>
      <c r="V50" s="20">
        <f>$E45/4</f>
        <v>0</v>
      </c>
      <c r="W50" s="20">
        <f>$E45/4</f>
        <v>0</v>
      </c>
      <c r="X50" s="20">
        <f>$D45/4</f>
        <v>0</v>
      </c>
      <c r="Y50" s="20">
        <f>$D45/4</f>
        <v>0</v>
      </c>
      <c r="Z50" s="20">
        <f>$D45/4</f>
        <v>0</v>
      </c>
      <c r="AA50" s="20">
        <f>$D45/4</f>
        <v>0</v>
      </c>
      <c r="AB50" s="20">
        <v>0</v>
      </c>
      <c r="AC50" s="20">
        <v>0</v>
      </c>
      <c r="AE50" s="21">
        <f t="shared" si="24"/>
        <v>22625550</v>
      </c>
      <c r="AF50" s="21">
        <f t="shared" si="25"/>
        <v>362755475</v>
      </c>
      <c r="AG50" s="21">
        <f t="shared" si="21"/>
        <v>22096450</v>
      </c>
    </row>
    <row r="51" spans="1:33" x14ac:dyDescent="0.2">
      <c r="B51" t="s">
        <v>113</v>
      </c>
      <c r="C51" s="18" t="s">
        <v>97</v>
      </c>
      <c r="D51" s="22">
        <f>$D45</f>
        <v>0</v>
      </c>
      <c r="E51" s="22">
        <f>$E45</f>
        <v>0</v>
      </c>
      <c r="F51" s="22">
        <f>$F45</f>
        <v>124141000</v>
      </c>
      <c r="G51" s="23">
        <f t="shared" si="22"/>
        <v>20</v>
      </c>
      <c r="H51" s="4">
        <v>40129000</v>
      </c>
      <c r="J51" s="20">
        <f t="shared" si="20"/>
        <v>40129000</v>
      </c>
      <c r="K51" s="20">
        <f t="shared" si="23"/>
        <v>44722000</v>
      </c>
      <c r="L51" s="20">
        <f t="shared" si="26"/>
        <v>46462000</v>
      </c>
      <c r="M51" s="20">
        <f t="shared" si="27"/>
        <v>42144000</v>
      </c>
      <c r="N51" s="20">
        <f t="shared" si="28"/>
        <v>96531000</v>
      </c>
      <c r="O51" s="20">
        <f t="shared" si="29"/>
        <v>48845000</v>
      </c>
      <c r="P51" s="20">
        <f t="shared" ref="P51:P56" si="30">H45</f>
        <v>49666000</v>
      </c>
      <c r="Q51" s="20">
        <f>$F45/4</f>
        <v>31035250</v>
      </c>
      <c r="R51" s="20">
        <f>$F45/4</f>
        <v>31035250</v>
      </c>
      <c r="S51" s="20">
        <f>$F45/4</f>
        <v>31035250</v>
      </c>
      <c r="T51" s="20">
        <f>$F45/4</f>
        <v>31035250</v>
      </c>
      <c r="U51" s="20">
        <f>$E45/4</f>
        <v>0</v>
      </c>
      <c r="V51" s="20">
        <f>$E45/4</f>
        <v>0</v>
      </c>
      <c r="W51" s="20">
        <f>$E45/4</f>
        <v>0</v>
      </c>
      <c r="X51" s="20">
        <f>$E45/4</f>
        <v>0</v>
      </c>
      <c r="Y51" s="20">
        <f>$D45/4</f>
        <v>0</v>
      </c>
      <c r="Z51" s="20">
        <f>$D45/4</f>
        <v>0</v>
      </c>
      <c r="AA51" s="20">
        <f>$D45/4</f>
        <v>0</v>
      </c>
      <c r="AB51" s="20">
        <f>$D45/4</f>
        <v>0</v>
      </c>
      <c r="AC51" s="20">
        <v>0</v>
      </c>
      <c r="AE51" s="21">
        <f t="shared" si="24"/>
        <v>24632000</v>
      </c>
      <c r="AF51" s="21">
        <f t="shared" si="25"/>
        <v>380258925</v>
      </c>
      <c r="AG51" s="21">
        <f t="shared" si="21"/>
        <v>15497000</v>
      </c>
    </row>
    <row r="52" spans="1:33" x14ac:dyDescent="0.2">
      <c r="B52" t="s">
        <v>113</v>
      </c>
      <c r="C52" s="18" t="s">
        <v>96</v>
      </c>
      <c r="D52" s="22">
        <f>$D45</f>
        <v>0</v>
      </c>
      <c r="E52" s="22">
        <f>$E45</f>
        <v>0</v>
      </c>
      <c r="F52" s="22">
        <f>$F45</f>
        <v>124141000</v>
      </c>
      <c r="G52" s="23">
        <f t="shared" si="22"/>
        <v>20</v>
      </c>
      <c r="H52" s="4">
        <v>43592000</v>
      </c>
      <c r="J52" s="20">
        <f t="shared" si="20"/>
        <v>43592000</v>
      </c>
      <c r="K52" s="20">
        <f t="shared" si="23"/>
        <v>40129000</v>
      </c>
      <c r="L52" s="20">
        <f t="shared" si="26"/>
        <v>44722000</v>
      </c>
      <c r="M52" s="20">
        <f t="shared" si="27"/>
        <v>46462000</v>
      </c>
      <c r="N52" s="20">
        <f t="shared" si="28"/>
        <v>42144000</v>
      </c>
      <c r="O52" s="20">
        <f t="shared" si="29"/>
        <v>96531000</v>
      </c>
      <c r="P52" s="20">
        <f t="shared" si="30"/>
        <v>48845000</v>
      </c>
      <c r="Q52" s="20">
        <f>H45</f>
        <v>49666000</v>
      </c>
      <c r="R52" s="20">
        <f>$F45/4</f>
        <v>31035250</v>
      </c>
      <c r="S52" s="20">
        <f>$F45/4</f>
        <v>31035250</v>
      </c>
      <c r="T52" s="20">
        <f>$F45/4</f>
        <v>31035250</v>
      </c>
      <c r="U52" s="20">
        <f>$F45/4</f>
        <v>31035250</v>
      </c>
      <c r="V52" s="20">
        <f>$E45/4</f>
        <v>0</v>
      </c>
      <c r="W52" s="20">
        <f>$E45/4</f>
        <v>0</v>
      </c>
      <c r="X52" s="20">
        <f>$E45/4</f>
        <v>0</v>
      </c>
      <c r="Y52" s="20">
        <f>$E45/4</f>
        <v>0</v>
      </c>
      <c r="Z52" s="20">
        <f>$D45/4</f>
        <v>0</v>
      </c>
      <c r="AA52" s="20">
        <f>$D45/4</f>
        <v>0</v>
      </c>
      <c r="AB52" s="20">
        <f>$D45/4</f>
        <v>0</v>
      </c>
      <c r="AC52" s="20">
        <f>$D45/4</f>
        <v>0</v>
      </c>
      <c r="AE52" s="21">
        <f t="shared" si="24"/>
        <v>26811600</v>
      </c>
      <c r="AF52" s="21">
        <f t="shared" si="25"/>
        <v>399218925</v>
      </c>
      <c r="AG52" s="21">
        <f t="shared" si="21"/>
        <v>16780400</v>
      </c>
    </row>
    <row r="53" spans="1:33" x14ac:dyDescent="0.2">
      <c r="B53" t="s">
        <v>113</v>
      </c>
      <c r="C53" s="18" t="s">
        <v>95</v>
      </c>
      <c r="D53" s="22">
        <f>$D45</f>
        <v>0</v>
      </c>
      <c r="E53" s="22">
        <f>$E45</f>
        <v>0</v>
      </c>
      <c r="F53" s="22">
        <f>$F45</f>
        <v>124141000</v>
      </c>
      <c r="G53" s="23">
        <f t="shared" si="22"/>
        <v>20</v>
      </c>
      <c r="H53" s="4">
        <v>61540000</v>
      </c>
      <c r="J53" s="20">
        <f t="shared" si="20"/>
        <v>61540000</v>
      </c>
      <c r="K53" s="20">
        <f t="shared" si="23"/>
        <v>43592000</v>
      </c>
      <c r="L53" s="20">
        <f t="shared" si="26"/>
        <v>40129000</v>
      </c>
      <c r="M53" s="20">
        <f t="shared" si="27"/>
        <v>44722000</v>
      </c>
      <c r="N53" s="20">
        <f t="shared" si="28"/>
        <v>46462000</v>
      </c>
      <c r="O53" s="20">
        <f t="shared" si="29"/>
        <v>42144000</v>
      </c>
      <c r="P53" s="20">
        <f t="shared" si="30"/>
        <v>96531000</v>
      </c>
      <c r="Q53" s="20">
        <f>H46</f>
        <v>48845000</v>
      </c>
      <c r="R53" s="20">
        <f>H45</f>
        <v>49666000</v>
      </c>
      <c r="S53" s="20">
        <f>$F45/4</f>
        <v>31035250</v>
      </c>
      <c r="T53" s="20">
        <f>$F45/4</f>
        <v>31035250</v>
      </c>
      <c r="U53" s="20">
        <f>$F45/4</f>
        <v>31035250</v>
      </c>
      <c r="V53" s="20">
        <f>$F45/4</f>
        <v>31035250</v>
      </c>
      <c r="W53" s="20">
        <f>$E45/4</f>
        <v>0</v>
      </c>
      <c r="X53" s="20">
        <f>$E45/4</f>
        <v>0</v>
      </c>
      <c r="Y53" s="20">
        <f>$E45/4</f>
        <v>0</v>
      </c>
      <c r="Z53" s="20">
        <f>$E45/4</f>
        <v>0</v>
      </c>
      <c r="AA53" s="20">
        <f>$D45/4</f>
        <v>0</v>
      </c>
      <c r="AB53" s="20">
        <f>$D45/4</f>
        <v>0</v>
      </c>
      <c r="AC53" s="20">
        <f>$D45/4</f>
        <v>0</v>
      </c>
      <c r="AE53" s="21">
        <f t="shared" si="24"/>
        <v>29888600</v>
      </c>
      <c r="AF53" s="21">
        <f t="shared" si="25"/>
        <v>433947325</v>
      </c>
      <c r="AG53" s="21">
        <f t="shared" si="21"/>
        <v>31651400</v>
      </c>
    </row>
    <row r="54" spans="1:33" x14ac:dyDescent="0.2">
      <c r="B54" t="s">
        <v>113</v>
      </c>
      <c r="C54" s="18" t="s">
        <v>94</v>
      </c>
      <c r="D54" s="22">
        <f>$D45</f>
        <v>0</v>
      </c>
      <c r="E54" s="22">
        <f>$E45</f>
        <v>0</v>
      </c>
      <c r="F54" s="22">
        <f>$F45</f>
        <v>124141000</v>
      </c>
      <c r="G54" s="23">
        <f t="shared" si="22"/>
        <v>20</v>
      </c>
      <c r="H54" s="4">
        <v>52147000</v>
      </c>
      <c r="J54" s="20">
        <f t="shared" si="20"/>
        <v>52147000</v>
      </c>
      <c r="K54" s="20">
        <f t="shared" si="23"/>
        <v>61540000</v>
      </c>
      <c r="L54" s="20">
        <f t="shared" si="26"/>
        <v>43592000</v>
      </c>
      <c r="M54" s="20">
        <f t="shared" si="27"/>
        <v>40129000</v>
      </c>
      <c r="N54" s="20">
        <f t="shared" si="28"/>
        <v>44722000</v>
      </c>
      <c r="O54" s="20">
        <f t="shared" si="29"/>
        <v>46462000</v>
      </c>
      <c r="P54" s="20">
        <f t="shared" si="30"/>
        <v>42144000</v>
      </c>
      <c r="Q54" s="20">
        <f>H47</f>
        <v>96531000</v>
      </c>
      <c r="R54" s="20">
        <f>H46</f>
        <v>48845000</v>
      </c>
      <c r="S54" s="20">
        <f>H45</f>
        <v>49666000</v>
      </c>
      <c r="T54" s="20">
        <f>$F45/4</f>
        <v>31035250</v>
      </c>
      <c r="U54" s="20">
        <f>$F45/4</f>
        <v>31035250</v>
      </c>
      <c r="V54" s="20">
        <f>$F45/4</f>
        <v>31035250</v>
      </c>
      <c r="W54" s="20">
        <f>$F45/4</f>
        <v>31035250</v>
      </c>
      <c r="X54" s="20">
        <f>$E45/4</f>
        <v>0</v>
      </c>
      <c r="Y54" s="20">
        <f>$E45/4</f>
        <v>0</v>
      </c>
      <c r="Z54" s="20">
        <f>$E45/4</f>
        <v>0</v>
      </c>
      <c r="AA54" s="20">
        <f>$E45/4</f>
        <v>0</v>
      </c>
      <c r="AB54" s="20">
        <f>$D45/4</f>
        <v>0</v>
      </c>
      <c r="AC54" s="20">
        <f>$D45/4</f>
        <v>0</v>
      </c>
      <c r="AE54" s="21">
        <f t="shared" si="24"/>
        <v>32495950</v>
      </c>
      <c r="AF54" s="21">
        <f t="shared" si="25"/>
        <v>456205725</v>
      </c>
      <c r="AG54" s="21">
        <f t="shared" si="21"/>
        <v>19651050</v>
      </c>
    </row>
    <row r="55" spans="1:33" x14ac:dyDescent="0.2">
      <c r="B55" t="s">
        <v>113</v>
      </c>
      <c r="C55" s="18" t="s">
        <v>93</v>
      </c>
      <c r="D55" s="22">
        <f>$D45</f>
        <v>0</v>
      </c>
      <c r="E55" s="22">
        <f>$E45</f>
        <v>0</v>
      </c>
      <c r="F55" s="22">
        <f>$F45</f>
        <v>124141000</v>
      </c>
      <c r="G55" s="23">
        <f t="shared" si="22"/>
        <v>20</v>
      </c>
      <c r="H55" s="4">
        <v>58734000</v>
      </c>
      <c r="J55" s="20">
        <f t="shared" si="20"/>
        <v>58734000</v>
      </c>
      <c r="K55" s="20">
        <f t="shared" si="23"/>
        <v>52147000</v>
      </c>
      <c r="L55" s="20">
        <f t="shared" si="26"/>
        <v>61540000</v>
      </c>
      <c r="M55" s="20">
        <f t="shared" si="27"/>
        <v>43592000</v>
      </c>
      <c r="N55" s="20">
        <f t="shared" si="28"/>
        <v>40129000</v>
      </c>
      <c r="O55" s="20">
        <f t="shared" si="29"/>
        <v>44722000</v>
      </c>
      <c r="P55" s="20">
        <f t="shared" si="30"/>
        <v>46462000</v>
      </c>
      <c r="Q55" s="20">
        <f>H48</f>
        <v>42144000</v>
      </c>
      <c r="R55" s="20">
        <f>H47</f>
        <v>96531000</v>
      </c>
      <c r="S55" s="20">
        <f>H46</f>
        <v>48845000</v>
      </c>
      <c r="T55" s="20">
        <f>H45</f>
        <v>49666000</v>
      </c>
      <c r="U55" s="20">
        <f>$F45/4</f>
        <v>31035250</v>
      </c>
      <c r="V55" s="20">
        <f>$F45/4</f>
        <v>31035250</v>
      </c>
      <c r="W55" s="20">
        <f>$F45/4</f>
        <v>31035250</v>
      </c>
      <c r="X55" s="20">
        <f>$F45/4</f>
        <v>31035250</v>
      </c>
      <c r="Y55" s="20">
        <f>$E45/4</f>
        <v>0</v>
      </c>
      <c r="Z55" s="20">
        <f>$E45/4</f>
        <v>0</v>
      </c>
      <c r="AA55" s="20">
        <f>$E45/4</f>
        <v>0</v>
      </c>
      <c r="AB55" s="20">
        <f>$E45/4</f>
        <v>0</v>
      </c>
      <c r="AC55" s="20">
        <f>$D45/4</f>
        <v>0</v>
      </c>
      <c r="AE55" s="21">
        <f t="shared" si="24"/>
        <v>35432650</v>
      </c>
      <c r="AF55" s="21">
        <f t="shared" si="25"/>
        <v>482443775</v>
      </c>
      <c r="AG55" s="21">
        <f t="shared" si="21"/>
        <v>23301350</v>
      </c>
    </row>
    <row r="56" spans="1:33" x14ac:dyDescent="0.2">
      <c r="B56" t="s">
        <v>113</v>
      </c>
      <c r="C56" s="18" t="s">
        <v>141</v>
      </c>
      <c r="D56" s="22">
        <f>$D45</f>
        <v>0</v>
      </c>
      <c r="E56" s="22">
        <f>$E45</f>
        <v>0</v>
      </c>
      <c r="F56" s="22">
        <f>$F45</f>
        <v>124141000</v>
      </c>
      <c r="G56" s="23">
        <f t="shared" si="22"/>
        <v>20</v>
      </c>
      <c r="H56" s="4">
        <v>43006000</v>
      </c>
      <c r="J56" s="20">
        <f t="shared" si="20"/>
        <v>43006000</v>
      </c>
      <c r="K56" s="20">
        <f t="shared" si="23"/>
        <v>58734000</v>
      </c>
      <c r="L56" s="20">
        <f t="shared" si="26"/>
        <v>52147000</v>
      </c>
      <c r="M56" s="20">
        <f t="shared" si="27"/>
        <v>61540000</v>
      </c>
      <c r="N56" s="20">
        <f t="shared" si="28"/>
        <v>43592000</v>
      </c>
      <c r="O56" s="20">
        <f t="shared" si="29"/>
        <v>40129000</v>
      </c>
      <c r="P56" s="20">
        <f t="shared" si="30"/>
        <v>44722000</v>
      </c>
      <c r="Q56" s="20">
        <f>H49</f>
        <v>46462000</v>
      </c>
      <c r="R56" s="20">
        <f>H48</f>
        <v>42144000</v>
      </c>
      <c r="S56" s="20">
        <f>H47</f>
        <v>96531000</v>
      </c>
      <c r="T56" s="20">
        <f>H46</f>
        <v>48845000</v>
      </c>
      <c r="U56" s="20">
        <f>H45</f>
        <v>49666000</v>
      </c>
      <c r="V56" s="20">
        <f>$F45/4</f>
        <v>31035250</v>
      </c>
      <c r="W56" s="20">
        <f>$F45/4</f>
        <v>31035250</v>
      </c>
      <c r="X56" s="20">
        <f>$F45/4</f>
        <v>31035250</v>
      </c>
      <c r="Y56" s="20">
        <f>$F45/4</f>
        <v>31035250</v>
      </c>
      <c r="Z56" s="20">
        <f>$E45/4</f>
        <v>0</v>
      </c>
      <c r="AA56" s="20">
        <f>$E45/4</f>
        <v>0</v>
      </c>
      <c r="AB56" s="20">
        <f>$E45/4</f>
        <v>0</v>
      </c>
      <c r="AC56" s="20">
        <f>$E45/4</f>
        <v>0</v>
      </c>
      <c r="AE56" s="21">
        <f t="shared" si="24"/>
        <v>37582950</v>
      </c>
      <c r="AF56" s="21">
        <f t="shared" si="25"/>
        <v>490017125</v>
      </c>
      <c r="AG56" s="21">
        <f t="shared" si="21"/>
        <v>5423050</v>
      </c>
    </row>
    <row r="59" spans="1:33" x14ac:dyDescent="0.2">
      <c r="C59" t="s">
        <v>143</v>
      </c>
    </row>
    <row r="60" spans="1:33" x14ac:dyDescent="0.2">
      <c r="C60" s="6" t="s">
        <v>107</v>
      </c>
      <c r="D60" s="6" t="s">
        <v>439</v>
      </c>
      <c r="E60" s="6" t="s">
        <v>440</v>
      </c>
      <c r="F60" s="6" t="s">
        <v>471</v>
      </c>
      <c r="G60" s="6" t="s">
        <v>441</v>
      </c>
      <c r="H60" s="6" t="s">
        <v>442</v>
      </c>
      <c r="I60" s="15"/>
      <c r="J60" s="6" t="s">
        <v>443</v>
      </c>
      <c r="K60" s="6" t="s">
        <v>444</v>
      </c>
      <c r="L60" s="6" t="s">
        <v>445</v>
      </c>
      <c r="M60" s="6" t="s">
        <v>446</v>
      </c>
      <c r="N60" s="6" t="s">
        <v>447</v>
      </c>
      <c r="O60" s="6" t="s">
        <v>448</v>
      </c>
      <c r="P60" s="6" t="s">
        <v>449</v>
      </c>
      <c r="Q60" s="6" t="s">
        <v>450</v>
      </c>
      <c r="R60" s="6" t="s">
        <v>451</v>
      </c>
      <c r="S60" s="6" t="s">
        <v>452</v>
      </c>
      <c r="T60" s="6" t="s">
        <v>453</v>
      </c>
      <c r="U60" s="6" t="s">
        <v>454</v>
      </c>
      <c r="V60" s="6" t="s">
        <v>455</v>
      </c>
      <c r="W60" s="6" t="s">
        <v>456</v>
      </c>
      <c r="X60" s="6" t="s">
        <v>457</v>
      </c>
      <c r="Y60" s="6" t="s">
        <v>458</v>
      </c>
      <c r="Z60" s="6" t="s">
        <v>459</v>
      </c>
      <c r="AA60" s="6" t="s">
        <v>460</v>
      </c>
      <c r="AB60" s="6" t="s">
        <v>461</v>
      </c>
      <c r="AC60" s="6" t="s">
        <v>462</v>
      </c>
      <c r="AD60" s="15"/>
      <c r="AE60" s="6" t="s">
        <v>106</v>
      </c>
      <c r="AF60" s="6" t="s">
        <v>105</v>
      </c>
      <c r="AG60" s="6" t="s">
        <v>463</v>
      </c>
    </row>
    <row r="61" spans="1:33" x14ac:dyDescent="0.2">
      <c r="C61" s="16" t="s">
        <v>464</v>
      </c>
      <c r="J61" s="17">
        <v>20</v>
      </c>
      <c r="K61" s="17">
        <v>19</v>
      </c>
      <c r="L61" s="17">
        <v>18</v>
      </c>
      <c r="M61" s="17">
        <v>17</v>
      </c>
      <c r="N61" s="17">
        <v>16</v>
      </c>
      <c r="O61" s="17">
        <v>15</v>
      </c>
      <c r="P61" s="17">
        <v>14</v>
      </c>
      <c r="Q61" s="17">
        <v>13</v>
      </c>
      <c r="R61" s="17">
        <v>12</v>
      </c>
      <c r="S61" s="17">
        <v>11</v>
      </c>
      <c r="T61" s="17">
        <v>10</v>
      </c>
      <c r="U61" s="17">
        <v>9</v>
      </c>
      <c r="V61" s="17">
        <v>8</v>
      </c>
      <c r="W61" s="17">
        <v>7</v>
      </c>
      <c r="X61" s="17">
        <v>6</v>
      </c>
      <c r="Y61" s="17">
        <v>5</v>
      </c>
      <c r="Z61" s="17">
        <v>4</v>
      </c>
      <c r="AA61" s="17">
        <v>3</v>
      </c>
      <c r="AB61" s="17">
        <v>2</v>
      </c>
      <c r="AC61" s="17">
        <v>1</v>
      </c>
    </row>
    <row r="62" spans="1:33" x14ac:dyDescent="0.2">
      <c r="A62">
        <v>1</v>
      </c>
      <c r="B62" t="s">
        <v>143</v>
      </c>
      <c r="C62" s="18" t="s">
        <v>484</v>
      </c>
      <c r="G62" s="23">
        <f t="shared" ref="G62:G69" si="31">$G$13</f>
        <v>20</v>
      </c>
      <c r="H62" s="4">
        <v>644250000</v>
      </c>
      <c r="I62" s="20">
        <f>+H62/20</f>
        <v>32212500</v>
      </c>
      <c r="J62" s="20">
        <f>+H62-$I62</f>
        <v>612037500</v>
      </c>
      <c r="K62" s="20">
        <f>+J62-$I62</f>
        <v>579825000</v>
      </c>
      <c r="L62" s="20">
        <f t="shared" ref="L62" si="32">+K62-$I62</f>
        <v>547612500</v>
      </c>
      <c r="M62" s="20">
        <f t="shared" ref="M62:M63" si="33">+L62-$I62</f>
        <v>515400000</v>
      </c>
      <c r="N62" s="20">
        <f t="shared" ref="N62:N64" si="34">+M62-$I62</f>
        <v>483187500</v>
      </c>
      <c r="O62" s="20">
        <f t="shared" ref="O62:O66" si="35">+N62-$I62</f>
        <v>450975000</v>
      </c>
      <c r="P62" s="20">
        <f t="shared" ref="P62:P67" si="36">+O62-$I62</f>
        <v>418762500</v>
      </c>
      <c r="Q62" s="20">
        <f t="shared" ref="Q62:Q68" si="37">+P62-$I62</f>
        <v>386550000</v>
      </c>
      <c r="R62" s="20">
        <f t="shared" ref="R62:R69" si="38">+Q62-$I62</f>
        <v>354337500</v>
      </c>
      <c r="S62" s="20">
        <f t="shared" ref="S62:S70" si="39">+R62-$I62</f>
        <v>322125000</v>
      </c>
      <c r="T62" s="20">
        <f t="shared" ref="T62:T71" si="40">+S62-$I62</f>
        <v>289912500</v>
      </c>
      <c r="U62" s="20">
        <f t="shared" ref="U62:U72" si="41">+T62-$I62</f>
        <v>257700000</v>
      </c>
      <c r="V62" s="20">
        <f t="shared" ref="V62:V73" si="42">+U62-$I62</f>
        <v>225487500</v>
      </c>
      <c r="W62" s="20">
        <f t="shared" ref="W62:W74" si="43">+V62-$I62</f>
        <v>193275000</v>
      </c>
      <c r="X62" s="20">
        <f t="shared" ref="X62:X75" si="44">+W62-$I62</f>
        <v>161062500</v>
      </c>
      <c r="Y62" s="20">
        <f t="shared" ref="Y62:Y76" si="45">+X62-$I62</f>
        <v>128850000</v>
      </c>
      <c r="Z62" s="20">
        <f t="shared" ref="Z62:Z77" si="46">+Y62-$I62</f>
        <v>96637500</v>
      </c>
      <c r="AA62" s="20">
        <f t="shared" ref="AA62:AA78" si="47">+Z62-$I62</f>
        <v>64425000</v>
      </c>
      <c r="AB62" s="20">
        <f t="shared" ref="AB62:AB79" si="48">+AA62-$I62</f>
        <v>32212500</v>
      </c>
      <c r="AC62" s="20">
        <f t="shared" ref="AC62:AC80" si="49">+AB62-$I62</f>
        <v>0</v>
      </c>
      <c r="AE62" s="21">
        <f>SUM(I62)</f>
        <v>32212500</v>
      </c>
      <c r="AF62" s="21">
        <f>SUM(J62:J62)</f>
        <v>612037500</v>
      </c>
      <c r="AG62" s="21">
        <f t="shared" ref="AG62:AG81" si="50">H62-AE62</f>
        <v>612037500</v>
      </c>
    </row>
    <row r="63" spans="1:33" x14ac:dyDescent="0.2">
      <c r="A63">
        <v>2</v>
      </c>
      <c r="B63" t="s">
        <v>143</v>
      </c>
      <c r="C63" s="18" t="s">
        <v>485</v>
      </c>
      <c r="G63" s="23">
        <f t="shared" si="31"/>
        <v>20</v>
      </c>
      <c r="H63" s="4">
        <v>644250000</v>
      </c>
      <c r="I63" s="20">
        <f t="shared" ref="I63:I81" si="51">+H63/20</f>
        <v>32212500</v>
      </c>
      <c r="J63" s="20"/>
      <c r="K63" s="20">
        <f>+H63-I63</f>
        <v>612037500</v>
      </c>
      <c r="L63" s="20">
        <f>+K63-$I63</f>
        <v>579825000</v>
      </c>
      <c r="M63" s="20">
        <f t="shared" si="33"/>
        <v>547612500</v>
      </c>
      <c r="N63" s="20">
        <f t="shared" si="34"/>
        <v>515400000</v>
      </c>
      <c r="O63" s="20">
        <f t="shared" si="35"/>
        <v>483187500</v>
      </c>
      <c r="P63" s="20">
        <f t="shared" si="36"/>
        <v>450975000</v>
      </c>
      <c r="Q63" s="20">
        <f t="shared" si="37"/>
        <v>418762500</v>
      </c>
      <c r="R63" s="20">
        <f t="shared" si="38"/>
        <v>386550000</v>
      </c>
      <c r="S63" s="20">
        <f t="shared" si="39"/>
        <v>354337500</v>
      </c>
      <c r="T63" s="20">
        <f t="shared" si="40"/>
        <v>322125000</v>
      </c>
      <c r="U63" s="20">
        <f t="shared" si="41"/>
        <v>289912500</v>
      </c>
      <c r="V63" s="20">
        <f t="shared" si="42"/>
        <v>257700000</v>
      </c>
      <c r="W63" s="20">
        <f t="shared" si="43"/>
        <v>225487500</v>
      </c>
      <c r="X63" s="20">
        <f t="shared" si="44"/>
        <v>193275000</v>
      </c>
      <c r="Y63" s="20">
        <f t="shared" si="45"/>
        <v>161062500</v>
      </c>
      <c r="Z63" s="20">
        <f t="shared" si="46"/>
        <v>128850000</v>
      </c>
      <c r="AA63" s="20">
        <f t="shared" si="47"/>
        <v>96637500</v>
      </c>
      <c r="AB63" s="20">
        <f t="shared" si="48"/>
        <v>64425000</v>
      </c>
      <c r="AC63" s="20">
        <f t="shared" si="49"/>
        <v>32212500</v>
      </c>
      <c r="AE63" s="21">
        <f>SUM(I62:I63)</f>
        <v>64425000</v>
      </c>
      <c r="AF63" s="21">
        <f>SUM(K62:K63)</f>
        <v>1191862500</v>
      </c>
      <c r="AG63" s="21">
        <f t="shared" si="50"/>
        <v>579825000</v>
      </c>
    </row>
    <row r="64" spans="1:33" x14ac:dyDescent="0.2">
      <c r="A64">
        <v>3</v>
      </c>
      <c r="B64" t="s">
        <v>143</v>
      </c>
      <c r="C64" s="18" t="s">
        <v>486</v>
      </c>
      <c r="G64" s="23">
        <f t="shared" si="31"/>
        <v>20</v>
      </c>
      <c r="H64" s="4">
        <v>644250000</v>
      </c>
      <c r="I64" s="20">
        <f t="shared" si="51"/>
        <v>32212500</v>
      </c>
      <c r="J64" s="20"/>
      <c r="K64" s="20"/>
      <c r="L64" s="20">
        <f>+H64-I64</f>
        <v>612037500</v>
      </c>
      <c r="M64" s="20">
        <f>+L64-$I64</f>
        <v>579825000</v>
      </c>
      <c r="N64" s="20">
        <f t="shared" si="34"/>
        <v>547612500</v>
      </c>
      <c r="O64" s="20">
        <f t="shared" si="35"/>
        <v>515400000</v>
      </c>
      <c r="P64" s="20">
        <f t="shared" si="36"/>
        <v>483187500</v>
      </c>
      <c r="Q64" s="20">
        <f t="shared" si="37"/>
        <v>450975000</v>
      </c>
      <c r="R64" s="20">
        <f t="shared" si="38"/>
        <v>418762500</v>
      </c>
      <c r="S64" s="20">
        <f t="shared" si="39"/>
        <v>386550000</v>
      </c>
      <c r="T64" s="20">
        <f t="shared" si="40"/>
        <v>354337500</v>
      </c>
      <c r="U64" s="20">
        <f t="shared" si="41"/>
        <v>322125000</v>
      </c>
      <c r="V64" s="20">
        <f t="shared" si="42"/>
        <v>289912500</v>
      </c>
      <c r="W64" s="20">
        <f t="shared" si="43"/>
        <v>257700000</v>
      </c>
      <c r="X64" s="20">
        <f t="shared" si="44"/>
        <v>225487500</v>
      </c>
      <c r="Y64" s="20">
        <f t="shared" si="45"/>
        <v>193275000</v>
      </c>
      <c r="Z64" s="20">
        <f t="shared" si="46"/>
        <v>161062500</v>
      </c>
      <c r="AA64" s="20">
        <f t="shared" si="47"/>
        <v>128850000</v>
      </c>
      <c r="AB64" s="20">
        <f t="shared" si="48"/>
        <v>96637500</v>
      </c>
      <c r="AC64" s="20">
        <f t="shared" si="49"/>
        <v>64425000</v>
      </c>
      <c r="AE64" s="21">
        <f>SUM(I62:I64)</f>
        <v>96637500</v>
      </c>
      <c r="AF64" s="21">
        <f>SUM(L62:L64)</f>
        <v>1739475000</v>
      </c>
      <c r="AG64" s="21">
        <f t="shared" si="50"/>
        <v>547612500</v>
      </c>
    </row>
    <row r="65" spans="1:33" x14ac:dyDescent="0.2">
      <c r="A65">
        <v>4</v>
      </c>
      <c r="B65" t="s">
        <v>143</v>
      </c>
      <c r="C65" s="18" t="s">
        <v>487</v>
      </c>
      <c r="G65" s="23">
        <f t="shared" si="31"/>
        <v>20</v>
      </c>
      <c r="H65" s="4">
        <v>644250000</v>
      </c>
      <c r="I65" s="20">
        <f t="shared" si="51"/>
        <v>32212500</v>
      </c>
      <c r="J65" s="20"/>
      <c r="K65" s="20"/>
      <c r="L65" s="20"/>
      <c r="M65" s="20">
        <f>+H65-I65</f>
        <v>612037500</v>
      </c>
      <c r="N65" s="20">
        <f>+M65-$I65</f>
        <v>579825000</v>
      </c>
      <c r="O65" s="20">
        <f t="shared" si="35"/>
        <v>547612500</v>
      </c>
      <c r="P65" s="20">
        <f t="shared" si="36"/>
        <v>515400000</v>
      </c>
      <c r="Q65" s="20">
        <f t="shared" si="37"/>
        <v>483187500</v>
      </c>
      <c r="R65" s="20">
        <f t="shared" si="38"/>
        <v>450975000</v>
      </c>
      <c r="S65" s="20">
        <f t="shared" si="39"/>
        <v>418762500</v>
      </c>
      <c r="T65" s="20">
        <f t="shared" si="40"/>
        <v>386550000</v>
      </c>
      <c r="U65" s="20">
        <f t="shared" si="41"/>
        <v>354337500</v>
      </c>
      <c r="V65" s="20">
        <f t="shared" si="42"/>
        <v>322125000</v>
      </c>
      <c r="W65" s="20">
        <f t="shared" si="43"/>
        <v>289912500</v>
      </c>
      <c r="X65" s="20">
        <f t="shared" si="44"/>
        <v>257700000</v>
      </c>
      <c r="Y65" s="20">
        <f t="shared" si="45"/>
        <v>225487500</v>
      </c>
      <c r="Z65" s="20">
        <f t="shared" si="46"/>
        <v>193275000</v>
      </c>
      <c r="AA65" s="20">
        <f t="shared" si="47"/>
        <v>161062500</v>
      </c>
      <c r="AB65" s="20">
        <f t="shared" si="48"/>
        <v>128850000</v>
      </c>
      <c r="AC65" s="20">
        <f t="shared" si="49"/>
        <v>96637500</v>
      </c>
      <c r="AE65" s="21">
        <f>SUM(I62:I65)</f>
        <v>128850000</v>
      </c>
      <c r="AF65" s="21">
        <f>SUM(M62:M65)</f>
        <v>2254875000</v>
      </c>
      <c r="AG65" s="21">
        <f t="shared" si="50"/>
        <v>515400000</v>
      </c>
    </row>
    <row r="66" spans="1:33" x14ac:dyDescent="0.2">
      <c r="A66">
        <v>5</v>
      </c>
      <c r="B66" t="s">
        <v>143</v>
      </c>
      <c r="C66" s="18" t="s">
        <v>104</v>
      </c>
      <c r="G66" s="23">
        <f t="shared" si="31"/>
        <v>20</v>
      </c>
      <c r="H66" s="4">
        <v>681000000</v>
      </c>
      <c r="I66" s="20">
        <f t="shared" si="51"/>
        <v>34050000</v>
      </c>
      <c r="J66" s="20"/>
      <c r="K66" s="20"/>
      <c r="L66" s="20"/>
      <c r="M66" s="20"/>
      <c r="N66" s="20">
        <f>+H66-I66</f>
        <v>646950000</v>
      </c>
      <c r="O66" s="20">
        <f t="shared" si="35"/>
        <v>612900000</v>
      </c>
      <c r="P66" s="20">
        <f t="shared" si="36"/>
        <v>578850000</v>
      </c>
      <c r="Q66" s="20">
        <f t="shared" si="37"/>
        <v>544800000</v>
      </c>
      <c r="R66" s="20">
        <f t="shared" si="38"/>
        <v>510750000</v>
      </c>
      <c r="S66" s="20">
        <f t="shared" si="39"/>
        <v>476700000</v>
      </c>
      <c r="T66" s="20">
        <f t="shared" si="40"/>
        <v>442650000</v>
      </c>
      <c r="U66" s="20">
        <f t="shared" si="41"/>
        <v>408600000</v>
      </c>
      <c r="V66" s="20">
        <f t="shared" si="42"/>
        <v>374550000</v>
      </c>
      <c r="W66" s="20">
        <f t="shared" si="43"/>
        <v>340500000</v>
      </c>
      <c r="X66" s="20">
        <f t="shared" si="44"/>
        <v>306450000</v>
      </c>
      <c r="Y66" s="20">
        <f t="shared" si="45"/>
        <v>272400000</v>
      </c>
      <c r="Z66" s="20">
        <f t="shared" si="46"/>
        <v>238350000</v>
      </c>
      <c r="AA66" s="20">
        <f t="shared" si="47"/>
        <v>204300000</v>
      </c>
      <c r="AB66" s="20">
        <f t="shared" si="48"/>
        <v>170250000</v>
      </c>
      <c r="AC66" s="20">
        <f t="shared" si="49"/>
        <v>136200000</v>
      </c>
      <c r="AE66" s="21">
        <f>SUM(I62:I66)</f>
        <v>162900000</v>
      </c>
      <c r="AF66" s="21">
        <f>SUM(N62:N66)</f>
        <v>2772975000</v>
      </c>
      <c r="AG66" s="21">
        <f t="shared" si="50"/>
        <v>518100000</v>
      </c>
    </row>
    <row r="67" spans="1:33" x14ac:dyDescent="0.2">
      <c r="A67">
        <v>6</v>
      </c>
      <c r="B67" t="s">
        <v>143</v>
      </c>
      <c r="C67" s="18" t="s">
        <v>103</v>
      </c>
      <c r="G67" s="23">
        <f t="shared" si="31"/>
        <v>20</v>
      </c>
      <c r="H67" s="4">
        <v>626000000</v>
      </c>
      <c r="I67" s="20">
        <f t="shared" si="51"/>
        <v>31300000</v>
      </c>
      <c r="J67" s="20"/>
      <c r="K67" s="20"/>
      <c r="L67" s="20"/>
      <c r="M67" s="20"/>
      <c r="N67" s="20"/>
      <c r="O67" s="20">
        <f>+H67-I67</f>
        <v>594700000</v>
      </c>
      <c r="P67" s="20">
        <f t="shared" si="36"/>
        <v>563400000</v>
      </c>
      <c r="Q67" s="20">
        <f t="shared" si="37"/>
        <v>532100000</v>
      </c>
      <c r="R67" s="20">
        <f t="shared" si="38"/>
        <v>500800000</v>
      </c>
      <c r="S67" s="20">
        <f t="shared" si="39"/>
        <v>469500000</v>
      </c>
      <c r="T67" s="20">
        <f t="shared" si="40"/>
        <v>438200000</v>
      </c>
      <c r="U67" s="20">
        <f t="shared" si="41"/>
        <v>406900000</v>
      </c>
      <c r="V67" s="20">
        <f t="shared" si="42"/>
        <v>375600000</v>
      </c>
      <c r="W67" s="20">
        <f t="shared" si="43"/>
        <v>344300000</v>
      </c>
      <c r="X67" s="20">
        <f t="shared" si="44"/>
        <v>313000000</v>
      </c>
      <c r="Y67" s="20">
        <f t="shared" si="45"/>
        <v>281700000</v>
      </c>
      <c r="Z67" s="20">
        <f t="shared" si="46"/>
        <v>250400000</v>
      </c>
      <c r="AA67" s="20">
        <f t="shared" si="47"/>
        <v>219100000</v>
      </c>
      <c r="AB67" s="20">
        <f t="shared" si="48"/>
        <v>187800000</v>
      </c>
      <c r="AC67" s="20">
        <f t="shared" si="49"/>
        <v>156500000</v>
      </c>
      <c r="AE67" s="21">
        <f>SUM(I62:I67)</f>
        <v>194200000</v>
      </c>
      <c r="AF67" s="21">
        <f>SUM(O62:O67)</f>
        <v>3204775000</v>
      </c>
      <c r="AG67" s="21">
        <f t="shared" si="50"/>
        <v>431800000</v>
      </c>
    </row>
    <row r="68" spans="1:33" x14ac:dyDescent="0.2">
      <c r="A68">
        <v>7</v>
      </c>
      <c r="B68" t="s">
        <v>143</v>
      </c>
      <c r="C68" s="18" t="s">
        <v>102</v>
      </c>
      <c r="G68" s="23">
        <f t="shared" si="31"/>
        <v>20</v>
      </c>
      <c r="H68" s="4">
        <v>677000000</v>
      </c>
      <c r="I68" s="20">
        <f t="shared" si="51"/>
        <v>33850000</v>
      </c>
      <c r="J68" s="20"/>
      <c r="K68" s="20"/>
      <c r="L68" s="20"/>
      <c r="M68" s="20"/>
      <c r="N68" s="20"/>
      <c r="O68" s="20"/>
      <c r="P68" s="20">
        <f>+H68-I68</f>
        <v>643150000</v>
      </c>
      <c r="Q68" s="20">
        <f t="shared" si="37"/>
        <v>609300000</v>
      </c>
      <c r="R68" s="20">
        <f t="shared" si="38"/>
        <v>575450000</v>
      </c>
      <c r="S68" s="20">
        <f t="shared" si="39"/>
        <v>541600000</v>
      </c>
      <c r="T68" s="20">
        <f t="shared" si="40"/>
        <v>507750000</v>
      </c>
      <c r="U68" s="20">
        <f t="shared" si="41"/>
        <v>473900000</v>
      </c>
      <c r="V68" s="20">
        <f t="shared" si="42"/>
        <v>440050000</v>
      </c>
      <c r="W68" s="20">
        <f t="shared" si="43"/>
        <v>406200000</v>
      </c>
      <c r="X68" s="20">
        <f t="shared" si="44"/>
        <v>372350000</v>
      </c>
      <c r="Y68" s="20">
        <f t="shared" si="45"/>
        <v>338500000</v>
      </c>
      <c r="Z68" s="20">
        <f t="shared" si="46"/>
        <v>304650000</v>
      </c>
      <c r="AA68" s="20">
        <f t="shared" si="47"/>
        <v>270800000</v>
      </c>
      <c r="AB68" s="20">
        <f t="shared" si="48"/>
        <v>236950000</v>
      </c>
      <c r="AC68" s="20">
        <f t="shared" si="49"/>
        <v>203100000</v>
      </c>
      <c r="AE68" s="21">
        <f>SUM(I62:I68)</f>
        <v>228050000</v>
      </c>
      <c r="AF68" s="21">
        <f>SUM(P62:P68)</f>
        <v>3653725000</v>
      </c>
      <c r="AG68" s="21">
        <f t="shared" si="50"/>
        <v>448950000</v>
      </c>
    </row>
    <row r="69" spans="1:33" x14ac:dyDescent="0.2">
      <c r="A69">
        <v>8</v>
      </c>
      <c r="B69" t="s">
        <v>143</v>
      </c>
      <c r="C69" s="18" t="s">
        <v>101</v>
      </c>
      <c r="G69" s="23">
        <f t="shared" si="31"/>
        <v>20</v>
      </c>
      <c r="H69" s="4">
        <v>795000000</v>
      </c>
      <c r="I69" s="20">
        <f t="shared" si="51"/>
        <v>39750000</v>
      </c>
      <c r="J69" s="20"/>
      <c r="K69" s="20"/>
      <c r="L69" s="20"/>
      <c r="M69" s="20"/>
      <c r="N69" s="20"/>
      <c r="O69" s="20"/>
      <c r="P69" s="20"/>
      <c r="Q69" s="20">
        <f>+H69-I69</f>
        <v>755250000</v>
      </c>
      <c r="R69" s="20">
        <f t="shared" si="38"/>
        <v>715500000</v>
      </c>
      <c r="S69" s="20">
        <f t="shared" si="39"/>
        <v>675750000</v>
      </c>
      <c r="T69" s="20">
        <f t="shared" si="40"/>
        <v>636000000</v>
      </c>
      <c r="U69" s="20">
        <f t="shared" si="41"/>
        <v>596250000</v>
      </c>
      <c r="V69" s="20">
        <f t="shared" si="42"/>
        <v>556500000</v>
      </c>
      <c r="W69" s="20">
        <f t="shared" si="43"/>
        <v>516750000</v>
      </c>
      <c r="X69" s="20">
        <f t="shared" si="44"/>
        <v>477000000</v>
      </c>
      <c r="Y69" s="20">
        <f t="shared" si="45"/>
        <v>437250000</v>
      </c>
      <c r="Z69" s="20">
        <f t="shared" si="46"/>
        <v>397500000</v>
      </c>
      <c r="AA69" s="20">
        <f t="shared" si="47"/>
        <v>357750000</v>
      </c>
      <c r="AB69" s="20">
        <f t="shared" si="48"/>
        <v>318000000</v>
      </c>
      <c r="AC69" s="20">
        <f t="shared" si="49"/>
        <v>278250000</v>
      </c>
      <c r="AE69" s="21">
        <f>SUM(I62:I69)</f>
        <v>267800000</v>
      </c>
      <c r="AF69" s="21">
        <f>SUM(Q62:Q69)</f>
        <v>4180925000</v>
      </c>
      <c r="AG69" s="21">
        <f t="shared" si="50"/>
        <v>527200000</v>
      </c>
    </row>
    <row r="70" spans="1:33" x14ac:dyDescent="0.2">
      <c r="A70">
        <v>9</v>
      </c>
      <c r="B70" t="s">
        <v>143</v>
      </c>
      <c r="C70" s="18" t="s">
        <v>100</v>
      </c>
      <c r="D70" s="4">
        <v>3924000000</v>
      </c>
      <c r="E70" s="4">
        <v>5268000000</v>
      </c>
      <c r="F70" s="4">
        <v>7339000000</v>
      </c>
      <c r="G70" s="19">
        <v>20</v>
      </c>
      <c r="H70" s="4">
        <v>688000000</v>
      </c>
      <c r="I70" s="20">
        <f t="shared" si="51"/>
        <v>34400000</v>
      </c>
      <c r="J70" s="20"/>
      <c r="K70" s="20"/>
      <c r="L70" s="20"/>
      <c r="M70" s="20"/>
      <c r="N70" s="20"/>
      <c r="O70" s="20"/>
      <c r="P70" s="20"/>
      <c r="Q70" s="20"/>
      <c r="R70" s="20">
        <f>+H70-I70</f>
        <v>653600000</v>
      </c>
      <c r="S70" s="20">
        <f t="shared" si="39"/>
        <v>619200000</v>
      </c>
      <c r="T70" s="20">
        <f t="shared" si="40"/>
        <v>584800000</v>
      </c>
      <c r="U70" s="20">
        <f t="shared" si="41"/>
        <v>550400000</v>
      </c>
      <c r="V70" s="20">
        <f t="shared" si="42"/>
        <v>516000000</v>
      </c>
      <c r="W70" s="20">
        <f t="shared" si="43"/>
        <v>481600000</v>
      </c>
      <c r="X70" s="20">
        <f t="shared" si="44"/>
        <v>447200000</v>
      </c>
      <c r="Y70" s="20">
        <f t="shared" si="45"/>
        <v>412800000</v>
      </c>
      <c r="Z70" s="20">
        <f t="shared" si="46"/>
        <v>378400000</v>
      </c>
      <c r="AA70" s="20">
        <f t="shared" si="47"/>
        <v>344000000</v>
      </c>
      <c r="AB70" s="20">
        <f t="shared" si="48"/>
        <v>309600000</v>
      </c>
      <c r="AC70" s="20">
        <f t="shared" si="49"/>
        <v>275200000</v>
      </c>
      <c r="AE70" s="21">
        <f>SUM(I62:I70)</f>
        <v>302200000</v>
      </c>
      <c r="AF70" s="21">
        <f>SUM(R62:R70)</f>
        <v>4566725000</v>
      </c>
      <c r="AG70" s="21">
        <f t="shared" si="50"/>
        <v>385800000</v>
      </c>
    </row>
    <row r="71" spans="1:33" x14ac:dyDescent="0.2">
      <c r="A71">
        <v>10</v>
      </c>
      <c r="B71" t="s">
        <v>143</v>
      </c>
      <c r="C71" s="18" t="s">
        <v>99</v>
      </c>
      <c r="D71" s="22">
        <f>$D70</f>
        <v>3924000000</v>
      </c>
      <c r="E71" s="22">
        <f>$E70</f>
        <v>5268000000</v>
      </c>
      <c r="F71" s="22">
        <f>$F70</f>
        <v>7339000000</v>
      </c>
      <c r="G71" s="23">
        <f>$G$13</f>
        <v>20</v>
      </c>
      <c r="H71" s="4">
        <v>705000000</v>
      </c>
      <c r="I71" s="20">
        <f t="shared" si="51"/>
        <v>35250000</v>
      </c>
      <c r="J71" s="20"/>
      <c r="K71" s="20"/>
      <c r="L71" s="20"/>
      <c r="M71" s="20"/>
      <c r="N71" s="20"/>
      <c r="O71" s="20"/>
      <c r="P71" s="20"/>
      <c r="Q71" s="20"/>
      <c r="R71" s="20"/>
      <c r="S71" s="20">
        <f>+H71-I71</f>
        <v>669750000</v>
      </c>
      <c r="T71" s="20">
        <f t="shared" si="40"/>
        <v>634500000</v>
      </c>
      <c r="U71" s="20">
        <f t="shared" si="41"/>
        <v>599250000</v>
      </c>
      <c r="V71" s="20">
        <f t="shared" si="42"/>
        <v>564000000</v>
      </c>
      <c r="W71" s="20">
        <f t="shared" si="43"/>
        <v>528750000</v>
      </c>
      <c r="X71" s="20">
        <f t="shared" si="44"/>
        <v>493500000</v>
      </c>
      <c r="Y71" s="20">
        <f t="shared" si="45"/>
        <v>458250000</v>
      </c>
      <c r="Z71" s="20">
        <f t="shared" si="46"/>
        <v>423000000</v>
      </c>
      <c r="AA71" s="20">
        <f t="shared" si="47"/>
        <v>387750000</v>
      </c>
      <c r="AB71" s="20">
        <f t="shared" si="48"/>
        <v>352500000</v>
      </c>
      <c r="AC71" s="20">
        <f t="shared" si="49"/>
        <v>317250000</v>
      </c>
      <c r="AE71" s="21">
        <f>SUM(I62:I71)</f>
        <v>337450000</v>
      </c>
      <c r="AF71" s="21">
        <f>SUM(S62:S71)</f>
        <v>4934275000</v>
      </c>
      <c r="AG71" s="21">
        <f t="shared" si="50"/>
        <v>367550000</v>
      </c>
    </row>
    <row r="72" spans="1:33" x14ac:dyDescent="0.2">
      <c r="A72">
        <v>11</v>
      </c>
      <c r="B72" t="s">
        <v>143</v>
      </c>
      <c r="C72" s="18" t="s">
        <v>98</v>
      </c>
      <c r="D72" s="22">
        <f>$D70</f>
        <v>3924000000</v>
      </c>
      <c r="E72" s="22">
        <f>$E70</f>
        <v>5268000000</v>
      </c>
      <c r="F72" s="22">
        <f>$F70</f>
        <v>7339000000</v>
      </c>
      <c r="G72" s="23">
        <f t="shared" ref="G72:G81" si="52">$G$13</f>
        <v>20</v>
      </c>
      <c r="H72" s="4">
        <v>692000000</v>
      </c>
      <c r="I72" s="20">
        <f t="shared" si="51"/>
        <v>34600000</v>
      </c>
      <c r="J72" s="20"/>
      <c r="K72" s="20"/>
      <c r="L72" s="20"/>
      <c r="M72" s="20"/>
      <c r="N72" s="20"/>
      <c r="O72" s="20"/>
      <c r="P72" s="20"/>
      <c r="Q72" s="20"/>
      <c r="R72" s="20"/>
      <c r="S72" s="20"/>
      <c r="T72" s="20">
        <f>+H72-I72</f>
        <v>657400000</v>
      </c>
      <c r="U72" s="20">
        <f t="shared" si="41"/>
        <v>622800000</v>
      </c>
      <c r="V72" s="20">
        <f t="shared" si="42"/>
        <v>588200000</v>
      </c>
      <c r="W72" s="20">
        <f t="shared" si="43"/>
        <v>553600000</v>
      </c>
      <c r="X72" s="20">
        <f t="shared" si="44"/>
        <v>519000000</v>
      </c>
      <c r="Y72" s="20">
        <f t="shared" si="45"/>
        <v>484400000</v>
      </c>
      <c r="Z72" s="20">
        <f t="shared" si="46"/>
        <v>449800000</v>
      </c>
      <c r="AA72" s="20">
        <f t="shared" si="47"/>
        <v>415200000</v>
      </c>
      <c r="AB72" s="20">
        <f t="shared" si="48"/>
        <v>380600000</v>
      </c>
      <c r="AC72" s="20">
        <f t="shared" si="49"/>
        <v>346000000</v>
      </c>
      <c r="AE72" s="21">
        <f>SUM(I62:I72)</f>
        <v>372050000</v>
      </c>
      <c r="AF72" s="21">
        <f>SUM(T62:T72)</f>
        <v>5254225000</v>
      </c>
      <c r="AG72" s="21">
        <f t="shared" si="50"/>
        <v>319950000</v>
      </c>
    </row>
    <row r="73" spans="1:33" x14ac:dyDescent="0.2">
      <c r="A73">
        <v>12</v>
      </c>
      <c r="B73" t="s">
        <v>143</v>
      </c>
      <c r="C73" s="18" t="s">
        <v>97</v>
      </c>
      <c r="D73" s="22">
        <f>$D70</f>
        <v>3924000000</v>
      </c>
      <c r="E73" s="22">
        <f>$E70</f>
        <v>5268000000</v>
      </c>
      <c r="F73" s="22">
        <f>$F70</f>
        <v>7339000000</v>
      </c>
      <c r="G73" s="23">
        <f t="shared" si="52"/>
        <v>20</v>
      </c>
      <c r="H73" s="4">
        <v>716000000</v>
      </c>
      <c r="I73" s="20">
        <f t="shared" si="51"/>
        <v>35800000</v>
      </c>
      <c r="J73" s="20"/>
      <c r="K73" s="20"/>
      <c r="L73" s="20"/>
      <c r="M73" s="20"/>
      <c r="N73" s="20"/>
      <c r="O73" s="20"/>
      <c r="P73" s="20"/>
      <c r="Q73" s="20"/>
      <c r="R73" s="20"/>
      <c r="S73" s="20"/>
      <c r="T73" s="20"/>
      <c r="U73" s="20">
        <f>+H73-I73</f>
        <v>680200000</v>
      </c>
      <c r="V73" s="20">
        <f t="shared" si="42"/>
        <v>644400000</v>
      </c>
      <c r="W73" s="20">
        <f t="shared" si="43"/>
        <v>608600000</v>
      </c>
      <c r="X73" s="20">
        <f t="shared" si="44"/>
        <v>572800000</v>
      </c>
      <c r="Y73" s="20">
        <f t="shared" si="45"/>
        <v>537000000</v>
      </c>
      <c r="Z73" s="20">
        <f t="shared" si="46"/>
        <v>501200000</v>
      </c>
      <c r="AA73" s="20">
        <f t="shared" si="47"/>
        <v>465400000</v>
      </c>
      <c r="AB73" s="20">
        <f t="shared" si="48"/>
        <v>429600000</v>
      </c>
      <c r="AC73" s="20">
        <f t="shared" si="49"/>
        <v>393800000</v>
      </c>
      <c r="AE73" s="21">
        <f>SUM(I62:I73)</f>
        <v>407850000</v>
      </c>
      <c r="AF73" s="21">
        <f>SUM(U62:U73)</f>
        <v>5562375000</v>
      </c>
      <c r="AG73" s="21">
        <f t="shared" si="50"/>
        <v>308150000</v>
      </c>
    </row>
    <row r="74" spans="1:33" x14ac:dyDescent="0.2">
      <c r="A74">
        <v>13</v>
      </c>
      <c r="B74" t="s">
        <v>143</v>
      </c>
      <c r="C74" s="18" t="s">
        <v>96</v>
      </c>
      <c r="D74" s="22">
        <f>$D70</f>
        <v>3924000000</v>
      </c>
      <c r="E74" s="22">
        <f>$E70</f>
        <v>5268000000</v>
      </c>
      <c r="F74" s="22">
        <f>$F70</f>
        <v>7339000000</v>
      </c>
      <c r="G74" s="23">
        <f t="shared" si="52"/>
        <v>20</v>
      </c>
      <c r="H74" s="4">
        <v>763000000</v>
      </c>
      <c r="I74" s="20">
        <f t="shared" si="51"/>
        <v>38150000</v>
      </c>
      <c r="J74" s="20"/>
      <c r="K74" s="20"/>
      <c r="L74" s="20"/>
      <c r="M74" s="20"/>
      <c r="N74" s="20"/>
      <c r="O74" s="20"/>
      <c r="P74" s="20"/>
      <c r="Q74" s="20"/>
      <c r="R74" s="20"/>
      <c r="S74" s="20"/>
      <c r="T74" s="20"/>
      <c r="U74" s="20"/>
      <c r="V74" s="20">
        <f>+H74-I74</f>
        <v>724850000</v>
      </c>
      <c r="W74" s="20">
        <f t="shared" si="43"/>
        <v>686700000</v>
      </c>
      <c r="X74" s="20">
        <f t="shared" si="44"/>
        <v>648550000</v>
      </c>
      <c r="Y74" s="20">
        <f t="shared" si="45"/>
        <v>610400000</v>
      </c>
      <c r="Z74" s="20">
        <f t="shared" si="46"/>
        <v>572250000</v>
      </c>
      <c r="AA74" s="20">
        <f t="shared" si="47"/>
        <v>534100000</v>
      </c>
      <c r="AB74" s="20">
        <f t="shared" si="48"/>
        <v>495950000</v>
      </c>
      <c r="AC74" s="20">
        <f t="shared" si="49"/>
        <v>457800000</v>
      </c>
      <c r="AE74" s="21">
        <f>SUM(I62:I74)</f>
        <v>446000000</v>
      </c>
      <c r="AF74" s="21">
        <f>SUM(V62:V74)</f>
        <v>5879375000</v>
      </c>
      <c r="AG74" s="21">
        <f t="shared" si="50"/>
        <v>317000000</v>
      </c>
    </row>
    <row r="75" spans="1:33" x14ac:dyDescent="0.2">
      <c r="A75">
        <v>14</v>
      </c>
      <c r="B75" t="s">
        <v>143</v>
      </c>
      <c r="C75" s="18" t="s">
        <v>95</v>
      </c>
      <c r="D75" s="22">
        <f>$D70</f>
        <v>3924000000</v>
      </c>
      <c r="E75" s="22">
        <f>$E70</f>
        <v>5268000000</v>
      </c>
      <c r="F75" s="22">
        <f>$F70</f>
        <v>7339000000</v>
      </c>
      <c r="G75" s="23">
        <f t="shared" si="52"/>
        <v>20</v>
      </c>
      <c r="H75" s="4">
        <v>780000000</v>
      </c>
      <c r="I75" s="20">
        <f t="shared" si="51"/>
        <v>39000000</v>
      </c>
      <c r="J75" s="20"/>
      <c r="K75" s="20"/>
      <c r="L75" s="20"/>
      <c r="M75" s="20"/>
      <c r="N75" s="20"/>
      <c r="O75" s="20"/>
      <c r="P75" s="20"/>
      <c r="Q75" s="20"/>
      <c r="R75" s="20"/>
      <c r="S75" s="20"/>
      <c r="T75" s="20"/>
      <c r="U75" s="20"/>
      <c r="V75" s="20"/>
      <c r="W75" s="20">
        <f>+H75-I75</f>
        <v>741000000</v>
      </c>
      <c r="X75" s="20">
        <f t="shared" si="44"/>
        <v>702000000</v>
      </c>
      <c r="Y75" s="20">
        <f t="shared" si="45"/>
        <v>663000000</v>
      </c>
      <c r="Z75" s="20">
        <f t="shared" si="46"/>
        <v>624000000</v>
      </c>
      <c r="AA75" s="20">
        <f t="shared" si="47"/>
        <v>585000000</v>
      </c>
      <c r="AB75" s="20">
        <f t="shared" si="48"/>
        <v>546000000</v>
      </c>
      <c r="AC75" s="20">
        <f t="shared" si="49"/>
        <v>507000000</v>
      </c>
      <c r="AE75" s="21">
        <f>SUM(I62:I75)</f>
        <v>485000000</v>
      </c>
      <c r="AF75" s="21">
        <f>SUM(W62:W75)</f>
        <v>6174375000</v>
      </c>
      <c r="AG75" s="21">
        <f t="shared" si="50"/>
        <v>295000000</v>
      </c>
    </row>
    <row r="76" spans="1:33" x14ac:dyDescent="0.2">
      <c r="A76">
        <v>15</v>
      </c>
      <c r="B76" t="s">
        <v>143</v>
      </c>
      <c r="C76" s="18" t="s">
        <v>94</v>
      </c>
      <c r="D76" s="22">
        <f>$D70</f>
        <v>3924000000</v>
      </c>
      <c r="E76" s="22">
        <f>$E70</f>
        <v>5268000000</v>
      </c>
      <c r="F76" s="22">
        <f>$F70</f>
        <v>7339000000</v>
      </c>
      <c r="G76" s="23">
        <f t="shared" si="52"/>
        <v>20</v>
      </c>
      <c r="H76" s="4">
        <v>745000000</v>
      </c>
      <c r="I76" s="20">
        <f t="shared" si="51"/>
        <v>37250000</v>
      </c>
      <c r="J76" s="20"/>
      <c r="K76" s="20"/>
      <c r="L76" s="20"/>
      <c r="M76" s="20"/>
      <c r="N76" s="20"/>
      <c r="O76" s="20"/>
      <c r="P76" s="20"/>
      <c r="Q76" s="20"/>
      <c r="R76" s="20"/>
      <c r="S76" s="20"/>
      <c r="T76" s="20"/>
      <c r="U76" s="20"/>
      <c r="V76" s="20"/>
      <c r="W76" s="20"/>
      <c r="X76" s="20">
        <f>+H76-I76</f>
        <v>707750000</v>
      </c>
      <c r="Y76" s="20">
        <f t="shared" si="45"/>
        <v>670500000</v>
      </c>
      <c r="Z76" s="20">
        <f t="shared" si="46"/>
        <v>633250000</v>
      </c>
      <c r="AA76" s="20">
        <f t="shared" si="47"/>
        <v>596000000</v>
      </c>
      <c r="AB76" s="20">
        <f t="shared" si="48"/>
        <v>558750000</v>
      </c>
      <c r="AC76" s="20">
        <f t="shared" si="49"/>
        <v>521500000</v>
      </c>
      <c r="AE76" s="21">
        <f>SUM(I62:I76)</f>
        <v>522250000</v>
      </c>
      <c r="AF76" s="21">
        <f>SUM(X62:X76)</f>
        <v>6397125000</v>
      </c>
      <c r="AG76" s="21">
        <f t="shared" si="50"/>
        <v>222750000</v>
      </c>
    </row>
    <row r="77" spans="1:33" x14ac:dyDescent="0.2">
      <c r="A77">
        <v>16</v>
      </c>
      <c r="B77" t="s">
        <v>143</v>
      </c>
      <c r="C77" s="18" t="s">
        <v>93</v>
      </c>
      <c r="D77" s="22">
        <f>$D70</f>
        <v>3924000000</v>
      </c>
      <c r="E77" s="22">
        <f>$E70</f>
        <v>5268000000</v>
      </c>
      <c r="F77" s="22">
        <f>$F70</f>
        <v>7339000000</v>
      </c>
      <c r="G77" s="23">
        <f t="shared" si="52"/>
        <v>20</v>
      </c>
      <c r="H77" s="4">
        <v>773000000</v>
      </c>
      <c r="I77" s="20">
        <f t="shared" si="51"/>
        <v>38650000</v>
      </c>
      <c r="J77" s="20"/>
      <c r="K77" s="20"/>
      <c r="L77" s="20"/>
      <c r="M77" s="20"/>
      <c r="N77" s="20"/>
      <c r="O77" s="20"/>
      <c r="P77" s="20"/>
      <c r="Q77" s="20"/>
      <c r="R77" s="20"/>
      <c r="S77" s="20"/>
      <c r="T77" s="20"/>
      <c r="U77" s="20"/>
      <c r="V77" s="20"/>
      <c r="W77" s="20"/>
      <c r="X77" s="20"/>
      <c r="Y77" s="20">
        <f>+H77-I77</f>
        <v>734350000</v>
      </c>
      <c r="Z77" s="20">
        <f t="shared" si="46"/>
        <v>695700000</v>
      </c>
      <c r="AA77" s="20">
        <f t="shared" si="47"/>
        <v>657050000</v>
      </c>
      <c r="AB77" s="20">
        <f t="shared" si="48"/>
        <v>618400000</v>
      </c>
      <c r="AC77" s="20">
        <f t="shared" si="49"/>
        <v>579750000</v>
      </c>
      <c r="AE77" s="21">
        <f>SUM(I62:I77)</f>
        <v>560900000</v>
      </c>
      <c r="AF77" s="21">
        <f>SUM(Y62:Y77)</f>
        <v>6609225000</v>
      </c>
      <c r="AG77" s="21">
        <f t="shared" si="50"/>
        <v>212100000</v>
      </c>
    </row>
    <row r="78" spans="1:33" x14ac:dyDescent="0.2">
      <c r="A78">
        <v>17</v>
      </c>
      <c r="B78" t="s">
        <v>143</v>
      </c>
      <c r="C78" s="18" t="s">
        <v>141</v>
      </c>
      <c r="D78" s="22">
        <f>$D70</f>
        <v>3924000000</v>
      </c>
      <c r="E78" s="22">
        <f>$E70</f>
        <v>5268000000</v>
      </c>
      <c r="F78" s="22">
        <f>$F70</f>
        <v>7339000000</v>
      </c>
      <c r="G78" s="23">
        <f t="shared" si="52"/>
        <v>20</v>
      </c>
      <c r="H78" s="4">
        <v>808000000</v>
      </c>
      <c r="I78" s="20">
        <f t="shared" si="51"/>
        <v>40400000</v>
      </c>
      <c r="J78" s="20"/>
      <c r="K78" s="20"/>
      <c r="L78" s="20"/>
      <c r="M78" s="20"/>
      <c r="N78" s="20"/>
      <c r="O78" s="20"/>
      <c r="P78" s="20"/>
      <c r="Q78" s="20"/>
      <c r="R78" s="20"/>
      <c r="S78" s="20"/>
      <c r="T78" s="20"/>
      <c r="U78" s="20"/>
      <c r="V78" s="20"/>
      <c r="W78" s="20"/>
      <c r="X78" s="20"/>
      <c r="Y78" s="20"/>
      <c r="Z78" s="20">
        <f>+H78-I78</f>
        <v>767600000</v>
      </c>
      <c r="AA78" s="20">
        <f t="shared" si="47"/>
        <v>727200000</v>
      </c>
      <c r="AB78" s="20">
        <f t="shared" si="48"/>
        <v>686800000</v>
      </c>
      <c r="AC78" s="20">
        <f t="shared" si="49"/>
        <v>646400000</v>
      </c>
      <c r="AE78" s="21">
        <f>SUM(I62:I78)</f>
        <v>601300000</v>
      </c>
      <c r="AF78" s="21">
        <f>SUM(Z62:Z78)</f>
        <v>6815925000</v>
      </c>
      <c r="AG78" s="21">
        <f t="shared" si="50"/>
        <v>206700000</v>
      </c>
    </row>
    <row r="79" spans="1:33" x14ac:dyDescent="0.2">
      <c r="A79">
        <v>18</v>
      </c>
      <c r="B79" t="s">
        <v>143</v>
      </c>
      <c r="C79" s="18" t="s">
        <v>160</v>
      </c>
      <c r="D79" s="22">
        <f>$D70</f>
        <v>3924000000</v>
      </c>
      <c r="E79" s="22">
        <f>$E70</f>
        <v>5268000000</v>
      </c>
      <c r="F79" s="22">
        <f>$F70</f>
        <v>7339000000</v>
      </c>
      <c r="G79" s="23">
        <f t="shared" si="52"/>
        <v>20</v>
      </c>
      <c r="H79" s="4">
        <v>785000000</v>
      </c>
      <c r="I79" s="20">
        <f t="shared" si="51"/>
        <v>39250000</v>
      </c>
      <c r="J79" s="20"/>
      <c r="K79" s="20"/>
      <c r="L79" s="20"/>
      <c r="M79" s="20"/>
      <c r="N79" s="20"/>
      <c r="O79" s="20"/>
      <c r="P79" s="20"/>
      <c r="Q79" s="20"/>
      <c r="R79" s="20"/>
      <c r="S79" s="20"/>
      <c r="T79" s="20"/>
      <c r="U79" s="20"/>
      <c r="V79" s="20"/>
      <c r="W79" s="20"/>
      <c r="X79" s="20"/>
      <c r="Y79" s="20"/>
      <c r="Z79" s="20"/>
      <c r="AA79" s="20">
        <f>+H79-I79</f>
        <v>745750000</v>
      </c>
      <c r="AB79" s="20">
        <f t="shared" si="48"/>
        <v>706500000</v>
      </c>
      <c r="AC79" s="20">
        <f t="shared" si="49"/>
        <v>667250000</v>
      </c>
      <c r="AE79" s="21">
        <f>SUM(I62:I79)</f>
        <v>640550000</v>
      </c>
      <c r="AF79" s="21">
        <f>SUM(AA62:AA79)</f>
        <v>6960375000</v>
      </c>
      <c r="AG79" s="21">
        <f t="shared" si="50"/>
        <v>144450000</v>
      </c>
    </row>
    <row r="80" spans="1:33" x14ac:dyDescent="0.2">
      <c r="A80">
        <v>19</v>
      </c>
      <c r="B80" t="s">
        <v>143</v>
      </c>
      <c r="C80" s="18" t="s">
        <v>161</v>
      </c>
      <c r="D80" s="22">
        <f>$D70</f>
        <v>3924000000</v>
      </c>
      <c r="E80" s="22">
        <f>$E70</f>
        <v>5268000000</v>
      </c>
      <c r="F80" s="22">
        <f>$F70</f>
        <v>7339000000</v>
      </c>
      <c r="G80" s="23">
        <f t="shared" si="52"/>
        <v>20</v>
      </c>
      <c r="H80" s="4">
        <v>752000000</v>
      </c>
      <c r="I80" s="20">
        <f t="shared" si="51"/>
        <v>37600000</v>
      </c>
      <c r="J80" s="20"/>
      <c r="K80" s="20"/>
      <c r="L80" s="20"/>
      <c r="M80" s="20"/>
      <c r="N80" s="20"/>
      <c r="O80" s="20"/>
      <c r="P80" s="20"/>
      <c r="Q80" s="20"/>
      <c r="R80" s="20"/>
      <c r="S80" s="20"/>
      <c r="T80" s="20"/>
      <c r="U80" s="20"/>
      <c r="V80" s="20"/>
      <c r="W80" s="20"/>
      <c r="X80" s="20"/>
      <c r="Y80" s="20"/>
      <c r="Z80" s="20"/>
      <c r="AA80" s="20"/>
      <c r="AB80" s="20">
        <f>+H80-I80</f>
        <v>714400000</v>
      </c>
      <c r="AC80" s="20">
        <f t="shared" si="49"/>
        <v>676800000</v>
      </c>
      <c r="AE80" s="21">
        <f>SUM(I62:I80)</f>
        <v>678150000</v>
      </c>
      <c r="AF80" s="21">
        <f>SUM(AB62:AB80)</f>
        <v>7034225000</v>
      </c>
      <c r="AG80" s="21">
        <f t="shared" si="50"/>
        <v>73850000</v>
      </c>
    </row>
    <row r="81" spans="1:33" x14ac:dyDescent="0.2">
      <c r="A81">
        <v>20</v>
      </c>
      <c r="B81" t="s">
        <v>143</v>
      </c>
      <c r="C81" s="18" t="s">
        <v>162</v>
      </c>
      <c r="D81" s="22">
        <f>$D70</f>
        <v>3924000000</v>
      </c>
      <c r="E81" s="22">
        <f>$E70</f>
        <v>5268000000</v>
      </c>
      <c r="F81" s="22">
        <f>$F70</f>
        <v>7339000000</v>
      </c>
      <c r="G81" s="23">
        <f t="shared" si="52"/>
        <v>20</v>
      </c>
      <c r="H81" s="4">
        <v>797000000</v>
      </c>
      <c r="I81" s="20">
        <f t="shared" si="51"/>
        <v>39850000</v>
      </c>
      <c r="J81" s="20"/>
      <c r="K81" s="20"/>
      <c r="L81" s="20"/>
      <c r="M81" s="20"/>
      <c r="N81" s="20"/>
      <c r="O81" s="20"/>
      <c r="P81" s="20"/>
      <c r="Q81" s="20"/>
      <c r="R81" s="20"/>
      <c r="S81" s="20"/>
      <c r="T81" s="20"/>
      <c r="U81" s="20"/>
      <c r="V81" s="20"/>
      <c r="W81" s="20"/>
      <c r="X81" s="20"/>
      <c r="Y81" s="20"/>
      <c r="Z81" s="20"/>
      <c r="AA81" s="20"/>
      <c r="AB81" s="20"/>
      <c r="AC81" s="20">
        <f>+H81-I81</f>
        <v>757150000</v>
      </c>
      <c r="AE81" s="21">
        <f>SUM(I62:I81)</f>
        <v>718000000</v>
      </c>
      <c r="AF81" s="21">
        <f>SUM(AC62:AC81)</f>
        <v>7113225000</v>
      </c>
      <c r="AG81" s="21">
        <f t="shared" si="50"/>
        <v>79000000</v>
      </c>
    </row>
    <row r="84" spans="1:33" x14ac:dyDescent="0.2">
      <c r="C84" t="s">
        <v>163</v>
      </c>
    </row>
    <row r="85" spans="1:33" x14ac:dyDescent="0.2">
      <c r="C85" s="6" t="s">
        <v>107</v>
      </c>
      <c r="D85" s="6" t="s">
        <v>438</v>
      </c>
      <c r="E85" s="6" t="s">
        <v>439</v>
      </c>
      <c r="F85" s="6" t="s">
        <v>440</v>
      </c>
      <c r="G85" s="6" t="s">
        <v>441</v>
      </c>
      <c r="H85" s="6" t="s">
        <v>442</v>
      </c>
      <c r="I85" s="15"/>
      <c r="J85" s="6" t="s">
        <v>443</v>
      </c>
      <c r="K85" s="6" t="s">
        <v>444</v>
      </c>
      <c r="L85" s="6" t="s">
        <v>445</v>
      </c>
      <c r="M85" s="6" t="s">
        <v>446</v>
      </c>
      <c r="N85" s="6" t="s">
        <v>447</v>
      </c>
      <c r="O85" s="6" t="s">
        <v>448</v>
      </c>
      <c r="P85" s="6" t="s">
        <v>449</v>
      </c>
      <c r="Q85" s="6" t="s">
        <v>450</v>
      </c>
      <c r="R85" s="6" t="s">
        <v>451</v>
      </c>
      <c r="S85" s="6" t="s">
        <v>452</v>
      </c>
      <c r="T85" s="6" t="s">
        <v>453</v>
      </c>
      <c r="U85" s="6" t="s">
        <v>454</v>
      </c>
      <c r="V85" s="6" t="s">
        <v>455</v>
      </c>
      <c r="W85" s="6" t="s">
        <v>456</v>
      </c>
      <c r="X85" s="6" t="s">
        <v>457</v>
      </c>
      <c r="Y85" s="6" t="s">
        <v>458</v>
      </c>
      <c r="Z85" s="6" t="s">
        <v>459</v>
      </c>
      <c r="AA85" s="6" t="s">
        <v>460</v>
      </c>
      <c r="AB85" s="6" t="s">
        <v>461</v>
      </c>
      <c r="AC85" s="6" t="s">
        <v>462</v>
      </c>
      <c r="AD85" s="15"/>
      <c r="AE85" s="6" t="s">
        <v>106</v>
      </c>
      <c r="AF85" s="6" t="s">
        <v>105</v>
      </c>
      <c r="AG85" s="6" t="s">
        <v>463</v>
      </c>
    </row>
    <row r="86" spans="1:33" x14ac:dyDescent="0.2">
      <c r="C86" s="16" t="s">
        <v>464</v>
      </c>
      <c r="J86" s="17">
        <v>20</v>
      </c>
      <c r="K86" s="17">
        <v>19</v>
      </c>
      <c r="L86" s="17">
        <v>18</v>
      </c>
      <c r="M86" s="17">
        <v>17</v>
      </c>
      <c r="N86" s="17">
        <v>16</v>
      </c>
      <c r="O86" s="17">
        <v>15</v>
      </c>
      <c r="P86" s="17">
        <v>14</v>
      </c>
      <c r="Q86" s="17">
        <v>13</v>
      </c>
      <c r="R86" s="17">
        <v>12</v>
      </c>
      <c r="S86" s="17">
        <v>11</v>
      </c>
      <c r="T86" s="17">
        <v>10</v>
      </c>
      <c r="U86" s="17">
        <v>9</v>
      </c>
      <c r="V86" s="17">
        <v>8</v>
      </c>
      <c r="W86" s="17">
        <v>7</v>
      </c>
      <c r="X86" s="17">
        <v>6</v>
      </c>
      <c r="Y86" s="17">
        <v>5</v>
      </c>
      <c r="Z86" s="17">
        <v>4</v>
      </c>
      <c r="AA86" s="17">
        <v>3</v>
      </c>
      <c r="AB86" s="17">
        <v>2</v>
      </c>
      <c r="AC86" s="17">
        <v>1</v>
      </c>
    </row>
    <row r="87" spans="1:33" x14ac:dyDescent="0.2">
      <c r="B87" t="s">
        <v>163</v>
      </c>
      <c r="C87" s="18" t="s">
        <v>102</v>
      </c>
      <c r="D87" s="4">
        <v>19269000000</v>
      </c>
      <c r="E87" s="4">
        <v>20716000000</v>
      </c>
      <c r="F87" s="4">
        <v>24512000000</v>
      </c>
      <c r="G87" s="19">
        <v>20</v>
      </c>
      <c r="H87" s="4">
        <v>6984000000</v>
      </c>
      <c r="J87" s="20">
        <f t="shared" ref="J87:J98" si="53">H87</f>
        <v>6984000000</v>
      </c>
      <c r="K87" s="20">
        <f>$F87/4</f>
        <v>6128000000</v>
      </c>
      <c r="L87" s="20">
        <f>$F87/4</f>
        <v>6128000000</v>
      </c>
      <c r="M87" s="20">
        <f>$F87/4</f>
        <v>6128000000</v>
      </c>
      <c r="N87" s="20">
        <f>$F87/4</f>
        <v>6128000000</v>
      </c>
      <c r="O87" s="20">
        <f>$E87/4</f>
        <v>5179000000</v>
      </c>
      <c r="P87" s="20">
        <f>$E87/4</f>
        <v>5179000000</v>
      </c>
      <c r="Q87" s="20">
        <f>$E87/4</f>
        <v>5179000000</v>
      </c>
      <c r="R87" s="20">
        <f>$E87/4</f>
        <v>5179000000</v>
      </c>
      <c r="S87" s="20">
        <f>$D87/4</f>
        <v>4817250000</v>
      </c>
      <c r="T87" s="20">
        <f>$D87/4</f>
        <v>4817250000</v>
      </c>
      <c r="U87" s="20">
        <f>$D87/4</f>
        <v>4817250000</v>
      </c>
      <c r="V87" s="20">
        <f>$D87/4</f>
        <v>4817250000</v>
      </c>
      <c r="W87" s="20">
        <v>0</v>
      </c>
      <c r="X87" s="20">
        <v>0</v>
      </c>
      <c r="Y87" s="20">
        <v>0</v>
      </c>
      <c r="Z87" s="20">
        <v>0</v>
      </c>
      <c r="AA87" s="20">
        <v>0</v>
      </c>
      <c r="AB87" s="20">
        <v>0</v>
      </c>
      <c r="AC87" s="20">
        <v>0</v>
      </c>
      <c r="AE87" s="21">
        <f>SUM(J87:AC87)/$G87</f>
        <v>3574050000</v>
      </c>
      <c r="AF87" s="21">
        <f>SUMPRODUCT($J$86:$AC$86,J87:AC87)/$G87</f>
        <v>51568075000</v>
      </c>
      <c r="AG87" s="21">
        <f t="shared" ref="AG87:AG98" si="54">H87-AE87</f>
        <v>3409950000</v>
      </c>
    </row>
    <row r="88" spans="1:33" x14ac:dyDescent="0.2">
      <c r="B88" t="s">
        <v>163</v>
      </c>
      <c r="C88" s="18" t="s">
        <v>101</v>
      </c>
      <c r="D88" s="22">
        <f>$D87</f>
        <v>19269000000</v>
      </c>
      <c r="E88" s="22">
        <f>$E87</f>
        <v>20716000000</v>
      </c>
      <c r="F88" s="22">
        <f>$F87</f>
        <v>24512000000</v>
      </c>
      <c r="G88" s="23">
        <f>$G$87</f>
        <v>20</v>
      </c>
      <c r="H88" s="4">
        <v>6739000000</v>
      </c>
      <c r="J88" s="20">
        <f t="shared" si="53"/>
        <v>6739000000</v>
      </c>
      <c r="K88" s="20">
        <f t="shared" ref="K88:K98" si="55">H87</f>
        <v>6984000000</v>
      </c>
      <c r="L88" s="20">
        <f>$F87/4</f>
        <v>6128000000</v>
      </c>
      <c r="M88" s="20">
        <f>$F87/4</f>
        <v>6128000000</v>
      </c>
      <c r="N88" s="20">
        <f>$F87/4</f>
        <v>6128000000</v>
      </c>
      <c r="O88" s="20">
        <f>$F87/4</f>
        <v>6128000000</v>
      </c>
      <c r="P88" s="20">
        <f>$E87/4</f>
        <v>5179000000</v>
      </c>
      <c r="Q88" s="20">
        <f>$E87/4</f>
        <v>5179000000</v>
      </c>
      <c r="R88" s="20">
        <f>$E87/4</f>
        <v>5179000000</v>
      </c>
      <c r="S88" s="20">
        <f>$E87/4</f>
        <v>5179000000</v>
      </c>
      <c r="T88" s="20">
        <f>$D87/4</f>
        <v>4817250000</v>
      </c>
      <c r="U88" s="20">
        <f>$D87/4</f>
        <v>4817250000</v>
      </c>
      <c r="V88" s="20">
        <f>$D87/4</f>
        <v>4817250000</v>
      </c>
      <c r="W88" s="20">
        <f>$D87/4</f>
        <v>4817250000</v>
      </c>
      <c r="X88" s="20">
        <v>0</v>
      </c>
      <c r="Y88" s="20">
        <v>0</v>
      </c>
      <c r="Z88" s="20">
        <v>0</v>
      </c>
      <c r="AA88" s="20">
        <v>0</v>
      </c>
      <c r="AB88" s="20">
        <v>0</v>
      </c>
      <c r="AC88" s="20">
        <v>0</v>
      </c>
      <c r="AE88" s="21">
        <f t="shared" ref="AE88:AE98" si="56">SUM(J88:AC88)/$G88</f>
        <v>3911000000</v>
      </c>
      <c r="AF88" s="21">
        <f t="shared" ref="AF88:AF98" si="57">SUMPRODUCT($J$86:$AC$86,J88:AC88)/$G88</f>
        <v>54733025000</v>
      </c>
      <c r="AG88" s="21">
        <f t="shared" si="54"/>
        <v>2828000000</v>
      </c>
    </row>
    <row r="89" spans="1:33" x14ac:dyDescent="0.2">
      <c r="B89" t="s">
        <v>163</v>
      </c>
      <c r="C89" s="18" t="s">
        <v>100</v>
      </c>
      <c r="D89" s="22">
        <f>$D87</f>
        <v>19269000000</v>
      </c>
      <c r="E89" s="22">
        <f>$E87</f>
        <v>20716000000</v>
      </c>
      <c r="F89" s="22">
        <f>$F87</f>
        <v>24512000000</v>
      </c>
      <c r="G89" s="23">
        <f t="shared" ref="G89:G98" si="58">$G$87</f>
        <v>20</v>
      </c>
      <c r="H89" s="4">
        <v>6659000000</v>
      </c>
      <c r="J89" s="20">
        <f t="shared" si="53"/>
        <v>6659000000</v>
      </c>
      <c r="K89" s="20">
        <f t="shared" si="55"/>
        <v>6739000000</v>
      </c>
      <c r="L89" s="20">
        <f t="shared" ref="L89:L98" si="59">H87</f>
        <v>6984000000</v>
      </c>
      <c r="M89" s="20">
        <f>$F87/4</f>
        <v>6128000000</v>
      </c>
      <c r="N89" s="20">
        <f>$F87/4</f>
        <v>6128000000</v>
      </c>
      <c r="O89" s="20">
        <f>$F87/4</f>
        <v>6128000000</v>
      </c>
      <c r="P89" s="20">
        <f>$F87/4</f>
        <v>6128000000</v>
      </c>
      <c r="Q89" s="20">
        <f>$E87/4</f>
        <v>5179000000</v>
      </c>
      <c r="R89" s="20">
        <f>$E87/4</f>
        <v>5179000000</v>
      </c>
      <c r="S89" s="20">
        <f>$E87/4</f>
        <v>5179000000</v>
      </c>
      <c r="T89" s="20">
        <f>$E87/4</f>
        <v>5179000000</v>
      </c>
      <c r="U89" s="20">
        <f>$D87/4</f>
        <v>4817250000</v>
      </c>
      <c r="V89" s="20">
        <f>$D87/4</f>
        <v>4817250000</v>
      </c>
      <c r="W89" s="20">
        <f>$D87/4</f>
        <v>4817250000</v>
      </c>
      <c r="X89" s="20">
        <f>$D87/4</f>
        <v>4817250000</v>
      </c>
      <c r="Y89" s="20">
        <v>0</v>
      </c>
      <c r="Z89" s="20">
        <v>0</v>
      </c>
      <c r="AA89" s="20">
        <v>0</v>
      </c>
      <c r="AB89" s="20">
        <v>0</v>
      </c>
      <c r="AC89" s="20">
        <v>0</v>
      </c>
      <c r="AE89" s="21">
        <f t="shared" si="56"/>
        <v>4243950000</v>
      </c>
      <c r="AF89" s="21">
        <f t="shared" si="57"/>
        <v>57481025000</v>
      </c>
      <c r="AG89" s="21">
        <f t="shared" si="54"/>
        <v>2415050000</v>
      </c>
    </row>
    <row r="90" spans="1:33" x14ac:dyDescent="0.2">
      <c r="B90" t="s">
        <v>163</v>
      </c>
      <c r="C90" s="18" t="s">
        <v>99</v>
      </c>
      <c r="D90" s="22">
        <f>$D87</f>
        <v>19269000000</v>
      </c>
      <c r="E90" s="22">
        <f>$E87</f>
        <v>20716000000</v>
      </c>
      <c r="F90" s="22">
        <f>$F87</f>
        <v>24512000000</v>
      </c>
      <c r="G90" s="23">
        <f t="shared" si="58"/>
        <v>20</v>
      </c>
      <c r="H90" s="4">
        <v>7142000000</v>
      </c>
      <c r="J90" s="20">
        <f t="shared" si="53"/>
        <v>7142000000</v>
      </c>
      <c r="K90" s="20">
        <f t="shared" si="55"/>
        <v>6659000000</v>
      </c>
      <c r="L90" s="20">
        <f t="shared" si="59"/>
        <v>6739000000</v>
      </c>
      <c r="M90" s="20">
        <f t="shared" ref="M90:M98" si="60">H87</f>
        <v>6984000000</v>
      </c>
      <c r="N90" s="20">
        <f>$F87/4</f>
        <v>6128000000</v>
      </c>
      <c r="O90" s="20">
        <f>$F87/4</f>
        <v>6128000000</v>
      </c>
      <c r="P90" s="20">
        <f>$F87/4</f>
        <v>6128000000</v>
      </c>
      <c r="Q90" s="20">
        <f>$F87/4</f>
        <v>6128000000</v>
      </c>
      <c r="R90" s="20">
        <f>$E87/4</f>
        <v>5179000000</v>
      </c>
      <c r="S90" s="20">
        <f>$E87/4</f>
        <v>5179000000</v>
      </c>
      <c r="T90" s="20">
        <f>$E87/4</f>
        <v>5179000000</v>
      </c>
      <c r="U90" s="20">
        <f>$E87/4</f>
        <v>5179000000</v>
      </c>
      <c r="V90" s="20">
        <f>$D87/4</f>
        <v>4817250000</v>
      </c>
      <c r="W90" s="20">
        <f>$D87/4</f>
        <v>4817250000</v>
      </c>
      <c r="X90" s="20">
        <f>$D87/4</f>
        <v>4817250000</v>
      </c>
      <c r="Y90" s="20">
        <f>$D87/4</f>
        <v>4817250000</v>
      </c>
      <c r="Z90" s="20">
        <v>0</v>
      </c>
      <c r="AA90" s="20">
        <v>0</v>
      </c>
      <c r="AB90" s="20">
        <v>0</v>
      </c>
      <c r="AC90" s="20">
        <v>0</v>
      </c>
      <c r="AE90" s="21">
        <f t="shared" si="56"/>
        <v>4601050000</v>
      </c>
      <c r="AF90" s="21">
        <f t="shared" si="57"/>
        <v>60379075000</v>
      </c>
      <c r="AG90" s="21">
        <f t="shared" si="54"/>
        <v>2540950000</v>
      </c>
    </row>
    <row r="91" spans="1:33" x14ac:dyDescent="0.2">
      <c r="B91" t="s">
        <v>163</v>
      </c>
      <c r="C91" s="18" t="s">
        <v>98</v>
      </c>
      <c r="D91" s="22">
        <f>$D87</f>
        <v>19269000000</v>
      </c>
      <c r="E91" s="22">
        <f>$E87</f>
        <v>20716000000</v>
      </c>
      <c r="F91" s="22">
        <f>$F87</f>
        <v>24512000000</v>
      </c>
      <c r="G91" s="23">
        <f t="shared" si="58"/>
        <v>20</v>
      </c>
      <c r="H91" s="4">
        <v>7653000000</v>
      </c>
      <c r="J91" s="20">
        <f t="shared" si="53"/>
        <v>7653000000</v>
      </c>
      <c r="K91" s="20">
        <f t="shared" si="55"/>
        <v>7142000000</v>
      </c>
      <c r="L91" s="20">
        <f t="shared" si="59"/>
        <v>6659000000</v>
      </c>
      <c r="M91" s="20">
        <f t="shared" si="60"/>
        <v>6739000000</v>
      </c>
      <c r="N91" s="20">
        <f t="shared" ref="N91:N98" si="61">H87</f>
        <v>6984000000</v>
      </c>
      <c r="O91" s="20">
        <f>$F87/4</f>
        <v>6128000000</v>
      </c>
      <c r="P91" s="20">
        <f>$F87/4</f>
        <v>6128000000</v>
      </c>
      <c r="Q91" s="20">
        <f>$F87/4</f>
        <v>6128000000</v>
      </c>
      <c r="R91" s="20">
        <f>$F87/4</f>
        <v>6128000000</v>
      </c>
      <c r="S91" s="20">
        <f>$E87/4</f>
        <v>5179000000</v>
      </c>
      <c r="T91" s="20">
        <f>$E87/4</f>
        <v>5179000000</v>
      </c>
      <c r="U91" s="20">
        <f>$E87/4</f>
        <v>5179000000</v>
      </c>
      <c r="V91" s="20">
        <f>$E87/4</f>
        <v>5179000000</v>
      </c>
      <c r="W91" s="20">
        <f>$D87/4</f>
        <v>4817250000</v>
      </c>
      <c r="X91" s="20">
        <f>$D87/4</f>
        <v>4817250000</v>
      </c>
      <c r="Y91" s="20">
        <f>$D87/4</f>
        <v>4817250000</v>
      </c>
      <c r="Z91" s="20">
        <f>$D87/4</f>
        <v>4817250000</v>
      </c>
      <c r="AA91" s="20">
        <v>0</v>
      </c>
      <c r="AB91" s="20">
        <v>0</v>
      </c>
      <c r="AC91" s="20">
        <v>0</v>
      </c>
      <c r="AE91" s="21">
        <f t="shared" si="56"/>
        <v>4983700000</v>
      </c>
      <c r="AF91" s="21">
        <f t="shared" si="57"/>
        <v>63431025000</v>
      </c>
      <c r="AG91" s="21">
        <f t="shared" si="54"/>
        <v>2669300000</v>
      </c>
    </row>
    <row r="92" spans="1:33" x14ac:dyDescent="0.2">
      <c r="B92" t="s">
        <v>163</v>
      </c>
      <c r="C92" s="18" t="s">
        <v>97</v>
      </c>
      <c r="D92" s="22">
        <f>$D87</f>
        <v>19269000000</v>
      </c>
      <c r="E92" s="22">
        <f>$E87</f>
        <v>20716000000</v>
      </c>
      <c r="F92" s="22">
        <f>$F87</f>
        <v>24512000000</v>
      </c>
      <c r="G92" s="23">
        <f t="shared" si="58"/>
        <v>20</v>
      </c>
      <c r="H92" s="4">
        <v>8056000000</v>
      </c>
      <c r="J92" s="20">
        <f t="shared" si="53"/>
        <v>8056000000</v>
      </c>
      <c r="K92" s="20">
        <f t="shared" si="55"/>
        <v>7653000000</v>
      </c>
      <c r="L92" s="20">
        <f t="shared" si="59"/>
        <v>7142000000</v>
      </c>
      <c r="M92" s="20">
        <f t="shared" si="60"/>
        <v>6659000000</v>
      </c>
      <c r="N92" s="20">
        <f t="shared" si="61"/>
        <v>6739000000</v>
      </c>
      <c r="O92" s="20">
        <f t="shared" ref="O92:O98" si="62">H87</f>
        <v>6984000000</v>
      </c>
      <c r="P92" s="20">
        <f>$F87/4</f>
        <v>6128000000</v>
      </c>
      <c r="Q92" s="20">
        <f>$F87/4</f>
        <v>6128000000</v>
      </c>
      <c r="R92" s="20">
        <f>$F87/4</f>
        <v>6128000000</v>
      </c>
      <c r="S92" s="20">
        <f>$F87/4</f>
        <v>6128000000</v>
      </c>
      <c r="T92" s="20">
        <f>$E87/4</f>
        <v>5179000000</v>
      </c>
      <c r="U92" s="20">
        <f>$E87/4</f>
        <v>5179000000</v>
      </c>
      <c r="V92" s="20">
        <f>$E87/4</f>
        <v>5179000000</v>
      </c>
      <c r="W92" s="20">
        <f>$E87/4</f>
        <v>5179000000</v>
      </c>
      <c r="X92" s="20">
        <f>$D87/4</f>
        <v>4817250000</v>
      </c>
      <c r="Y92" s="20">
        <f>$D87/4</f>
        <v>4817250000</v>
      </c>
      <c r="Z92" s="20">
        <f>$D87/4</f>
        <v>4817250000</v>
      </c>
      <c r="AA92" s="20">
        <f>$D87/4</f>
        <v>4817250000</v>
      </c>
      <c r="AB92" s="20">
        <v>0</v>
      </c>
      <c r="AC92" s="20">
        <v>0</v>
      </c>
      <c r="AE92" s="21">
        <f t="shared" si="56"/>
        <v>5386500000</v>
      </c>
      <c r="AF92" s="21">
        <f t="shared" si="57"/>
        <v>66503325000</v>
      </c>
      <c r="AG92" s="21">
        <f t="shared" si="54"/>
        <v>2669500000</v>
      </c>
    </row>
    <row r="93" spans="1:33" x14ac:dyDescent="0.2">
      <c r="B93" t="s">
        <v>163</v>
      </c>
      <c r="C93" s="18" t="s">
        <v>96</v>
      </c>
      <c r="D93" s="22">
        <f>$D87</f>
        <v>19269000000</v>
      </c>
      <c r="E93" s="22">
        <f>$E87</f>
        <v>20716000000</v>
      </c>
      <c r="F93" s="22">
        <f>$F87</f>
        <v>24512000000</v>
      </c>
      <c r="G93" s="23">
        <f t="shared" si="58"/>
        <v>20</v>
      </c>
      <c r="H93" s="4">
        <v>7544000000</v>
      </c>
      <c r="J93" s="20">
        <f t="shared" si="53"/>
        <v>7544000000</v>
      </c>
      <c r="K93" s="20">
        <f t="shared" si="55"/>
        <v>8056000000</v>
      </c>
      <c r="L93" s="20">
        <f t="shared" si="59"/>
        <v>7653000000</v>
      </c>
      <c r="M93" s="20">
        <f t="shared" si="60"/>
        <v>7142000000</v>
      </c>
      <c r="N93" s="20">
        <f t="shared" si="61"/>
        <v>6659000000</v>
      </c>
      <c r="O93" s="20">
        <f t="shared" si="62"/>
        <v>6739000000</v>
      </c>
      <c r="P93" s="20">
        <f t="shared" ref="P93:P98" si="63">H87</f>
        <v>6984000000</v>
      </c>
      <c r="Q93" s="20">
        <f>$F87/4</f>
        <v>6128000000</v>
      </c>
      <c r="R93" s="20">
        <f>$F87/4</f>
        <v>6128000000</v>
      </c>
      <c r="S93" s="20">
        <f>$F87/4</f>
        <v>6128000000</v>
      </c>
      <c r="T93" s="20">
        <f>$F87/4</f>
        <v>6128000000</v>
      </c>
      <c r="U93" s="20">
        <f>$E87/4</f>
        <v>5179000000</v>
      </c>
      <c r="V93" s="20">
        <f>$E87/4</f>
        <v>5179000000</v>
      </c>
      <c r="W93" s="20">
        <f>$E87/4</f>
        <v>5179000000</v>
      </c>
      <c r="X93" s="20">
        <f>$E87/4</f>
        <v>5179000000</v>
      </c>
      <c r="Y93" s="20">
        <f>$D87/4</f>
        <v>4817250000</v>
      </c>
      <c r="Z93" s="20">
        <f>$D87/4</f>
        <v>4817250000</v>
      </c>
      <c r="AA93" s="20">
        <f>$D87/4</f>
        <v>4817250000</v>
      </c>
      <c r="AB93" s="20">
        <f>$D87/4</f>
        <v>4817250000</v>
      </c>
      <c r="AC93" s="20">
        <v>0</v>
      </c>
      <c r="AE93" s="21">
        <f t="shared" si="56"/>
        <v>5763700000</v>
      </c>
      <c r="AF93" s="21">
        <f t="shared" si="57"/>
        <v>68660825000</v>
      </c>
      <c r="AG93" s="21">
        <f t="shared" si="54"/>
        <v>1780300000</v>
      </c>
    </row>
    <row r="94" spans="1:33" x14ac:dyDescent="0.2">
      <c r="B94" t="s">
        <v>163</v>
      </c>
      <c r="C94" s="18" t="s">
        <v>95</v>
      </c>
      <c r="D94" s="22">
        <f>$D87</f>
        <v>19269000000</v>
      </c>
      <c r="E94" s="22">
        <f>$E87</f>
        <v>20716000000</v>
      </c>
      <c r="F94" s="22">
        <f>$F87</f>
        <v>24512000000</v>
      </c>
      <c r="G94" s="23">
        <f t="shared" si="58"/>
        <v>20</v>
      </c>
      <c r="H94" s="4">
        <v>7917000000</v>
      </c>
      <c r="J94" s="20">
        <f t="shared" si="53"/>
        <v>7917000000</v>
      </c>
      <c r="K94" s="20">
        <f t="shared" si="55"/>
        <v>7544000000</v>
      </c>
      <c r="L94" s="20">
        <f t="shared" si="59"/>
        <v>8056000000</v>
      </c>
      <c r="M94" s="20">
        <f t="shared" si="60"/>
        <v>7653000000</v>
      </c>
      <c r="N94" s="20">
        <f t="shared" si="61"/>
        <v>7142000000</v>
      </c>
      <c r="O94" s="20">
        <f t="shared" si="62"/>
        <v>6659000000</v>
      </c>
      <c r="P94" s="20">
        <f t="shared" si="63"/>
        <v>6739000000</v>
      </c>
      <c r="Q94" s="20">
        <f>H87</f>
        <v>6984000000</v>
      </c>
      <c r="R94" s="20">
        <f>$F87/4</f>
        <v>6128000000</v>
      </c>
      <c r="S94" s="20">
        <f>$F87/4</f>
        <v>6128000000</v>
      </c>
      <c r="T94" s="20">
        <f>$F87/4</f>
        <v>6128000000</v>
      </c>
      <c r="U94" s="20">
        <f>$F87/4</f>
        <v>6128000000</v>
      </c>
      <c r="V94" s="20">
        <f>$E87/4</f>
        <v>5179000000</v>
      </c>
      <c r="W94" s="20">
        <f>$E87/4</f>
        <v>5179000000</v>
      </c>
      <c r="X94" s="20">
        <f>$E87/4</f>
        <v>5179000000</v>
      </c>
      <c r="Y94" s="20">
        <f>$E87/4</f>
        <v>5179000000</v>
      </c>
      <c r="Z94" s="20">
        <f>$D87/4</f>
        <v>4817250000</v>
      </c>
      <c r="AA94" s="20">
        <f>$D87/4</f>
        <v>4817250000</v>
      </c>
      <c r="AB94" s="20">
        <f>$D87/4</f>
        <v>4817250000</v>
      </c>
      <c r="AC94" s="20">
        <f>$D87/4</f>
        <v>4817250000</v>
      </c>
      <c r="AE94" s="21">
        <f t="shared" si="56"/>
        <v>6159550000</v>
      </c>
      <c r="AF94" s="21">
        <f t="shared" si="57"/>
        <v>70814125000</v>
      </c>
      <c r="AG94" s="21">
        <f t="shared" si="54"/>
        <v>1757450000</v>
      </c>
    </row>
    <row r="95" spans="1:33" x14ac:dyDescent="0.2">
      <c r="B95" t="s">
        <v>163</v>
      </c>
      <c r="C95" s="18" t="s">
        <v>94</v>
      </c>
      <c r="D95" s="22">
        <f>$D87</f>
        <v>19269000000</v>
      </c>
      <c r="E95" s="22">
        <f>$E87</f>
        <v>20716000000</v>
      </c>
      <c r="F95" s="22">
        <f>$F87</f>
        <v>24512000000</v>
      </c>
      <c r="G95" s="23">
        <f t="shared" si="58"/>
        <v>20</v>
      </c>
      <c r="H95" s="4">
        <v>8198000000</v>
      </c>
      <c r="J95" s="20">
        <f t="shared" si="53"/>
        <v>8198000000</v>
      </c>
      <c r="K95" s="20">
        <f t="shared" si="55"/>
        <v>7917000000</v>
      </c>
      <c r="L95" s="20">
        <f t="shared" si="59"/>
        <v>7544000000</v>
      </c>
      <c r="M95" s="20">
        <f t="shared" si="60"/>
        <v>8056000000</v>
      </c>
      <c r="N95" s="20">
        <f t="shared" si="61"/>
        <v>7653000000</v>
      </c>
      <c r="O95" s="20">
        <f t="shared" si="62"/>
        <v>7142000000</v>
      </c>
      <c r="P95" s="20">
        <f t="shared" si="63"/>
        <v>6659000000</v>
      </c>
      <c r="Q95" s="20">
        <f>H88</f>
        <v>6739000000</v>
      </c>
      <c r="R95" s="20">
        <f>H87</f>
        <v>6984000000</v>
      </c>
      <c r="S95" s="20">
        <f>$F87/4</f>
        <v>6128000000</v>
      </c>
      <c r="T95" s="20">
        <f>$F87/4</f>
        <v>6128000000</v>
      </c>
      <c r="U95" s="20">
        <f>$F87/4</f>
        <v>6128000000</v>
      </c>
      <c r="V95" s="20">
        <f>$F87/4</f>
        <v>6128000000</v>
      </c>
      <c r="W95" s="20">
        <f>$E87/4</f>
        <v>5179000000</v>
      </c>
      <c r="X95" s="20">
        <f>$E87/4</f>
        <v>5179000000</v>
      </c>
      <c r="Y95" s="20">
        <f>$E87/4</f>
        <v>5179000000</v>
      </c>
      <c r="Z95" s="20">
        <f>$E87/4</f>
        <v>5179000000</v>
      </c>
      <c r="AA95" s="20">
        <f>$D87/4</f>
        <v>4817250000</v>
      </c>
      <c r="AB95" s="20">
        <f>$D87/4</f>
        <v>4817250000</v>
      </c>
      <c r="AC95" s="20">
        <f>$D87/4</f>
        <v>4817250000</v>
      </c>
      <c r="AE95" s="21">
        <f t="shared" si="56"/>
        <v>6328587500</v>
      </c>
      <c r="AF95" s="21">
        <f t="shared" si="57"/>
        <v>72852575000</v>
      </c>
      <c r="AG95" s="21">
        <f t="shared" si="54"/>
        <v>1869412500</v>
      </c>
    </row>
    <row r="96" spans="1:33" x14ac:dyDescent="0.2">
      <c r="B96" t="s">
        <v>163</v>
      </c>
      <c r="C96" s="18" t="s">
        <v>93</v>
      </c>
      <c r="D96" s="22">
        <f>$D87</f>
        <v>19269000000</v>
      </c>
      <c r="E96" s="22">
        <f>$E87</f>
        <v>20716000000</v>
      </c>
      <c r="F96" s="22">
        <f>$F87</f>
        <v>24512000000</v>
      </c>
      <c r="G96" s="23">
        <f t="shared" si="58"/>
        <v>20</v>
      </c>
      <c r="H96" s="4">
        <v>8829000000</v>
      </c>
      <c r="J96" s="20">
        <f t="shared" si="53"/>
        <v>8829000000</v>
      </c>
      <c r="K96" s="20">
        <f t="shared" si="55"/>
        <v>8198000000</v>
      </c>
      <c r="L96" s="20">
        <f t="shared" si="59"/>
        <v>7917000000</v>
      </c>
      <c r="M96" s="20">
        <f t="shared" si="60"/>
        <v>7544000000</v>
      </c>
      <c r="N96" s="20">
        <f t="shared" si="61"/>
        <v>8056000000</v>
      </c>
      <c r="O96" s="20">
        <f t="shared" si="62"/>
        <v>7653000000</v>
      </c>
      <c r="P96" s="20">
        <f t="shared" si="63"/>
        <v>7142000000</v>
      </c>
      <c r="Q96" s="20">
        <f>H89</f>
        <v>6659000000</v>
      </c>
      <c r="R96" s="20">
        <f>H88</f>
        <v>6739000000</v>
      </c>
      <c r="S96" s="20">
        <f>H87</f>
        <v>6984000000</v>
      </c>
      <c r="T96" s="20">
        <f>$F87/4</f>
        <v>6128000000</v>
      </c>
      <c r="U96" s="20">
        <f>$F87/4</f>
        <v>6128000000</v>
      </c>
      <c r="V96" s="20">
        <f>$F87/4</f>
        <v>6128000000</v>
      </c>
      <c r="W96" s="20">
        <f>$F87/4</f>
        <v>6128000000</v>
      </c>
      <c r="X96" s="20">
        <f>$E87/4</f>
        <v>5179000000</v>
      </c>
      <c r="Y96" s="20">
        <f>$E87/4</f>
        <v>5179000000</v>
      </c>
      <c r="Z96" s="20">
        <f>$E87/4</f>
        <v>5179000000</v>
      </c>
      <c r="AA96" s="20">
        <f>$E87/4</f>
        <v>5179000000</v>
      </c>
      <c r="AB96" s="20">
        <f>$D87/4</f>
        <v>4817250000</v>
      </c>
      <c r="AC96" s="20">
        <f>$D87/4</f>
        <v>4817250000</v>
      </c>
      <c r="AE96" s="21">
        <f t="shared" si="56"/>
        <v>6529175000</v>
      </c>
      <c r="AF96" s="21">
        <f t="shared" si="57"/>
        <v>75352987500</v>
      </c>
      <c r="AG96" s="21">
        <f t="shared" si="54"/>
        <v>2299825000</v>
      </c>
    </row>
    <row r="97" spans="1:33" x14ac:dyDescent="0.2">
      <c r="B97" t="s">
        <v>163</v>
      </c>
      <c r="C97" s="18" t="s">
        <v>141</v>
      </c>
      <c r="D97" s="22">
        <f>$D87</f>
        <v>19269000000</v>
      </c>
      <c r="E97" s="22">
        <f>$E87</f>
        <v>20716000000</v>
      </c>
      <c r="F97" s="22">
        <f>$F87</f>
        <v>24512000000</v>
      </c>
      <c r="G97" s="23">
        <f t="shared" si="58"/>
        <v>20</v>
      </c>
      <c r="H97" s="4">
        <v>8146000000</v>
      </c>
      <c r="J97" s="20">
        <f t="shared" si="53"/>
        <v>8146000000</v>
      </c>
      <c r="K97" s="20">
        <f t="shared" si="55"/>
        <v>8829000000</v>
      </c>
      <c r="L97" s="20">
        <f t="shared" si="59"/>
        <v>8198000000</v>
      </c>
      <c r="M97" s="20">
        <f t="shared" si="60"/>
        <v>7917000000</v>
      </c>
      <c r="N97" s="20">
        <f t="shared" si="61"/>
        <v>7544000000</v>
      </c>
      <c r="O97" s="20">
        <f t="shared" si="62"/>
        <v>8056000000</v>
      </c>
      <c r="P97" s="20">
        <f t="shared" si="63"/>
        <v>7653000000</v>
      </c>
      <c r="Q97" s="20">
        <f>H90</f>
        <v>7142000000</v>
      </c>
      <c r="R97" s="20">
        <f>H89</f>
        <v>6659000000</v>
      </c>
      <c r="S97" s="20">
        <f>H88</f>
        <v>6739000000</v>
      </c>
      <c r="T97" s="20">
        <f>H87</f>
        <v>6984000000</v>
      </c>
      <c r="U97" s="20">
        <f>$F87/4</f>
        <v>6128000000</v>
      </c>
      <c r="V97" s="20">
        <f>$F87/4</f>
        <v>6128000000</v>
      </c>
      <c r="W97" s="20">
        <f>$F87/4</f>
        <v>6128000000</v>
      </c>
      <c r="X97" s="20">
        <f>$F87/4</f>
        <v>6128000000</v>
      </c>
      <c r="Y97" s="20">
        <f>$E87/4</f>
        <v>5179000000</v>
      </c>
      <c r="Z97" s="20">
        <f>$E87/4</f>
        <v>5179000000</v>
      </c>
      <c r="AA97" s="20">
        <f>$E87/4</f>
        <v>5179000000</v>
      </c>
      <c r="AB97" s="20">
        <f>$E87/4</f>
        <v>5179000000</v>
      </c>
      <c r="AC97" s="20">
        <f>$D87/4</f>
        <v>4817250000</v>
      </c>
      <c r="AE97" s="21">
        <f t="shared" si="56"/>
        <v>6695612500</v>
      </c>
      <c r="AF97" s="21">
        <f t="shared" si="57"/>
        <v>76969812500</v>
      </c>
      <c r="AG97" s="21">
        <f t="shared" si="54"/>
        <v>1450387500</v>
      </c>
    </row>
    <row r="98" spans="1:33" x14ac:dyDescent="0.2">
      <c r="B98" t="s">
        <v>163</v>
      </c>
      <c r="C98" s="18" t="s">
        <v>160</v>
      </c>
      <c r="D98" s="22">
        <f>$D87</f>
        <v>19269000000</v>
      </c>
      <c r="E98" s="22">
        <f>$E87</f>
        <v>20716000000</v>
      </c>
      <c r="F98" s="22">
        <f>$F87</f>
        <v>24512000000</v>
      </c>
      <c r="G98" s="23">
        <f t="shared" si="58"/>
        <v>20</v>
      </c>
      <c r="H98" s="4">
        <v>8504000000</v>
      </c>
      <c r="J98" s="20">
        <f t="shared" si="53"/>
        <v>8504000000</v>
      </c>
      <c r="K98" s="20">
        <f t="shared" si="55"/>
        <v>8146000000</v>
      </c>
      <c r="L98" s="20">
        <f t="shared" si="59"/>
        <v>8829000000</v>
      </c>
      <c r="M98" s="20">
        <f t="shared" si="60"/>
        <v>8198000000</v>
      </c>
      <c r="N98" s="20">
        <f t="shared" si="61"/>
        <v>7917000000</v>
      </c>
      <c r="O98" s="20">
        <f t="shared" si="62"/>
        <v>7544000000</v>
      </c>
      <c r="P98" s="20">
        <f t="shared" si="63"/>
        <v>8056000000</v>
      </c>
      <c r="Q98" s="20">
        <f>H91</f>
        <v>7653000000</v>
      </c>
      <c r="R98" s="20">
        <f>H90</f>
        <v>7142000000</v>
      </c>
      <c r="S98" s="20">
        <f>H89</f>
        <v>6659000000</v>
      </c>
      <c r="T98" s="20">
        <f>H88</f>
        <v>6739000000</v>
      </c>
      <c r="U98" s="20">
        <f>H87</f>
        <v>6984000000</v>
      </c>
      <c r="V98" s="20">
        <f>$F87/4</f>
        <v>6128000000</v>
      </c>
      <c r="W98" s="20">
        <f>$F87/4</f>
        <v>6128000000</v>
      </c>
      <c r="X98" s="20">
        <f>$F87/4</f>
        <v>6128000000</v>
      </c>
      <c r="Y98" s="20">
        <f>$F87/4</f>
        <v>6128000000</v>
      </c>
      <c r="Z98" s="20">
        <f>$E87/4</f>
        <v>5179000000</v>
      </c>
      <c r="AA98" s="20">
        <f>$E87/4</f>
        <v>5179000000</v>
      </c>
      <c r="AB98" s="20">
        <f>$E87/4</f>
        <v>5179000000</v>
      </c>
      <c r="AC98" s="20">
        <f>$E87/4</f>
        <v>5179000000</v>
      </c>
      <c r="AE98" s="21">
        <f t="shared" si="56"/>
        <v>6879950000</v>
      </c>
      <c r="AF98" s="21">
        <f t="shared" si="57"/>
        <v>78778200000</v>
      </c>
      <c r="AG98" s="21">
        <f t="shared" si="54"/>
        <v>1624050000</v>
      </c>
    </row>
    <row r="100" spans="1:33" x14ac:dyDescent="0.2">
      <c r="C100" t="s">
        <v>179</v>
      </c>
    </row>
    <row r="101" spans="1:33" x14ac:dyDescent="0.2">
      <c r="C101" s="6" t="s">
        <v>107</v>
      </c>
      <c r="D101" s="6" t="s">
        <v>439</v>
      </c>
      <c r="E101" s="6" t="s">
        <v>440</v>
      </c>
      <c r="F101" s="6" t="s">
        <v>471</v>
      </c>
      <c r="G101" s="6" t="s">
        <v>441</v>
      </c>
      <c r="H101" s="6" t="s">
        <v>442</v>
      </c>
      <c r="I101" s="15"/>
      <c r="J101" s="6" t="s">
        <v>443</v>
      </c>
      <c r="K101" s="6" t="s">
        <v>444</v>
      </c>
      <c r="L101" s="6" t="s">
        <v>445</v>
      </c>
      <c r="M101" s="6" t="s">
        <v>446</v>
      </c>
      <c r="N101" s="6" t="s">
        <v>447</v>
      </c>
      <c r="O101" s="6" t="s">
        <v>448</v>
      </c>
      <c r="P101" s="6" t="s">
        <v>449</v>
      </c>
      <c r="Q101" s="6" t="s">
        <v>450</v>
      </c>
      <c r="R101" s="6" t="s">
        <v>451</v>
      </c>
      <c r="S101" s="6" t="s">
        <v>452</v>
      </c>
      <c r="T101" s="6" t="s">
        <v>453</v>
      </c>
      <c r="U101" s="6" t="s">
        <v>454</v>
      </c>
      <c r="V101" s="6" t="s">
        <v>455</v>
      </c>
      <c r="W101" s="6" t="s">
        <v>456</v>
      </c>
      <c r="X101" s="6" t="s">
        <v>457</v>
      </c>
      <c r="Y101" s="6" t="s">
        <v>458</v>
      </c>
      <c r="Z101" s="6" t="s">
        <v>459</v>
      </c>
      <c r="AA101" s="6" t="s">
        <v>460</v>
      </c>
      <c r="AB101" s="6" t="s">
        <v>461</v>
      </c>
      <c r="AC101" s="6" t="s">
        <v>462</v>
      </c>
      <c r="AD101" s="15"/>
      <c r="AE101" s="6" t="s">
        <v>106</v>
      </c>
      <c r="AF101" s="6" t="s">
        <v>105</v>
      </c>
      <c r="AG101" s="6" t="s">
        <v>463</v>
      </c>
    </row>
    <row r="102" spans="1:33" x14ac:dyDescent="0.2">
      <c r="C102" s="16" t="s">
        <v>464</v>
      </c>
      <c r="J102" s="17">
        <v>20</v>
      </c>
      <c r="K102" s="17">
        <v>19</v>
      </c>
      <c r="L102" s="17">
        <v>18</v>
      </c>
      <c r="M102" s="17">
        <v>17</v>
      </c>
      <c r="N102" s="17">
        <v>16</v>
      </c>
      <c r="O102" s="17">
        <v>15</v>
      </c>
      <c r="P102" s="17">
        <v>14</v>
      </c>
      <c r="Q102" s="17">
        <v>13</v>
      </c>
      <c r="R102" s="17">
        <v>12</v>
      </c>
      <c r="S102" s="17">
        <v>11</v>
      </c>
      <c r="T102" s="17">
        <v>10</v>
      </c>
      <c r="U102" s="17">
        <v>9</v>
      </c>
      <c r="V102" s="17">
        <v>8</v>
      </c>
      <c r="W102" s="17">
        <v>7</v>
      </c>
      <c r="X102" s="17">
        <v>6</v>
      </c>
      <c r="Y102" s="17">
        <v>5</v>
      </c>
      <c r="Z102" s="17">
        <v>4</v>
      </c>
      <c r="AA102" s="17">
        <v>3</v>
      </c>
      <c r="AB102" s="17">
        <v>2</v>
      </c>
      <c r="AC102" s="17">
        <v>1</v>
      </c>
    </row>
    <row r="103" spans="1:33" x14ac:dyDescent="0.2">
      <c r="A103">
        <v>1</v>
      </c>
      <c r="B103" t="s">
        <v>179</v>
      </c>
      <c r="C103" s="18" t="s">
        <v>490</v>
      </c>
      <c r="G103" s="23">
        <f t="shared" ref="G103:G110" si="64">$G$13</f>
        <v>20</v>
      </c>
      <c r="H103" s="4">
        <v>311000000</v>
      </c>
      <c r="I103" s="20">
        <f>+H103/20</f>
        <v>15550000</v>
      </c>
      <c r="J103" s="20">
        <f>+H103-$I103</f>
        <v>295450000</v>
      </c>
      <c r="K103" s="20">
        <f>+J103-$I103</f>
        <v>279900000</v>
      </c>
      <c r="L103" s="20">
        <f t="shared" ref="L103" si="65">+K103-$I103</f>
        <v>264350000</v>
      </c>
      <c r="M103" s="20">
        <f t="shared" ref="M103:M104" si="66">+L103-$I103</f>
        <v>248800000</v>
      </c>
      <c r="N103" s="20">
        <f t="shared" ref="N103:N105" si="67">+M103-$I103</f>
        <v>233250000</v>
      </c>
      <c r="O103" s="20">
        <f t="shared" ref="O103:O107" si="68">+N103-$I103</f>
        <v>217700000</v>
      </c>
      <c r="P103" s="20">
        <f t="shared" ref="P103:P108" si="69">+O103-$I103</f>
        <v>202150000</v>
      </c>
      <c r="Q103" s="20">
        <f t="shared" ref="Q103:Q109" si="70">+P103-$I103</f>
        <v>186600000</v>
      </c>
      <c r="R103" s="20">
        <f t="shared" ref="R103:R110" si="71">+Q103-$I103</f>
        <v>171050000</v>
      </c>
      <c r="S103" s="20">
        <f t="shared" ref="S103:S111" si="72">+R103-$I103</f>
        <v>155500000</v>
      </c>
      <c r="T103" s="20">
        <f t="shared" ref="T103:T112" si="73">+S103-$I103</f>
        <v>139950000</v>
      </c>
      <c r="U103" s="20">
        <f t="shared" ref="U103:U113" si="74">+T103-$I103</f>
        <v>124400000</v>
      </c>
      <c r="V103" s="20">
        <f t="shared" ref="V103:V114" si="75">+U103-$I103</f>
        <v>108850000</v>
      </c>
      <c r="W103" s="20">
        <f t="shared" ref="W103:W115" si="76">+V103-$I103</f>
        <v>93300000</v>
      </c>
      <c r="X103" s="20">
        <f t="shared" ref="X103:X116" si="77">+W103-$I103</f>
        <v>77750000</v>
      </c>
      <c r="Y103" s="20">
        <f t="shared" ref="Y103:Y117" si="78">+X103-$I103</f>
        <v>62200000</v>
      </c>
      <c r="Z103" s="20">
        <f t="shared" ref="Z103:Z118" si="79">+Y103-$I103</f>
        <v>46650000</v>
      </c>
      <c r="AA103" s="20">
        <f t="shared" ref="AA103:AA119" si="80">+Z103-$I103</f>
        <v>31100000</v>
      </c>
      <c r="AB103" s="20">
        <f t="shared" ref="AB103:AB120" si="81">+AA103-$I103</f>
        <v>15550000</v>
      </c>
      <c r="AC103" s="20">
        <f t="shared" ref="AC103:AC121" si="82">+AB103-$I103</f>
        <v>0</v>
      </c>
      <c r="AE103" s="21">
        <f>SUM(I103)</f>
        <v>15550000</v>
      </c>
      <c r="AF103" s="21">
        <f>SUM(J103:J103)</f>
        <v>295450000</v>
      </c>
      <c r="AG103" s="21">
        <f t="shared" ref="AG103:AG122" si="83">H103-AE103</f>
        <v>295450000</v>
      </c>
    </row>
    <row r="104" spans="1:33" x14ac:dyDescent="0.2">
      <c r="A104">
        <v>2</v>
      </c>
      <c r="B104" t="s">
        <v>179</v>
      </c>
      <c r="C104" s="18" t="s">
        <v>491</v>
      </c>
      <c r="G104" s="23">
        <f t="shared" si="64"/>
        <v>20</v>
      </c>
      <c r="H104" s="4">
        <v>325300000</v>
      </c>
      <c r="I104" s="20">
        <f t="shared" ref="I104:I122" si="84">+H104/20</f>
        <v>16265000</v>
      </c>
      <c r="J104" s="20"/>
      <c r="K104" s="20">
        <f>+H104-I104</f>
        <v>309035000</v>
      </c>
      <c r="L104" s="20">
        <f>+K104-$I104</f>
        <v>292770000</v>
      </c>
      <c r="M104" s="20">
        <f t="shared" si="66"/>
        <v>276505000</v>
      </c>
      <c r="N104" s="20">
        <f t="shared" si="67"/>
        <v>260240000</v>
      </c>
      <c r="O104" s="20">
        <f t="shared" si="68"/>
        <v>243975000</v>
      </c>
      <c r="P104" s="20">
        <f t="shared" si="69"/>
        <v>227710000</v>
      </c>
      <c r="Q104" s="20">
        <f t="shared" si="70"/>
        <v>211445000</v>
      </c>
      <c r="R104" s="20">
        <f t="shared" si="71"/>
        <v>195180000</v>
      </c>
      <c r="S104" s="20">
        <f t="shared" si="72"/>
        <v>178915000</v>
      </c>
      <c r="T104" s="20">
        <f t="shared" si="73"/>
        <v>162650000</v>
      </c>
      <c r="U104" s="20">
        <f t="shared" si="74"/>
        <v>146385000</v>
      </c>
      <c r="V104" s="20">
        <f t="shared" si="75"/>
        <v>130120000</v>
      </c>
      <c r="W104" s="20">
        <f t="shared" si="76"/>
        <v>113855000</v>
      </c>
      <c r="X104" s="20">
        <f t="shared" si="77"/>
        <v>97590000</v>
      </c>
      <c r="Y104" s="20">
        <f t="shared" si="78"/>
        <v>81325000</v>
      </c>
      <c r="Z104" s="20">
        <f t="shared" si="79"/>
        <v>65060000</v>
      </c>
      <c r="AA104" s="20">
        <f t="shared" si="80"/>
        <v>48795000</v>
      </c>
      <c r="AB104" s="20">
        <f t="shared" si="81"/>
        <v>32530000</v>
      </c>
      <c r="AC104" s="20">
        <f t="shared" si="82"/>
        <v>16265000</v>
      </c>
      <c r="AE104" s="21">
        <f>SUM(I103:I104)</f>
        <v>31815000</v>
      </c>
      <c r="AF104" s="21">
        <f>SUM(K103:K104)</f>
        <v>588935000</v>
      </c>
      <c r="AG104" s="21">
        <f t="shared" si="83"/>
        <v>293485000</v>
      </c>
    </row>
    <row r="105" spans="1:33" x14ac:dyDescent="0.2">
      <c r="A105">
        <v>3</v>
      </c>
      <c r="B105" t="s">
        <v>179</v>
      </c>
      <c r="C105" s="18" t="s">
        <v>484</v>
      </c>
      <c r="G105" s="23">
        <f t="shared" si="64"/>
        <v>20</v>
      </c>
      <c r="H105" s="4">
        <v>339500000</v>
      </c>
      <c r="I105" s="20">
        <f t="shared" si="84"/>
        <v>16975000</v>
      </c>
      <c r="J105" s="20"/>
      <c r="K105" s="20"/>
      <c r="L105" s="20">
        <f>+H105-I105</f>
        <v>322525000</v>
      </c>
      <c r="M105" s="20">
        <f>+L105-$I105</f>
        <v>305550000</v>
      </c>
      <c r="N105" s="20">
        <f t="shared" si="67"/>
        <v>288575000</v>
      </c>
      <c r="O105" s="20">
        <f t="shared" si="68"/>
        <v>271600000</v>
      </c>
      <c r="P105" s="20">
        <f t="shared" si="69"/>
        <v>254625000</v>
      </c>
      <c r="Q105" s="20">
        <f t="shared" si="70"/>
        <v>237650000</v>
      </c>
      <c r="R105" s="20">
        <f t="shared" si="71"/>
        <v>220675000</v>
      </c>
      <c r="S105" s="20">
        <f t="shared" si="72"/>
        <v>203700000</v>
      </c>
      <c r="T105" s="20">
        <f t="shared" si="73"/>
        <v>186725000</v>
      </c>
      <c r="U105" s="20">
        <f t="shared" si="74"/>
        <v>169750000</v>
      </c>
      <c r="V105" s="20">
        <f t="shared" si="75"/>
        <v>152775000</v>
      </c>
      <c r="W105" s="20">
        <f t="shared" si="76"/>
        <v>135800000</v>
      </c>
      <c r="X105" s="20">
        <f t="shared" si="77"/>
        <v>118825000</v>
      </c>
      <c r="Y105" s="20">
        <f t="shared" si="78"/>
        <v>101850000</v>
      </c>
      <c r="Z105" s="20">
        <f t="shared" si="79"/>
        <v>84875000</v>
      </c>
      <c r="AA105" s="20">
        <f t="shared" si="80"/>
        <v>67900000</v>
      </c>
      <c r="AB105" s="20">
        <f t="shared" si="81"/>
        <v>50925000</v>
      </c>
      <c r="AC105" s="20">
        <f t="shared" si="82"/>
        <v>33950000</v>
      </c>
      <c r="AE105" s="21">
        <f>SUM(I103:I105)</f>
        <v>48790000</v>
      </c>
      <c r="AF105" s="21">
        <f>SUM(L103:L105)</f>
        <v>879645000</v>
      </c>
      <c r="AG105" s="21">
        <f t="shared" si="83"/>
        <v>290710000</v>
      </c>
    </row>
    <row r="106" spans="1:33" x14ac:dyDescent="0.2">
      <c r="A106">
        <v>4</v>
      </c>
      <c r="B106" t="s">
        <v>179</v>
      </c>
      <c r="C106" s="18" t="s">
        <v>485</v>
      </c>
      <c r="G106" s="23">
        <f t="shared" si="64"/>
        <v>20</v>
      </c>
      <c r="H106" s="4">
        <v>359000000</v>
      </c>
      <c r="I106" s="20">
        <f t="shared" si="84"/>
        <v>17950000</v>
      </c>
      <c r="J106" s="20"/>
      <c r="K106" s="20"/>
      <c r="L106" s="20"/>
      <c r="M106" s="20">
        <f>+H106-I106</f>
        <v>341050000</v>
      </c>
      <c r="N106" s="20">
        <f>+M106-$I106</f>
        <v>323100000</v>
      </c>
      <c r="O106" s="20">
        <f t="shared" si="68"/>
        <v>305150000</v>
      </c>
      <c r="P106" s="20">
        <f t="shared" si="69"/>
        <v>287200000</v>
      </c>
      <c r="Q106" s="20">
        <f t="shared" si="70"/>
        <v>269250000</v>
      </c>
      <c r="R106" s="20">
        <f t="shared" si="71"/>
        <v>251300000</v>
      </c>
      <c r="S106" s="20">
        <f t="shared" si="72"/>
        <v>233350000</v>
      </c>
      <c r="T106" s="20">
        <f t="shared" si="73"/>
        <v>215400000</v>
      </c>
      <c r="U106" s="20">
        <f t="shared" si="74"/>
        <v>197450000</v>
      </c>
      <c r="V106" s="20">
        <f t="shared" si="75"/>
        <v>179500000</v>
      </c>
      <c r="W106" s="20">
        <f t="shared" si="76"/>
        <v>161550000</v>
      </c>
      <c r="X106" s="20">
        <f t="shared" si="77"/>
        <v>143600000</v>
      </c>
      <c r="Y106" s="20">
        <f t="shared" si="78"/>
        <v>125650000</v>
      </c>
      <c r="Z106" s="20">
        <f t="shared" si="79"/>
        <v>107700000</v>
      </c>
      <c r="AA106" s="20">
        <f t="shared" si="80"/>
        <v>89750000</v>
      </c>
      <c r="AB106" s="20">
        <f t="shared" si="81"/>
        <v>71800000</v>
      </c>
      <c r="AC106" s="20">
        <f t="shared" si="82"/>
        <v>53850000</v>
      </c>
      <c r="AE106" s="21">
        <f>SUM(I103:I106)</f>
        <v>66740000</v>
      </c>
      <c r="AF106" s="21">
        <f>SUM(M103:M106)</f>
        <v>1171905000</v>
      </c>
      <c r="AG106" s="21">
        <f t="shared" si="83"/>
        <v>292260000</v>
      </c>
    </row>
    <row r="107" spans="1:33" x14ac:dyDescent="0.2">
      <c r="A107">
        <v>5</v>
      </c>
      <c r="B107" t="s">
        <v>179</v>
      </c>
      <c r="C107" s="18" t="s">
        <v>486</v>
      </c>
      <c r="G107" s="23">
        <f t="shared" si="64"/>
        <v>20</v>
      </c>
      <c r="H107" s="4">
        <v>355400000</v>
      </c>
      <c r="I107" s="20">
        <f t="shared" si="84"/>
        <v>17770000</v>
      </c>
      <c r="J107" s="20"/>
      <c r="K107" s="20"/>
      <c r="L107" s="20"/>
      <c r="M107" s="20"/>
      <c r="N107" s="20">
        <f>+H107-I107</f>
        <v>337630000</v>
      </c>
      <c r="O107" s="20">
        <f t="shared" si="68"/>
        <v>319860000</v>
      </c>
      <c r="P107" s="20">
        <f t="shared" si="69"/>
        <v>302090000</v>
      </c>
      <c r="Q107" s="20">
        <f t="shared" si="70"/>
        <v>284320000</v>
      </c>
      <c r="R107" s="20">
        <f t="shared" si="71"/>
        <v>266550000</v>
      </c>
      <c r="S107" s="20">
        <f t="shared" si="72"/>
        <v>248780000</v>
      </c>
      <c r="T107" s="20">
        <f t="shared" si="73"/>
        <v>231010000</v>
      </c>
      <c r="U107" s="20">
        <f t="shared" si="74"/>
        <v>213240000</v>
      </c>
      <c r="V107" s="20">
        <f t="shared" si="75"/>
        <v>195470000</v>
      </c>
      <c r="W107" s="20">
        <f t="shared" si="76"/>
        <v>177700000</v>
      </c>
      <c r="X107" s="20">
        <f t="shared" si="77"/>
        <v>159930000</v>
      </c>
      <c r="Y107" s="20">
        <f t="shared" si="78"/>
        <v>142160000</v>
      </c>
      <c r="Z107" s="20">
        <f t="shared" si="79"/>
        <v>124390000</v>
      </c>
      <c r="AA107" s="20">
        <f t="shared" si="80"/>
        <v>106620000</v>
      </c>
      <c r="AB107" s="20">
        <f t="shared" si="81"/>
        <v>88850000</v>
      </c>
      <c r="AC107" s="20">
        <f t="shared" si="82"/>
        <v>71080000</v>
      </c>
      <c r="AE107" s="21">
        <f>SUM(I103:I107)</f>
        <v>84510000</v>
      </c>
      <c r="AF107" s="21">
        <f>SUM(N103:N107)</f>
        <v>1442795000</v>
      </c>
      <c r="AG107" s="21">
        <f t="shared" si="83"/>
        <v>270890000</v>
      </c>
    </row>
    <row r="108" spans="1:33" x14ac:dyDescent="0.2">
      <c r="A108">
        <v>6</v>
      </c>
      <c r="B108" t="s">
        <v>179</v>
      </c>
      <c r="C108" s="18" t="s">
        <v>487</v>
      </c>
      <c r="G108" s="23">
        <f t="shared" si="64"/>
        <v>20</v>
      </c>
      <c r="H108" s="4">
        <v>363800000</v>
      </c>
      <c r="I108" s="20">
        <f t="shared" si="84"/>
        <v>18190000</v>
      </c>
      <c r="J108" s="20"/>
      <c r="K108" s="20"/>
      <c r="L108" s="20"/>
      <c r="M108" s="20"/>
      <c r="N108" s="20"/>
      <c r="O108" s="20">
        <f>+H108-I108</f>
        <v>345610000</v>
      </c>
      <c r="P108" s="20">
        <f t="shared" si="69"/>
        <v>327420000</v>
      </c>
      <c r="Q108" s="20">
        <f t="shared" si="70"/>
        <v>309230000</v>
      </c>
      <c r="R108" s="20">
        <f t="shared" si="71"/>
        <v>291040000</v>
      </c>
      <c r="S108" s="20">
        <f t="shared" si="72"/>
        <v>272850000</v>
      </c>
      <c r="T108" s="20">
        <f t="shared" si="73"/>
        <v>254660000</v>
      </c>
      <c r="U108" s="20">
        <f t="shared" si="74"/>
        <v>236470000</v>
      </c>
      <c r="V108" s="20">
        <f t="shared" si="75"/>
        <v>218280000</v>
      </c>
      <c r="W108" s="20">
        <f t="shared" si="76"/>
        <v>200090000</v>
      </c>
      <c r="X108" s="20">
        <f t="shared" si="77"/>
        <v>181900000</v>
      </c>
      <c r="Y108" s="20">
        <f t="shared" si="78"/>
        <v>163710000</v>
      </c>
      <c r="Z108" s="20">
        <f t="shared" si="79"/>
        <v>145520000</v>
      </c>
      <c r="AA108" s="20">
        <f t="shared" si="80"/>
        <v>127330000</v>
      </c>
      <c r="AB108" s="20">
        <f t="shared" si="81"/>
        <v>109140000</v>
      </c>
      <c r="AC108" s="20">
        <f t="shared" si="82"/>
        <v>90950000</v>
      </c>
      <c r="AE108" s="21">
        <f>SUM(I103:I108)</f>
        <v>102700000</v>
      </c>
      <c r="AF108" s="21">
        <f>SUM(O103:O108)</f>
        <v>1703895000</v>
      </c>
      <c r="AG108" s="21">
        <f t="shared" si="83"/>
        <v>261100000</v>
      </c>
    </row>
    <row r="109" spans="1:33" x14ac:dyDescent="0.2">
      <c r="A109">
        <v>7</v>
      </c>
      <c r="B109" t="s">
        <v>179</v>
      </c>
      <c r="C109" s="18" t="s">
        <v>104</v>
      </c>
      <c r="G109" s="23">
        <f t="shared" si="64"/>
        <v>20</v>
      </c>
      <c r="H109" s="4">
        <v>371800000</v>
      </c>
      <c r="I109" s="20">
        <f t="shared" si="84"/>
        <v>18590000</v>
      </c>
      <c r="J109" s="20"/>
      <c r="K109" s="20"/>
      <c r="L109" s="20"/>
      <c r="M109" s="20"/>
      <c r="N109" s="20"/>
      <c r="O109" s="20"/>
      <c r="P109" s="20">
        <f>+H109-I109</f>
        <v>353210000</v>
      </c>
      <c r="Q109" s="20">
        <f t="shared" si="70"/>
        <v>334620000</v>
      </c>
      <c r="R109" s="20">
        <f t="shared" si="71"/>
        <v>316030000</v>
      </c>
      <c r="S109" s="20">
        <f t="shared" si="72"/>
        <v>297440000</v>
      </c>
      <c r="T109" s="20">
        <f t="shared" si="73"/>
        <v>278850000</v>
      </c>
      <c r="U109" s="20">
        <f t="shared" si="74"/>
        <v>260260000</v>
      </c>
      <c r="V109" s="20">
        <f t="shared" si="75"/>
        <v>241670000</v>
      </c>
      <c r="W109" s="20">
        <f t="shared" si="76"/>
        <v>223080000</v>
      </c>
      <c r="X109" s="20">
        <f t="shared" si="77"/>
        <v>204490000</v>
      </c>
      <c r="Y109" s="20">
        <f t="shared" si="78"/>
        <v>185900000</v>
      </c>
      <c r="Z109" s="20">
        <f t="shared" si="79"/>
        <v>167310000</v>
      </c>
      <c r="AA109" s="20">
        <f t="shared" si="80"/>
        <v>148720000</v>
      </c>
      <c r="AB109" s="20">
        <f t="shared" si="81"/>
        <v>130130000</v>
      </c>
      <c r="AC109" s="20">
        <f t="shared" si="82"/>
        <v>111540000</v>
      </c>
      <c r="AE109" s="21">
        <f>SUM(I103:I109)</f>
        <v>121290000</v>
      </c>
      <c r="AF109" s="21">
        <f>SUM(P103:P109)</f>
        <v>1954405000</v>
      </c>
      <c r="AG109" s="21">
        <f t="shared" si="83"/>
        <v>250510000</v>
      </c>
    </row>
    <row r="110" spans="1:33" x14ac:dyDescent="0.2">
      <c r="A110">
        <v>8</v>
      </c>
      <c r="B110" t="s">
        <v>179</v>
      </c>
      <c r="C110" s="18" t="s">
        <v>103</v>
      </c>
      <c r="G110" s="23">
        <f t="shared" si="64"/>
        <v>20</v>
      </c>
      <c r="H110" s="4">
        <v>404100000</v>
      </c>
      <c r="I110" s="20">
        <f t="shared" si="84"/>
        <v>20205000</v>
      </c>
      <c r="J110" s="20"/>
      <c r="K110" s="20"/>
      <c r="L110" s="20"/>
      <c r="M110" s="20"/>
      <c r="N110" s="20"/>
      <c r="O110" s="20"/>
      <c r="P110" s="20"/>
      <c r="Q110" s="20">
        <f>+H110-I110</f>
        <v>383895000</v>
      </c>
      <c r="R110" s="20">
        <f t="shared" si="71"/>
        <v>363690000</v>
      </c>
      <c r="S110" s="20">
        <f t="shared" si="72"/>
        <v>343485000</v>
      </c>
      <c r="T110" s="20">
        <f t="shared" si="73"/>
        <v>323280000</v>
      </c>
      <c r="U110" s="20">
        <f t="shared" si="74"/>
        <v>303075000</v>
      </c>
      <c r="V110" s="20">
        <f t="shared" si="75"/>
        <v>282870000</v>
      </c>
      <c r="W110" s="20">
        <f t="shared" si="76"/>
        <v>262665000</v>
      </c>
      <c r="X110" s="20">
        <f t="shared" si="77"/>
        <v>242460000</v>
      </c>
      <c r="Y110" s="20">
        <f t="shared" si="78"/>
        <v>222255000</v>
      </c>
      <c r="Z110" s="20">
        <f t="shared" si="79"/>
        <v>202050000</v>
      </c>
      <c r="AA110" s="20">
        <f t="shared" si="80"/>
        <v>181845000</v>
      </c>
      <c r="AB110" s="20">
        <f t="shared" si="81"/>
        <v>161640000</v>
      </c>
      <c r="AC110" s="20">
        <f t="shared" si="82"/>
        <v>141435000</v>
      </c>
      <c r="AE110" s="21">
        <f>SUM(I103:I110)</f>
        <v>141495000</v>
      </c>
      <c r="AF110" s="21">
        <f>SUM(Q103:Q110)</f>
        <v>2217010000</v>
      </c>
      <c r="AG110" s="21">
        <f t="shared" si="83"/>
        <v>262605000</v>
      </c>
    </row>
    <row r="111" spans="1:33" x14ac:dyDescent="0.2">
      <c r="A111">
        <v>9</v>
      </c>
      <c r="B111" t="s">
        <v>179</v>
      </c>
      <c r="C111" s="18" t="s">
        <v>102</v>
      </c>
      <c r="D111" s="4">
        <v>3924000000</v>
      </c>
      <c r="E111" s="4">
        <v>5268000000</v>
      </c>
      <c r="F111" s="4">
        <v>7339000000</v>
      </c>
      <c r="G111" s="19">
        <v>20</v>
      </c>
      <c r="H111" s="4">
        <v>413700000</v>
      </c>
      <c r="I111" s="20">
        <f t="shared" si="84"/>
        <v>20685000</v>
      </c>
      <c r="J111" s="20"/>
      <c r="K111" s="20"/>
      <c r="L111" s="20"/>
      <c r="M111" s="20"/>
      <c r="N111" s="20"/>
      <c r="O111" s="20"/>
      <c r="P111" s="20"/>
      <c r="Q111" s="20"/>
      <c r="R111" s="20">
        <f>+H111-I111</f>
        <v>393015000</v>
      </c>
      <c r="S111" s="20">
        <f t="shared" si="72"/>
        <v>372330000</v>
      </c>
      <c r="T111" s="20">
        <f t="shared" si="73"/>
        <v>351645000</v>
      </c>
      <c r="U111" s="20">
        <f t="shared" si="74"/>
        <v>330960000</v>
      </c>
      <c r="V111" s="20">
        <f t="shared" si="75"/>
        <v>310275000</v>
      </c>
      <c r="W111" s="20">
        <f t="shared" si="76"/>
        <v>289590000</v>
      </c>
      <c r="X111" s="20">
        <f t="shared" si="77"/>
        <v>268905000</v>
      </c>
      <c r="Y111" s="20">
        <f t="shared" si="78"/>
        <v>248220000</v>
      </c>
      <c r="Z111" s="20">
        <f t="shared" si="79"/>
        <v>227535000</v>
      </c>
      <c r="AA111" s="20">
        <f t="shared" si="80"/>
        <v>206850000</v>
      </c>
      <c r="AB111" s="20">
        <f t="shared" si="81"/>
        <v>186165000</v>
      </c>
      <c r="AC111" s="20">
        <f t="shared" si="82"/>
        <v>165480000</v>
      </c>
      <c r="AE111" s="21">
        <f>SUM(I103:I111)</f>
        <v>162180000</v>
      </c>
      <c r="AF111" s="21">
        <f>SUM(R103:R111)</f>
        <v>2468530000</v>
      </c>
      <c r="AG111" s="21">
        <f t="shared" si="83"/>
        <v>251520000</v>
      </c>
    </row>
    <row r="112" spans="1:33" x14ac:dyDescent="0.2">
      <c r="A112">
        <v>10</v>
      </c>
      <c r="B112" t="s">
        <v>179</v>
      </c>
      <c r="C112" s="18" t="s">
        <v>101</v>
      </c>
      <c r="D112" s="22">
        <f>$D111</f>
        <v>3924000000</v>
      </c>
      <c r="E112" s="22">
        <f>$E111</f>
        <v>5268000000</v>
      </c>
      <c r="F112" s="22">
        <f>$F111</f>
        <v>7339000000</v>
      </c>
      <c r="G112" s="23">
        <f>$G$13</f>
        <v>20</v>
      </c>
      <c r="H112" s="4">
        <v>414399999.99999994</v>
      </c>
      <c r="I112" s="20">
        <f t="shared" si="84"/>
        <v>20719999.999999996</v>
      </c>
      <c r="J112" s="20"/>
      <c r="K112" s="20"/>
      <c r="L112" s="20"/>
      <c r="M112" s="20"/>
      <c r="N112" s="20"/>
      <c r="O112" s="20"/>
      <c r="P112" s="20"/>
      <c r="Q112" s="20"/>
      <c r="R112" s="20"/>
      <c r="S112" s="20">
        <f>+H112-I112</f>
        <v>393679999.99999994</v>
      </c>
      <c r="T112" s="20">
        <f t="shared" si="73"/>
        <v>372959999.99999994</v>
      </c>
      <c r="U112" s="20">
        <f t="shared" si="74"/>
        <v>352239999.99999994</v>
      </c>
      <c r="V112" s="20">
        <f t="shared" si="75"/>
        <v>331519999.99999994</v>
      </c>
      <c r="W112" s="20">
        <f t="shared" si="76"/>
        <v>310799999.99999994</v>
      </c>
      <c r="X112" s="20">
        <f t="shared" si="77"/>
        <v>290079999.99999994</v>
      </c>
      <c r="Y112" s="20">
        <f t="shared" si="78"/>
        <v>269359999.99999994</v>
      </c>
      <c r="Z112" s="20">
        <f t="shared" si="79"/>
        <v>248639999.99999994</v>
      </c>
      <c r="AA112" s="20">
        <f t="shared" si="80"/>
        <v>227919999.99999994</v>
      </c>
      <c r="AB112" s="20">
        <f t="shared" si="81"/>
        <v>207199999.99999994</v>
      </c>
      <c r="AC112" s="20">
        <f t="shared" si="82"/>
        <v>186479999.99999994</v>
      </c>
      <c r="AE112" s="21">
        <f>SUM(I103:I112)</f>
        <v>182900000</v>
      </c>
      <c r="AF112" s="21">
        <f>SUM(S103:S112)</f>
        <v>2700030000</v>
      </c>
      <c r="AG112" s="21">
        <f t="shared" si="83"/>
        <v>231499999.99999994</v>
      </c>
    </row>
    <row r="113" spans="1:33" x14ac:dyDescent="0.2">
      <c r="A113">
        <v>11</v>
      </c>
      <c r="B113" t="s">
        <v>179</v>
      </c>
      <c r="C113" s="18" t="s">
        <v>100</v>
      </c>
      <c r="D113" s="22">
        <f>$D111</f>
        <v>3924000000</v>
      </c>
      <c r="E113" s="22">
        <f>$E111</f>
        <v>5268000000</v>
      </c>
      <c r="F113" s="22">
        <f>$F111</f>
        <v>7339000000</v>
      </c>
      <c r="G113" s="23">
        <f t="shared" ref="G113:G122" si="85">$G$13</f>
        <v>20</v>
      </c>
      <c r="H113" s="4">
        <v>409500000</v>
      </c>
      <c r="I113" s="20">
        <f t="shared" si="84"/>
        <v>20475000</v>
      </c>
      <c r="J113" s="20"/>
      <c r="K113" s="20"/>
      <c r="L113" s="20"/>
      <c r="M113" s="20"/>
      <c r="N113" s="20"/>
      <c r="O113" s="20"/>
      <c r="P113" s="20"/>
      <c r="Q113" s="20"/>
      <c r="R113" s="20"/>
      <c r="S113" s="20"/>
      <c r="T113" s="20">
        <f>+H113-I113</f>
        <v>389025000</v>
      </c>
      <c r="U113" s="20">
        <f t="shared" si="74"/>
        <v>368550000</v>
      </c>
      <c r="V113" s="20">
        <f t="shared" si="75"/>
        <v>348075000</v>
      </c>
      <c r="W113" s="20">
        <f t="shared" si="76"/>
        <v>327600000</v>
      </c>
      <c r="X113" s="20">
        <f t="shared" si="77"/>
        <v>307125000</v>
      </c>
      <c r="Y113" s="20">
        <f t="shared" si="78"/>
        <v>286650000</v>
      </c>
      <c r="Z113" s="20">
        <f t="shared" si="79"/>
        <v>266175000</v>
      </c>
      <c r="AA113" s="20">
        <f t="shared" si="80"/>
        <v>245700000</v>
      </c>
      <c r="AB113" s="20">
        <f t="shared" si="81"/>
        <v>225225000</v>
      </c>
      <c r="AC113" s="20">
        <f t="shared" si="82"/>
        <v>204750000</v>
      </c>
      <c r="AE113" s="21">
        <f>SUM(I103:I113)</f>
        <v>203375000</v>
      </c>
      <c r="AF113" s="21">
        <f>SUM(T103:T113)</f>
        <v>2906155000</v>
      </c>
      <c r="AG113" s="21">
        <f t="shared" si="83"/>
        <v>206125000</v>
      </c>
    </row>
    <row r="114" spans="1:33" x14ac:dyDescent="0.2">
      <c r="A114">
        <v>12</v>
      </c>
      <c r="B114" t="s">
        <v>179</v>
      </c>
      <c r="C114" s="18" t="s">
        <v>99</v>
      </c>
      <c r="D114" s="22">
        <f>$D111</f>
        <v>3924000000</v>
      </c>
      <c r="E114" s="22">
        <f>$E111</f>
        <v>5268000000</v>
      </c>
      <c r="F114" s="22">
        <f>$F111</f>
        <v>7339000000</v>
      </c>
      <c r="G114" s="23">
        <f t="shared" si="85"/>
        <v>20</v>
      </c>
      <c r="H114" s="4">
        <v>447900000</v>
      </c>
      <c r="I114" s="20">
        <f t="shared" si="84"/>
        <v>22395000</v>
      </c>
      <c r="J114" s="20"/>
      <c r="K114" s="20"/>
      <c r="L114" s="20"/>
      <c r="M114" s="20"/>
      <c r="N114" s="20"/>
      <c r="O114" s="20"/>
      <c r="P114" s="20"/>
      <c r="Q114" s="20"/>
      <c r="R114" s="20"/>
      <c r="S114" s="20"/>
      <c r="T114" s="20"/>
      <c r="U114" s="20">
        <f>+H114-I114</f>
        <v>425505000</v>
      </c>
      <c r="V114" s="20">
        <f t="shared" si="75"/>
        <v>403110000</v>
      </c>
      <c r="W114" s="20">
        <f t="shared" si="76"/>
        <v>380715000</v>
      </c>
      <c r="X114" s="20">
        <f t="shared" si="77"/>
        <v>358320000</v>
      </c>
      <c r="Y114" s="20">
        <f t="shared" si="78"/>
        <v>335925000</v>
      </c>
      <c r="Z114" s="20">
        <f t="shared" si="79"/>
        <v>313530000</v>
      </c>
      <c r="AA114" s="20">
        <f t="shared" si="80"/>
        <v>291135000</v>
      </c>
      <c r="AB114" s="20">
        <f t="shared" si="81"/>
        <v>268740000</v>
      </c>
      <c r="AC114" s="20">
        <f t="shared" si="82"/>
        <v>246345000</v>
      </c>
      <c r="AE114" s="21">
        <f>SUM(I103:I114)</f>
        <v>225770000</v>
      </c>
      <c r="AF114" s="21">
        <f>SUM(U103:U114)</f>
        <v>3128285000</v>
      </c>
      <c r="AG114" s="21">
        <f t="shared" si="83"/>
        <v>222130000</v>
      </c>
    </row>
    <row r="115" spans="1:33" x14ac:dyDescent="0.2">
      <c r="A115">
        <v>13</v>
      </c>
      <c r="B115" t="s">
        <v>179</v>
      </c>
      <c r="C115" s="18" t="s">
        <v>98</v>
      </c>
      <c r="D115" s="22">
        <f>$D111</f>
        <v>3924000000</v>
      </c>
      <c r="E115" s="22">
        <f>$E111</f>
        <v>5268000000</v>
      </c>
      <c r="F115" s="22">
        <f>$F111</f>
        <v>7339000000</v>
      </c>
      <c r="G115" s="23">
        <f t="shared" si="85"/>
        <v>20</v>
      </c>
      <c r="H115" s="4">
        <v>457200000</v>
      </c>
      <c r="I115" s="20">
        <f t="shared" si="84"/>
        <v>22860000</v>
      </c>
      <c r="J115" s="20"/>
      <c r="K115" s="20"/>
      <c r="L115" s="20"/>
      <c r="M115" s="20"/>
      <c r="N115" s="20"/>
      <c r="O115" s="20"/>
      <c r="P115" s="20"/>
      <c r="Q115" s="20"/>
      <c r="R115" s="20"/>
      <c r="S115" s="20"/>
      <c r="T115" s="20"/>
      <c r="U115" s="20"/>
      <c r="V115" s="20">
        <f>+H115-I115</f>
        <v>434340000</v>
      </c>
      <c r="W115" s="20">
        <f t="shared" si="76"/>
        <v>411480000</v>
      </c>
      <c r="X115" s="20">
        <f t="shared" si="77"/>
        <v>388620000</v>
      </c>
      <c r="Y115" s="20">
        <f t="shared" si="78"/>
        <v>365760000</v>
      </c>
      <c r="Z115" s="20">
        <f t="shared" si="79"/>
        <v>342900000</v>
      </c>
      <c r="AA115" s="20">
        <f t="shared" si="80"/>
        <v>320040000</v>
      </c>
      <c r="AB115" s="20">
        <f t="shared" si="81"/>
        <v>297180000</v>
      </c>
      <c r="AC115" s="20">
        <f t="shared" si="82"/>
        <v>274320000</v>
      </c>
      <c r="AE115" s="21">
        <f>SUM(I103:I115)</f>
        <v>248630000</v>
      </c>
      <c r="AF115" s="21">
        <f>SUM(V103:V115)</f>
        <v>3336855000</v>
      </c>
      <c r="AG115" s="21">
        <f t="shared" si="83"/>
        <v>208570000</v>
      </c>
    </row>
    <row r="116" spans="1:33" x14ac:dyDescent="0.2">
      <c r="A116">
        <v>14</v>
      </c>
      <c r="B116" t="s">
        <v>179</v>
      </c>
      <c r="C116" s="18" t="s">
        <v>97</v>
      </c>
      <c r="D116" s="22">
        <f>$D111</f>
        <v>3924000000</v>
      </c>
      <c r="E116" s="22">
        <f>$E111</f>
        <v>5268000000</v>
      </c>
      <c r="F116" s="22">
        <f>$F111</f>
        <v>7339000000</v>
      </c>
      <c r="G116" s="23">
        <f t="shared" si="85"/>
        <v>20</v>
      </c>
      <c r="H116" s="4">
        <v>494800000.00000006</v>
      </c>
      <c r="I116" s="20">
        <f t="shared" si="84"/>
        <v>24740000.000000004</v>
      </c>
      <c r="J116" s="20"/>
      <c r="K116" s="20"/>
      <c r="L116" s="20"/>
      <c r="M116" s="20"/>
      <c r="N116" s="20"/>
      <c r="O116" s="20"/>
      <c r="P116" s="20"/>
      <c r="Q116" s="20"/>
      <c r="R116" s="20"/>
      <c r="S116" s="20"/>
      <c r="T116" s="20"/>
      <c r="U116" s="20"/>
      <c r="V116" s="20"/>
      <c r="W116" s="20">
        <f>+H116-I116</f>
        <v>470060000.00000006</v>
      </c>
      <c r="X116" s="20">
        <f t="shared" si="77"/>
        <v>445320000.00000006</v>
      </c>
      <c r="Y116" s="20">
        <f t="shared" si="78"/>
        <v>420580000.00000006</v>
      </c>
      <c r="Z116" s="20">
        <f t="shared" si="79"/>
        <v>395840000.00000006</v>
      </c>
      <c r="AA116" s="20">
        <f t="shared" si="80"/>
        <v>371100000.00000006</v>
      </c>
      <c r="AB116" s="20">
        <f t="shared" si="81"/>
        <v>346360000.00000006</v>
      </c>
      <c r="AC116" s="20">
        <f t="shared" si="82"/>
        <v>321620000.00000006</v>
      </c>
      <c r="AE116" s="21">
        <f>SUM(I103:I116)</f>
        <v>273370000</v>
      </c>
      <c r="AF116" s="21">
        <f>SUM(W103:W116)</f>
        <v>3558285000</v>
      </c>
      <c r="AG116" s="21">
        <f t="shared" si="83"/>
        <v>221430000.00000006</v>
      </c>
    </row>
    <row r="117" spans="1:33" x14ac:dyDescent="0.2">
      <c r="A117">
        <v>15</v>
      </c>
      <c r="B117" t="s">
        <v>179</v>
      </c>
      <c r="C117" s="18" t="s">
        <v>96</v>
      </c>
      <c r="D117" s="22">
        <f>$D111</f>
        <v>3924000000</v>
      </c>
      <c r="E117" s="22">
        <f>$E111</f>
        <v>5268000000</v>
      </c>
      <c r="F117" s="22">
        <f>$F111</f>
        <v>7339000000</v>
      </c>
      <c r="G117" s="23">
        <f t="shared" si="85"/>
        <v>20</v>
      </c>
      <c r="H117" s="4">
        <v>480400000</v>
      </c>
      <c r="I117" s="20">
        <f t="shared" si="84"/>
        <v>24020000</v>
      </c>
      <c r="J117" s="20"/>
      <c r="K117" s="20"/>
      <c r="L117" s="20"/>
      <c r="M117" s="20"/>
      <c r="N117" s="20"/>
      <c r="O117" s="20"/>
      <c r="P117" s="20"/>
      <c r="Q117" s="20"/>
      <c r="R117" s="20"/>
      <c r="S117" s="20"/>
      <c r="T117" s="20"/>
      <c r="U117" s="20"/>
      <c r="V117" s="20"/>
      <c r="W117" s="20"/>
      <c r="X117" s="20">
        <f>+H117-I117</f>
        <v>456380000</v>
      </c>
      <c r="Y117" s="20">
        <f t="shared" si="78"/>
        <v>432360000</v>
      </c>
      <c r="Z117" s="20">
        <f t="shared" si="79"/>
        <v>408340000</v>
      </c>
      <c r="AA117" s="20">
        <f t="shared" si="80"/>
        <v>384320000</v>
      </c>
      <c r="AB117" s="20">
        <f t="shared" si="81"/>
        <v>360300000</v>
      </c>
      <c r="AC117" s="20">
        <f t="shared" si="82"/>
        <v>336280000</v>
      </c>
      <c r="AE117" s="21">
        <f>SUM(I103:I117)</f>
        <v>297390000</v>
      </c>
      <c r="AF117" s="21">
        <f>SUM(X103:X117)</f>
        <v>3741295000</v>
      </c>
      <c r="AG117" s="21">
        <f t="shared" si="83"/>
        <v>183010000</v>
      </c>
    </row>
    <row r="118" spans="1:33" x14ac:dyDescent="0.2">
      <c r="A118">
        <v>16</v>
      </c>
      <c r="B118" t="s">
        <v>179</v>
      </c>
      <c r="C118" s="18" t="s">
        <v>95</v>
      </c>
      <c r="D118" s="22">
        <f>$D111</f>
        <v>3924000000</v>
      </c>
      <c r="E118" s="22">
        <f>$E111</f>
        <v>5268000000</v>
      </c>
      <c r="F118" s="22">
        <f>$F111</f>
        <v>7339000000</v>
      </c>
      <c r="G118" s="23">
        <f t="shared" si="85"/>
        <v>20</v>
      </c>
      <c r="H118" s="4">
        <v>505700000</v>
      </c>
      <c r="I118" s="20">
        <f t="shared" si="84"/>
        <v>25285000</v>
      </c>
      <c r="J118" s="20"/>
      <c r="K118" s="20"/>
      <c r="L118" s="20"/>
      <c r="M118" s="20"/>
      <c r="N118" s="20"/>
      <c r="O118" s="20"/>
      <c r="P118" s="20"/>
      <c r="Q118" s="20"/>
      <c r="R118" s="20"/>
      <c r="S118" s="20"/>
      <c r="T118" s="20"/>
      <c r="U118" s="20"/>
      <c r="V118" s="20"/>
      <c r="W118" s="20"/>
      <c r="X118" s="20"/>
      <c r="Y118" s="20">
        <f>+H118-I118</f>
        <v>480415000</v>
      </c>
      <c r="Z118" s="20">
        <f t="shared" si="79"/>
        <v>455130000</v>
      </c>
      <c r="AA118" s="20">
        <f t="shared" si="80"/>
        <v>429845000</v>
      </c>
      <c r="AB118" s="20">
        <f t="shared" si="81"/>
        <v>404560000</v>
      </c>
      <c r="AC118" s="20">
        <f t="shared" si="82"/>
        <v>379275000</v>
      </c>
      <c r="AE118" s="21">
        <f>SUM(I103:I118)</f>
        <v>322675000</v>
      </c>
      <c r="AF118" s="21">
        <f>SUM(Y103:Y118)</f>
        <v>3924320000</v>
      </c>
      <c r="AG118" s="21">
        <f t="shared" si="83"/>
        <v>183025000</v>
      </c>
    </row>
    <row r="119" spans="1:33" x14ac:dyDescent="0.2">
      <c r="A119">
        <v>17</v>
      </c>
      <c r="B119" t="s">
        <v>179</v>
      </c>
      <c r="C119" s="18" t="s">
        <v>94</v>
      </c>
      <c r="D119" s="22">
        <f>$D111</f>
        <v>3924000000</v>
      </c>
      <c r="E119" s="22">
        <f>$E111</f>
        <v>5268000000</v>
      </c>
      <c r="F119" s="22">
        <f>$F111</f>
        <v>7339000000</v>
      </c>
      <c r="G119" s="23">
        <f t="shared" si="85"/>
        <v>20</v>
      </c>
      <c r="H119" s="4">
        <v>494500000</v>
      </c>
      <c r="I119" s="20">
        <f t="shared" si="84"/>
        <v>24725000</v>
      </c>
      <c r="J119" s="20"/>
      <c r="K119" s="20"/>
      <c r="L119" s="20"/>
      <c r="M119" s="20"/>
      <c r="N119" s="20"/>
      <c r="O119" s="20"/>
      <c r="P119" s="20"/>
      <c r="Q119" s="20"/>
      <c r="R119" s="20"/>
      <c r="S119" s="20"/>
      <c r="T119" s="20"/>
      <c r="U119" s="20"/>
      <c r="V119" s="20"/>
      <c r="W119" s="20"/>
      <c r="X119" s="20"/>
      <c r="Y119" s="20"/>
      <c r="Z119" s="20">
        <f>+H119-I119</f>
        <v>469775000</v>
      </c>
      <c r="AA119" s="20">
        <f t="shared" si="80"/>
        <v>445050000</v>
      </c>
      <c r="AB119" s="20">
        <f t="shared" si="81"/>
        <v>420325000</v>
      </c>
      <c r="AC119" s="20">
        <f t="shared" si="82"/>
        <v>395600000</v>
      </c>
      <c r="AE119" s="21">
        <f>SUM(I103:I119)</f>
        <v>347400000</v>
      </c>
      <c r="AF119" s="21">
        <f>SUM(Z103:Z119)</f>
        <v>4071420000</v>
      </c>
      <c r="AG119" s="21">
        <f t="shared" si="83"/>
        <v>147100000</v>
      </c>
    </row>
    <row r="120" spans="1:33" x14ac:dyDescent="0.2">
      <c r="A120">
        <v>18</v>
      </c>
      <c r="B120" t="s">
        <v>179</v>
      </c>
      <c r="C120" s="18" t="s">
        <v>93</v>
      </c>
      <c r="D120" s="22">
        <f>$D111</f>
        <v>3924000000</v>
      </c>
      <c r="E120" s="22">
        <f>$E111</f>
        <v>5268000000</v>
      </c>
      <c r="F120" s="22">
        <f>$F111</f>
        <v>7339000000</v>
      </c>
      <c r="G120" s="23">
        <f t="shared" si="85"/>
        <v>20</v>
      </c>
      <c r="H120" s="4">
        <v>503499999.99999988</v>
      </c>
      <c r="I120" s="20">
        <f t="shared" si="84"/>
        <v>25174999.999999993</v>
      </c>
      <c r="J120" s="20"/>
      <c r="K120" s="20"/>
      <c r="L120" s="20"/>
      <c r="M120" s="20"/>
      <c r="N120" s="20"/>
      <c r="O120" s="20"/>
      <c r="P120" s="20"/>
      <c r="Q120" s="20"/>
      <c r="R120" s="20"/>
      <c r="S120" s="20"/>
      <c r="T120" s="20"/>
      <c r="U120" s="20"/>
      <c r="V120" s="20"/>
      <c r="W120" s="20"/>
      <c r="X120" s="20"/>
      <c r="Y120" s="20"/>
      <c r="Z120" s="20"/>
      <c r="AA120" s="20">
        <f>+H120-I120</f>
        <v>478324999.99999988</v>
      </c>
      <c r="AB120" s="20">
        <f t="shared" si="81"/>
        <v>453149999.99999988</v>
      </c>
      <c r="AC120" s="20">
        <f t="shared" si="82"/>
        <v>427974999.99999988</v>
      </c>
      <c r="AE120" s="21">
        <f>SUM(I103:I120)</f>
        <v>372575000</v>
      </c>
      <c r="AF120" s="21">
        <f>SUM(AA103:AA120)</f>
        <v>4202345000</v>
      </c>
      <c r="AG120" s="21">
        <f t="shared" si="83"/>
        <v>130924999.99999988</v>
      </c>
    </row>
    <row r="121" spans="1:33" x14ac:dyDescent="0.2">
      <c r="A121">
        <v>19</v>
      </c>
      <c r="B121" t="s">
        <v>179</v>
      </c>
      <c r="C121" s="18" t="s">
        <v>141</v>
      </c>
      <c r="D121" s="22">
        <f>$D111</f>
        <v>3924000000</v>
      </c>
      <c r="E121" s="22">
        <f>$E111</f>
        <v>5268000000</v>
      </c>
      <c r="F121" s="22">
        <f>$F111</f>
        <v>7339000000</v>
      </c>
      <c r="G121" s="23">
        <f t="shared" si="85"/>
        <v>20</v>
      </c>
      <c r="H121" s="4">
        <v>528000000</v>
      </c>
      <c r="I121" s="20">
        <f t="shared" si="84"/>
        <v>26400000</v>
      </c>
      <c r="J121" s="20"/>
      <c r="K121" s="20"/>
      <c r="L121" s="20"/>
      <c r="M121" s="20"/>
      <c r="N121" s="20"/>
      <c r="O121" s="20"/>
      <c r="P121" s="20"/>
      <c r="Q121" s="20"/>
      <c r="R121" s="20"/>
      <c r="S121" s="20"/>
      <c r="T121" s="20"/>
      <c r="U121" s="20"/>
      <c r="V121" s="20"/>
      <c r="W121" s="20"/>
      <c r="X121" s="20"/>
      <c r="Y121" s="20"/>
      <c r="Z121" s="20"/>
      <c r="AA121" s="20"/>
      <c r="AB121" s="20">
        <f>+H121-I121</f>
        <v>501600000</v>
      </c>
      <c r="AC121" s="20">
        <f t="shared" si="82"/>
        <v>475200000</v>
      </c>
      <c r="AE121" s="21">
        <f>SUM(I103:I121)</f>
        <v>398975000</v>
      </c>
      <c r="AF121" s="21">
        <f>SUM(AB103:AB121)</f>
        <v>4331370000</v>
      </c>
      <c r="AG121" s="21">
        <f t="shared" si="83"/>
        <v>129025000</v>
      </c>
    </row>
    <row r="122" spans="1:33" x14ac:dyDescent="0.2">
      <c r="A122">
        <v>20</v>
      </c>
      <c r="B122" t="s">
        <v>179</v>
      </c>
      <c r="C122" s="18" t="s">
        <v>160</v>
      </c>
      <c r="D122" s="22">
        <f>$D111</f>
        <v>3924000000</v>
      </c>
      <c r="E122" s="22">
        <f>$E111</f>
        <v>5268000000</v>
      </c>
      <c r="F122" s="22">
        <f>$F111</f>
        <v>7339000000</v>
      </c>
      <c r="G122" s="23">
        <f t="shared" si="85"/>
        <v>20</v>
      </c>
      <c r="H122" s="4">
        <v>511000000</v>
      </c>
      <c r="I122" s="20">
        <f t="shared" si="84"/>
        <v>25550000</v>
      </c>
      <c r="J122" s="20"/>
      <c r="K122" s="20"/>
      <c r="L122" s="20"/>
      <c r="M122" s="20"/>
      <c r="N122" s="20"/>
      <c r="O122" s="20"/>
      <c r="P122" s="20"/>
      <c r="Q122" s="20"/>
      <c r="R122" s="20"/>
      <c r="S122" s="20"/>
      <c r="T122" s="20"/>
      <c r="U122" s="20"/>
      <c r="V122" s="20"/>
      <c r="W122" s="20"/>
      <c r="X122" s="20"/>
      <c r="Y122" s="20"/>
      <c r="Z122" s="20"/>
      <c r="AA122" s="20"/>
      <c r="AB122" s="20"/>
      <c r="AC122" s="20">
        <f>+H122-I122</f>
        <v>485450000</v>
      </c>
      <c r="AE122" s="21">
        <f>SUM(I103:I122)</f>
        <v>424525000</v>
      </c>
      <c r="AF122" s="21">
        <f>SUM(AC103:AC122)</f>
        <v>4417845000</v>
      </c>
      <c r="AG122" s="21">
        <f t="shared" si="83"/>
        <v>86475000</v>
      </c>
    </row>
    <row r="125" spans="1:33" x14ac:dyDescent="0.2">
      <c r="I125" s="3"/>
    </row>
    <row r="126" spans="1:33" x14ac:dyDescent="0.2">
      <c r="C126" t="s">
        <v>303</v>
      </c>
    </row>
    <row r="127" spans="1:33" x14ac:dyDescent="0.2">
      <c r="C127" s="6" t="s">
        <v>107</v>
      </c>
      <c r="D127" s="6" t="s">
        <v>438</v>
      </c>
      <c r="E127" s="6" t="s">
        <v>439</v>
      </c>
      <c r="F127" s="6" t="s">
        <v>440</v>
      </c>
      <c r="G127" s="6" t="s">
        <v>441</v>
      </c>
      <c r="H127" s="6" t="s">
        <v>442</v>
      </c>
      <c r="I127" s="15"/>
      <c r="J127" s="6" t="s">
        <v>443</v>
      </c>
      <c r="K127" s="6" t="s">
        <v>444</v>
      </c>
      <c r="L127" s="6" t="s">
        <v>445</v>
      </c>
      <c r="M127" s="6" t="s">
        <v>446</v>
      </c>
      <c r="N127" s="6" t="s">
        <v>447</v>
      </c>
      <c r="O127" s="6" t="s">
        <v>448</v>
      </c>
      <c r="P127" s="6" t="s">
        <v>449</v>
      </c>
      <c r="Q127" s="6" t="s">
        <v>450</v>
      </c>
      <c r="R127" s="6" t="s">
        <v>451</v>
      </c>
      <c r="S127" s="6" t="s">
        <v>452</v>
      </c>
      <c r="T127" s="6" t="s">
        <v>453</v>
      </c>
      <c r="U127" s="6" t="s">
        <v>454</v>
      </c>
      <c r="V127" s="6" t="s">
        <v>455</v>
      </c>
      <c r="W127" s="6" t="s">
        <v>456</v>
      </c>
      <c r="X127" s="6" t="s">
        <v>457</v>
      </c>
      <c r="Y127" s="6" t="s">
        <v>458</v>
      </c>
      <c r="Z127" s="6" t="s">
        <v>459</v>
      </c>
      <c r="AA127" s="6" t="s">
        <v>460</v>
      </c>
      <c r="AB127" s="6" t="s">
        <v>461</v>
      </c>
      <c r="AC127" s="6" t="s">
        <v>462</v>
      </c>
      <c r="AD127" s="15"/>
      <c r="AE127" s="6" t="s">
        <v>106</v>
      </c>
      <c r="AF127" s="6" t="s">
        <v>105</v>
      </c>
      <c r="AG127" s="6" t="s">
        <v>463</v>
      </c>
    </row>
    <row r="128" spans="1:33" x14ac:dyDescent="0.2">
      <c r="C128" s="16" t="s">
        <v>464</v>
      </c>
      <c r="J128" s="17">
        <v>20</v>
      </c>
      <c r="K128" s="17">
        <v>19</v>
      </c>
      <c r="L128" s="17">
        <v>18</v>
      </c>
      <c r="M128" s="17">
        <v>17</v>
      </c>
      <c r="N128" s="17">
        <v>16</v>
      </c>
      <c r="O128" s="17">
        <v>15</v>
      </c>
      <c r="P128" s="17">
        <v>14</v>
      </c>
      <c r="Q128" s="17">
        <v>13</v>
      </c>
      <c r="R128" s="17">
        <v>12</v>
      </c>
      <c r="S128" s="17">
        <v>11</v>
      </c>
      <c r="T128" s="17">
        <v>10</v>
      </c>
      <c r="U128" s="17">
        <v>9</v>
      </c>
      <c r="V128" s="17">
        <v>8</v>
      </c>
      <c r="W128" s="17">
        <v>7</v>
      </c>
      <c r="X128" s="17">
        <v>6</v>
      </c>
      <c r="Y128" s="17">
        <v>5</v>
      </c>
      <c r="Z128" s="17">
        <v>4</v>
      </c>
      <c r="AA128" s="17">
        <v>3</v>
      </c>
      <c r="AB128" s="17">
        <v>2</v>
      </c>
      <c r="AC128" s="17">
        <v>1</v>
      </c>
    </row>
    <row r="129" spans="2:33" x14ac:dyDescent="0.2">
      <c r="B129" t="s">
        <v>303</v>
      </c>
      <c r="C129" s="18" t="s">
        <v>104</v>
      </c>
      <c r="D129" s="4">
        <v>0</v>
      </c>
      <c r="E129" s="4">
        <v>0</v>
      </c>
      <c r="F129" s="4">
        <v>0</v>
      </c>
      <c r="G129" s="19">
        <v>20</v>
      </c>
      <c r="H129" s="4">
        <v>0</v>
      </c>
      <c r="J129" s="20">
        <f t="shared" ref="J129:J140" si="86">H129</f>
        <v>0</v>
      </c>
      <c r="K129" s="20">
        <f>$F129/4</f>
        <v>0</v>
      </c>
      <c r="L129" s="20">
        <f>$F129/4</f>
        <v>0</v>
      </c>
      <c r="M129" s="20">
        <f>$F129/4</f>
        <v>0</v>
      </c>
      <c r="N129" s="20">
        <f>$F129/4</f>
        <v>0</v>
      </c>
      <c r="O129" s="20">
        <f>$E129/4</f>
        <v>0</v>
      </c>
      <c r="P129" s="20">
        <f>$E129/4</f>
        <v>0</v>
      </c>
      <c r="Q129" s="20">
        <f>$E129/4</f>
        <v>0</v>
      </c>
      <c r="R129" s="20">
        <f>$E129/4</f>
        <v>0</v>
      </c>
      <c r="S129" s="20">
        <f>$D129/4</f>
        <v>0</v>
      </c>
      <c r="T129" s="20">
        <f>$D129/4</f>
        <v>0</v>
      </c>
      <c r="U129" s="20">
        <f>$D129/4</f>
        <v>0</v>
      </c>
      <c r="V129" s="20">
        <f>$D129/4</f>
        <v>0</v>
      </c>
      <c r="W129" s="20">
        <v>0</v>
      </c>
      <c r="X129" s="20">
        <v>0</v>
      </c>
      <c r="Y129" s="20">
        <v>0</v>
      </c>
      <c r="Z129" s="20">
        <v>0</v>
      </c>
      <c r="AA129" s="20">
        <v>0</v>
      </c>
      <c r="AB129" s="20">
        <v>0</v>
      </c>
      <c r="AC129" s="20">
        <v>0</v>
      </c>
      <c r="AE129" s="21">
        <f>SUM(J129:AC129)/$G129</f>
        <v>0</v>
      </c>
      <c r="AF129" s="21">
        <f>SUMPRODUCT($J$128:$AC$128,J129:AC129)/$G129</f>
        <v>0</v>
      </c>
      <c r="AG129" s="21">
        <f t="shared" ref="AG129:AG140" si="87">H129-AE129</f>
        <v>0</v>
      </c>
    </row>
    <row r="130" spans="2:33" x14ac:dyDescent="0.2">
      <c r="B130" t="s">
        <v>303</v>
      </c>
      <c r="C130" s="18" t="s">
        <v>103</v>
      </c>
      <c r="D130" s="22">
        <f>$D129</f>
        <v>0</v>
      </c>
      <c r="E130" s="22">
        <f>$E129</f>
        <v>0</v>
      </c>
      <c r="F130" s="22">
        <f>$F129</f>
        <v>0</v>
      </c>
      <c r="G130" s="23">
        <f>$G$129</f>
        <v>20</v>
      </c>
      <c r="H130" s="4">
        <v>0</v>
      </c>
      <c r="J130" s="20">
        <f t="shared" si="86"/>
        <v>0</v>
      </c>
      <c r="K130" s="20">
        <f t="shared" ref="K130:K140" si="88">H129</f>
        <v>0</v>
      </c>
      <c r="L130" s="20">
        <f>$F129/4</f>
        <v>0</v>
      </c>
      <c r="M130" s="20">
        <f>$F129/4</f>
        <v>0</v>
      </c>
      <c r="N130" s="20">
        <f>$F129/4</f>
        <v>0</v>
      </c>
      <c r="O130" s="20">
        <f>$F129/4</f>
        <v>0</v>
      </c>
      <c r="P130" s="20">
        <f>$E129/4</f>
        <v>0</v>
      </c>
      <c r="Q130" s="20">
        <f>$E129/4</f>
        <v>0</v>
      </c>
      <c r="R130" s="20">
        <f>$E129/4</f>
        <v>0</v>
      </c>
      <c r="S130" s="20">
        <f>$E129/4</f>
        <v>0</v>
      </c>
      <c r="T130" s="20">
        <f>$D129/4</f>
        <v>0</v>
      </c>
      <c r="U130" s="20">
        <f>$D129/4</f>
        <v>0</v>
      </c>
      <c r="V130" s="20">
        <f>$D129/4</f>
        <v>0</v>
      </c>
      <c r="W130" s="20">
        <f>$D129/4</f>
        <v>0</v>
      </c>
      <c r="X130" s="20">
        <v>0</v>
      </c>
      <c r="Y130" s="20">
        <v>0</v>
      </c>
      <c r="Z130" s="20">
        <v>0</v>
      </c>
      <c r="AA130" s="20">
        <v>0</v>
      </c>
      <c r="AB130" s="20">
        <v>0</v>
      </c>
      <c r="AC130" s="20">
        <v>0</v>
      </c>
      <c r="AE130" s="21">
        <f t="shared" ref="AE130:AE140" si="89">SUM(J130:AC130)/$G130</f>
        <v>0</v>
      </c>
      <c r="AF130" s="21">
        <f t="shared" ref="AF130:AF140" si="90">SUMPRODUCT($J$128:$AC$128,J130:AC130)/$G130</f>
        <v>0</v>
      </c>
      <c r="AG130" s="21">
        <f t="shared" si="87"/>
        <v>0</v>
      </c>
    </row>
    <row r="131" spans="2:33" x14ac:dyDescent="0.2">
      <c r="B131" t="s">
        <v>303</v>
      </c>
      <c r="C131" s="18" t="s">
        <v>102</v>
      </c>
      <c r="D131" s="22">
        <f>$D129</f>
        <v>0</v>
      </c>
      <c r="E131" s="22">
        <f>$E129</f>
        <v>0</v>
      </c>
      <c r="F131" s="22">
        <f>$F129</f>
        <v>0</v>
      </c>
      <c r="G131" s="23">
        <f t="shared" ref="G131:G140" si="91">$G$129</f>
        <v>20</v>
      </c>
      <c r="H131" s="4">
        <v>0</v>
      </c>
      <c r="J131" s="20">
        <f t="shared" si="86"/>
        <v>0</v>
      </c>
      <c r="K131" s="20">
        <f t="shared" si="88"/>
        <v>0</v>
      </c>
      <c r="L131" s="20">
        <f t="shared" ref="L131:L140" si="92">H129</f>
        <v>0</v>
      </c>
      <c r="M131" s="20">
        <f>$F129/4</f>
        <v>0</v>
      </c>
      <c r="N131" s="20">
        <f>$F129/4</f>
        <v>0</v>
      </c>
      <c r="O131" s="20">
        <f>$F129/4</f>
        <v>0</v>
      </c>
      <c r="P131" s="20">
        <f>$F129/4</f>
        <v>0</v>
      </c>
      <c r="Q131" s="20">
        <f>$E129/4</f>
        <v>0</v>
      </c>
      <c r="R131" s="20">
        <f>$E129/4</f>
        <v>0</v>
      </c>
      <c r="S131" s="20">
        <f>$E129/4</f>
        <v>0</v>
      </c>
      <c r="T131" s="20">
        <f>$E129/4</f>
        <v>0</v>
      </c>
      <c r="U131" s="20">
        <f>$D129/4</f>
        <v>0</v>
      </c>
      <c r="V131" s="20">
        <f>$D129/4</f>
        <v>0</v>
      </c>
      <c r="W131" s="20">
        <f>$D129/4</f>
        <v>0</v>
      </c>
      <c r="X131" s="20">
        <f>$D129/4</f>
        <v>0</v>
      </c>
      <c r="Y131" s="20">
        <v>0</v>
      </c>
      <c r="Z131" s="20">
        <v>0</v>
      </c>
      <c r="AA131" s="20">
        <v>0</v>
      </c>
      <c r="AB131" s="20">
        <v>0</v>
      </c>
      <c r="AC131" s="20">
        <v>0</v>
      </c>
      <c r="AE131" s="21">
        <f t="shared" si="89"/>
        <v>0</v>
      </c>
      <c r="AF131" s="21">
        <f t="shared" si="90"/>
        <v>0</v>
      </c>
      <c r="AG131" s="21">
        <f t="shared" si="87"/>
        <v>0</v>
      </c>
    </row>
    <row r="132" spans="2:33" x14ac:dyDescent="0.2">
      <c r="B132" t="s">
        <v>303</v>
      </c>
      <c r="C132" s="18" t="s">
        <v>101</v>
      </c>
      <c r="D132" s="22">
        <f>$D129</f>
        <v>0</v>
      </c>
      <c r="E132" s="22">
        <f>$E129</f>
        <v>0</v>
      </c>
      <c r="F132" s="22">
        <f>$F129</f>
        <v>0</v>
      </c>
      <c r="G132" s="23">
        <f t="shared" si="91"/>
        <v>20</v>
      </c>
      <c r="H132" s="4">
        <v>0</v>
      </c>
      <c r="J132" s="20">
        <f t="shared" si="86"/>
        <v>0</v>
      </c>
      <c r="K132" s="20">
        <f t="shared" si="88"/>
        <v>0</v>
      </c>
      <c r="L132" s="20">
        <f t="shared" si="92"/>
        <v>0</v>
      </c>
      <c r="M132" s="20">
        <f t="shared" ref="M132:M140" si="93">H129</f>
        <v>0</v>
      </c>
      <c r="N132" s="20">
        <f>$F129/4</f>
        <v>0</v>
      </c>
      <c r="O132" s="20">
        <f>$F129/4</f>
        <v>0</v>
      </c>
      <c r="P132" s="20">
        <f>$F129/4</f>
        <v>0</v>
      </c>
      <c r="Q132" s="20">
        <f>$F129/4</f>
        <v>0</v>
      </c>
      <c r="R132" s="20">
        <f>$E129/4</f>
        <v>0</v>
      </c>
      <c r="S132" s="20">
        <f>$E129/4</f>
        <v>0</v>
      </c>
      <c r="T132" s="20">
        <f>$E129/4</f>
        <v>0</v>
      </c>
      <c r="U132" s="20">
        <f>$E129/4</f>
        <v>0</v>
      </c>
      <c r="V132" s="20">
        <f>$D129/4</f>
        <v>0</v>
      </c>
      <c r="W132" s="20">
        <f>$D129/4</f>
        <v>0</v>
      </c>
      <c r="X132" s="20">
        <f>$D129/4</f>
        <v>0</v>
      </c>
      <c r="Y132" s="20">
        <f>$D129/4</f>
        <v>0</v>
      </c>
      <c r="Z132" s="20">
        <v>0</v>
      </c>
      <c r="AA132" s="20">
        <v>0</v>
      </c>
      <c r="AB132" s="20">
        <v>0</v>
      </c>
      <c r="AC132" s="20">
        <v>0</v>
      </c>
      <c r="AE132" s="21">
        <f t="shared" si="89"/>
        <v>0</v>
      </c>
      <c r="AF132" s="21">
        <f t="shared" si="90"/>
        <v>0</v>
      </c>
      <c r="AG132" s="21">
        <f t="shared" si="87"/>
        <v>0</v>
      </c>
    </row>
    <row r="133" spans="2:33" x14ac:dyDescent="0.2">
      <c r="B133" t="s">
        <v>303</v>
      </c>
      <c r="C133" s="18" t="s">
        <v>100</v>
      </c>
      <c r="D133" s="22">
        <f>$D129</f>
        <v>0</v>
      </c>
      <c r="E133" s="22">
        <f>$E129</f>
        <v>0</v>
      </c>
      <c r="F133" s="22">
        <f>$F129</f>
        <v>0</v>
      </c>
      <c r="G133" s="23">
        <f t="shared" si="91"/>
        <v>20</v>
      </c>
      <c r="H133" s="4">
        <v>0</v>
      </c>
      <c r="J133" s="20">
        <f t="shared" si="86"/>
        <v>0</v>
      </c>
      <c r="K133" s="20">
        <f t="shared" si="88"/>
        <v>0</v>
      </c>
      <c r="L133" s="20">
        <f t="shared" si="92"/>
        <v>0</v>
      </c>
      <c r="M133" s="20">
        <f t="shared" si="93"/>
        <v>0</v>
      </c>
      <c r="N133" s="20">
        <f t="shared" ref="N133:N140" si="94">H129</f>
        <v>0</v>
      </c>
      <c r="O133" s="20">
        <f>$F129/4</f>
        <v>0</v>
      </c>
      <c r="P133" s="20">
        <f>$F129/4</f>
        <v>0</v>
      </c>
      <c r="Q133" s="20">
        <f>$F129/4</f>
        <v>0</v>
      </c>
      <c r="R133" s="20">
        <f>$F129/4</f>
        <v>0</v>
      </c>
      <c r="S133" s="20">
        <f>$E129/4</f>
        <v>0</v>
      </c>
      <c r="T133" s="20">
        <f>$E129/4</f>
        <v>0</v>
      </c>
      <c r="U133" s="20">
        <f>$E129/4</f>
        <v>0</v>
      </c>
      <c r="V133" s="20">
        <f>$E129/4</f>
        <v>0</v>
      </c>
      <c r="W133" s="20">
        <f>$D129/4</f>
        <v>0</v>
      </c>
      <c r="X133" s="20">
        <f>$D129/4</f>
        <v>0</v>
      </c>
      <c r="Y133" s="20">
        <f>$D129/4</f>
        <v>0</v>
      </c>
      <c r="Z133" s="20">
        <f>$D129/4</f>
        <v>0</v>
      </c>
      <c r="AA133" s="20">
        <v>0</v>
      </c>
      <c r="AB133" s="20">
        <v>0</v>
      </c>
      <c r="AC133" s="20">
        <v>0</v>
      </c>
      <c r="AE133" s="21">
        <f t="shared" si="89"/>
        <v>0</v>
      </c>
      <c r="AF133" s="21">
        <f t="shared" si="90"/>
        <v>0</v>
      </c>
      <c r="AG133" s="21">
        <f t="shared" si="87"/>
        <v>0</v>
      </c>
    </row>
    <row r="134" spans="2:33" x14ac:dyDescent="0.2">
      <c r="B134" t="s">
        <v>303</v>
      </c>
      <c r="C134" s="18" t="s">
        <v>99</v>
      </c>
      <c r="D134" s="22">
        <f>$D129</f>
        <v>0</v>
      </c>
      <c r="E134" s="22">
        <f>$E129</f>
        <v>0</v>
      </c>
      <c r="F134" s="22">
        <f>$F129</f>
        <v>0</v>
      </c>
      <c r="G134" s="23">
        <f t="shared" si="91"/>
        <v>20</v>
      </c>
      <c r="H134" s="4">
        <v>10719142</v>
      </c>
      <c r="J134" s="20">
        <f t="shared" si="86"/>
        <v>10719142</v>
      </c>
      <c r="K134" s="20">
        <f t="shared" si="88"/>
        <v>0</v>
      </c>
      <c r="L134" s="20">
        <f t="shared" si="92"/>
        <v>0</v>
      </c>
      <c r="M134" s="20">
        <f t="shared" si="93"/>
        <v>0</v>
      </c>
      <c r="N134" s="20">
        <f t="shared" si="94"/>
        <v>0</v>
      </c>
      <c r="O134" s="20">
        <f t="shared" ref="O134:O140" si="95">H129</f>
        <v>0</v>
      </c>
      <c r="P134" s="20">
        <f>$F129/4</f>
        <v>0</v>
      </c>
      <c r="Q134" s="20">
        <f>$F129/4</f>
        <v>0</v>
      </c>
      <c r="R134" s="20">
        <f>$F129/4</f>
        <v>0</v>
      </c>
      <c r="S134" s="20">
        <f>$F129/4</f>
        <v>0</v>
      </c>
      <c r="T134" s="20">
        <f>$E129/4</f>
        <v>0</v>
      </c>
      <c r="U134" s="20">
        <f>$E129/4</f>
        <v>0</v>
      </c>
      <c r="V134" s="20">
        <f>$E129/4</f>
        <v>0</v>
      </c>
      <c r="W134" s="20">
        <f>$E129/4</f>
        <v>0</v>
      </c>
      <c r="X134" s="20">
        <f>$D129/4</f>
        <v>0</v>
      </c>
      <c r="Y134" s="20">
        <f>$D129/4</f>
        <v>0</v>
      </c>
      <c r="Z134" s="20">
        <f>$D129/4</f>
        <v>0</v>
      </c>
      <c r="AA134" s="20">
        <f>$D129/4</f>
        <v>0</v>
      </c>
      <c r="AB134" s="20">
        <v>0</v>
      </c>
      <c r="AC134" s="20">
        <v>0</v>
      </c>
      <c r="AE134" s="21">
        <f t="shared" si="89"/>
        <v>535957.1</v>
      </c>
      <c r="AF134" s="21">
        <f t="shared" si="90"/>
        <v>10719142</v>
      </c>
      <c r="AG134" s="21">
        <f t="shared" si="87"/>
        <v>10183184.9</v>
      </c>
    </row>
    <row r="135" spans="2:33" x14ac:dyDescent="0.2">
      <c r="B135" t="s">
        <v>303</v>
      </c>
      <c r="C135" s="18" t="s">
        <v>98</v>
      </c>
      <c r="D135" s="22">
        <f>$D129</f>
        <v>0</v>
      </c>
      <c r="E135" s="22">
        <f>$E129</f>
        <v>0</v>
      </c>
      <c r="F135" s="22">
        <f>$F129</f>
        <v>0</v>
      </c>
      <c r="G135" s="23">
        <f t="shared" si="91"/>
        <v>20</v>
      </c>
      <c r="H135" s="4">
        <v>5049070</v>
      </c>
      <c r="J135" s="20">
        <f t="shared" si="86"/>
        <v>5049070</v>
      </c>
      <c r="K135" s="20">
        <f t="shared" si="88"/>
        <v>10719142</v>
      </c>
      <c r="L135" s="20">
        <f t="shared" si="92"/>
        <v>0</v>
      </c>
      <c r="M135" s="20">
        <f t="shared" si="93"/>
        <v>0</v>
      </c>
      <c r="N135" s="20">
        <f t="shared" si="94"/>
        <v>0</v>
      </c>
      <c r="O135" s="20">
        <f t="shared" si="95"/>
        <v>0</v>
      </c>
      <c r="P135" s="20">
        <f t="shared" ref="P135:P140" si="96">H129</f>
        <v>0</v>
      </c>
      <c r="Q135" s="20">
        <f>$F129/4</f>
        <v>0</v>
      </c>
      <c r="R135" s="20">
        <f>$F129/4</f>
        <v>0</v>
      </c>
      <c r="S135" s="20">
        <f>$F129/4</f>
        <v>0</v>
      </c>
      <c r="T135" s="20">
        <f>$F129/4</f>
        <v>0</v>
      </c>
      <c r="U135" s="20">
        <f>$E129/4</f>
        <v>0</v>
      </c>
      <c r="V135" s="20">
        <f>$E129/4</f>
        <v>0</v>
      </c>
      <c r="W135" s="20">
        <f>$E129/4</f>
        <v>0</v>
      </c>
      <c r="X135" s="20">
        <f>$E129/4</f>
        <v>0</v>
      </c>
      <c r="Y135" s="20">
        <f>$D129/4</f>
        <v>0</v>
      </c>
      <c r="Z135" s="20">
        <f>$D129/4</f>
        <v>0</v>
      </c>
      <c r="AA135" s="20">
        <f>$D129/4</f>
        <v>0</v>
      </c>
      <c r="AB135" s="20">
        <f>$D129/4</f>
        <v>0</v>
      </c>
      <c r="AC135" s="20">
        <v>0</v>
      </c>
      <c r="AE135" s="21">
        <f t="shared" si="89"/>
        <v>788410.6</v>
      </c>
      <c r="AF135" s="21">
        <f t="shared" si="90"/>
        <v>15232254.9</v>
      </c>
      <c r="AG135" s="21">
        <f t="shared" si="87"/>
        <v>4260659.4000000004</v>
      </c>
    </row>
    <row r="136" spans="2:33" x14ac:dyDescent="0.2">
      <c r="B136" t="s">
        <v>303</v>
      </c>
      <c r="C136" s="18" t="s">
        <v>97</v>
      </c>
      <c r="D136" s="22">
        <f>$D129</f>
        <v>0</v>
      </c>
      <c r="E136" s="22">
        <f>$E129</f>
        <v>0</v>
      </c>
      <c r="F136" s="22">
        <f>$F129</f>
        <v>0</v>
      </c>
      <c r="G136" s="23">
        <f t="shared" si="91"/>
        <v>20</v>
      </c>
      <c r="H136" s="4">
        <v>10942788</v>
      </c>
      <c r="J136" s="20">
        <f t="shared" si="86"/>
        <v>10942788</v>
      </c>
      <c r="K136" s="20">
        <f t="shared" si="88"/>
        <v>5049070</v>
      </c>
      <c r="L136" s="20">
        <f t="shared" si="92"/>
        <v>10719142</v>
      </c>
      <c r="M136" s="20">
        <f t="shared" si="93"/>
        <v>0</v>
      </c>
      <c r="N136" s="20">
        <f t="shared" si="94"/>
        <v>0</v>
      </c>
      <c r="O136" s="20">
        <f t="shared" si="95"/>
        <v>0</v>
      </c>
      <c r="P136" s="20">
        <f t="shared" si="96"/>
        <v>0</v>
      </c>
      <c r="Q136" s="20">
        <f>H129</f>
        <v>0</v>
      </c>
      <c r="R136" s="20">
        <f>$F129/4</f>
        <v>0</v>
      </c>
      <c r="S136" s="20">
        <f>$F129/4</f>
        <v>0</v>
      </c>
      <c r="T136" s="20">
        <f>$F129/4</f>
        <v>0</v>
      </c>
      <c r="U136" s="20">
        <f>$F129/4</f>
        <v>0</v>
      </c>
      <c r="V136" s="20">
        <f>$E129/4</f>
        <v>0</v>
      </c>
      <c r="W136" s="20">
        <f>$E129/4</f>
        <v>0</v>
      </c>
      <c r="X136" s="20">
        <f>$E129/4</f>
        <v>0</v>
      </c>
      <c r="Y136" s="20">
        <f>$E129/4</f>
        <v>0</v>
      </c>
      <c r="Z136" s="20">
        <f>$D129/4</f>
        <v>0</v>
      </c>
      <c r="AA136" s="20">
        <f>$D129/4</f>
        <v>0</v>
      </c>
      <c r="AB136" s="20">
        <f>$D129/4</f>
        <v>0</v>
      </c>
      <c r="AC136" s="20">
        <f>$D129/4</f>
        <v>0</v>
      </c>
      <c r="AE136" s="21">
        <f t="shared" si="89"/>
        <v>1335550</v>
      </c>
      <c r="AF136" s="21">
        <f t="shared" si="90"/>
        <v>25386632.300000001</v>
      </c>
      <c r="AG136" s="21">
        <f t="shared" si="87"/>
        <v>9607238</v>
      </c>
    </row>
    <row r="137" spans="2:33" x14ac:dyDescent="0.2">
      <c r="B137" t="s">
        <v>303</v>
      </c>
      <c r="C137" s="18" t="s">
        <v>96</v>
      </c>
      <c r="D137" s="22">
        <f>$D129</f>
        <v>0</v>
      </c>
      <c r="E137" s="22">
        <f>$E129</f>
        <v>0</v>
      </c>
      <c r="F137" s="22">
        <f>$F129</f>
        <v>0</v>
      </c>
      <c r="G137" s="23">
        <f t="shared" si="91"/>
        <v>20</v>
      </c>
      <c r="H137" s="4">
        <v>7846000</v>
      </c>
      <c r="J137" s="20">
        <f t="shared" si="86"/>
        <v>7846000</v>
      </c>
      <c r="K137" s="20">
        <f t="shared" si="88"/>
        <v>10942788</v>
      </c>
      <c r="L137" s="20">
        <f t="shared" si="92"/>
        <v>5049070</v>
      </c>
      <c r="M137" s="20">
        <f t="shared" si="93"/>
        <v>10719142</v>
      </c>
      <c r="N137" s="20">
        <f t="shared" si="94"/>
        <v>0</v>
      </c>
      <c r="O137" s="20">
        <f t="shared" si="95"/>
        <v>0</v>
      </c>
      <c r="P137" s="20">
        <f t="shared" si="96"/>
        <v>0</v>
      </c>
      <c r="Q137" s="20">
        <f>H130</f>
        <v>0</v>
      </c>
      <c r="R137" s="20">
        <f>H129</f>
        <v>0</v>
      </c>
      <c r="S137" s="20">
        <f>$F129/4</f>
        <v>0</v>
      </c>
      <c r="T137" s="20">
        <f>$F129/4</f>
        <v>0</v>
      </c>
      <c r="U137" s="20">
        <f>$F129/4</f>
        <v>0</v>
      </c>
      <c r="V137" s="20">
        <f>$F129/4</f>
        <v>0</v>
      </c>
      <c r="W137" s="20">
        <f>$E129/4</f>
        <v>0</v>
      </c>
      <c r="X137" s="20">
        <f>$E129/4</f>
        <v>0</v>
      </c>
      <c r="Y137" s="20">
        <f>$E129/4</f>
        <v>0</v>
      </c>
      <c r="Z137" s="20">
        <f>$E129/4</f>
        <v>0</v>
      </c>
      <c r="AA137" s="20">
        <f>$D129/4</f>
        <v>0</v>
      </c>
      <c r="AB137" s="20">
        <f>$D129/4</f>
        <v>0</v>
      </c>
      <c r="AC137" s="20">
        <f>$D129/4</f>
        <v>0</v>
      </c>
      <c r="AE137" s="21">
        <f t="shared" si="89"/>
        <v>1727850</v>
      </c>
      <c r="AF137" s="21">
        <f t="shared" si="90"/>
        <v>31897082.300000001</v>
      </c>
      <c r="AG137" s="21">
        <f t="shared" si="87"/>
        <v>6118150</v>
      </c>
    </row>
    <row r="138" spans="2:33" x14ac:dyDescent="0.2">
      <c r="B138" t="s">
        <v>303</v>
      </c>
      <c r="C138" s="18" t="s">
        <v>95</v>
      </c>
      <c r="D138" s="22">
        <f>$D129</f>
        <v>0</v>
      </c>
      <c r="E138" s="22">
        <f>$E129</f>
        <v>0</v>
      </c>
      <c r="F138" s="22">
        <f>$F129</f>
        <v>0</v>
      </c>
      <c r="G138" s="23">
        <f t="shared" si="91"/>
        <v>20</v>
      </c>
      <c r="H138" s="4">
        <v>11468000</v>
      </c>
      <c r="J138" s="20">
        <f t="shared" si="86"/>
        <v>11468000</v>
      </c>
      <c r="K138" s="20">
        <f t="shared" si="88"/>
        <v>7846000</v>
      </c>
      <c r="L138" s="20">
        <f t="shared" si="92"/>
        <v>10942788</v>
      </c>
      <c r="M138" s="20">
        <f t="shared" si="93"/>
        <v>5049070</v>
      </c>
      <c r="N138" s="20">
        <f t="shared" si="94"/>
        <v>10719142</v>
      </c>
      <c r="O138" s="20">
        <f t="shared" si="95"/>
        <v>0</v>
      </c>
      <c r="P138" s="20">
        <f t="shared" si="96"/>
        <v>0</v>
      </c>
      <c r="Q138" s="20">
        <f>H131</f>
        <v>0</v>
      </c>
      <c r="R138" s="20">
        <f>H130</f>
        <v>0</v>
      </c>
      <c r="S138" s="20">
        <f>H129</f>
        <v>0</v>
      </c>
      <c r="T138" s="20">
        <f>$F129/4</f>
        <v>0</v>
      </c>
      <c r="U138" s="20">
        <f>$F129/4</f>
        <v>0</v>
      </c>
      <c r="V138" s="20">
        <f>$F129/4</f>
        <v>0</v>
      </c>
      <c r="W138" s="20">
        <f>$F129/4</f>
        <v>0</v>
      </c>
      <c r="X138" s="20">
        <f>$E129/4</f>
        <v>0</v>
      </c>
      <c r="Y138" s="20">
        <f>$E129/4</f>
        <v>0</v>
      </c>
      <c r="Z138" s="20">
        <f>$E129/4</f>
        <v>0</v>
      </c>
      <c r="AA138" s="20">
        <f>$E129/4</f>
        <v>0</v>
      </c>
      <c r="AB138" s="20">
        <f>$D129/4</f>
        <v>0</v>
      </c>
      <c r="AC138" s="20">
        <f>$D129/4</f>
        <v>0</v>
      </c>
      <c r="AE138" s="21">
        <f t="shared" si="89"/>
        <v>2301250</v>
      </c>
      <c r="AF138" s="21">
        <f t="shared" si="90"/>
        <v>41637232.299999997</v>
      </c>
      <c r="AG138" s="21">
        <f t="shared" si="87"/>
        <v>9166750</v>
      </c>
    </row>
    <row r="139" spans="2:33" x14ac:dyDescent="0.2">
      <c r="B139" t="s">
        <v>303</v>
      </c>
      <c r="C139" s="18" t="s">
        <v>94</v>
      </c>
      <c r="D139" s="22">
        <f>$D129</f>
        <v>0</v>
      </c>
      <c r="E139" s="22">
        <f>$E129</f>
        <v>0</v>
      </c>
      <c r="F139" s="22">
        <f>$F129</f>
        <v>0</v>
      </c>
      <c r="G139" s="23">
        <f t="shared" si="91"/>
        <v>20</v>
      </c>
      <c r="H139" s="4">
        <v>14945000</v>
      </c>
      <c r="J139" s="20">
        <f t="shared" si="86"/>
        <v>14945000</v>
      </c>
      <c r="K139" s="20">
        <f t="shared" si="88"/>
        <v>11468000</v>
      </c>
      <c r="L139" s="20">
        <f t="shared" si="92"/>
        <v>7846000</v>
      </c>
      <c r="M139" s="20">
        <f t="shared" si="93"/>
        <v>10942788</v>
      </c>
      <c r="N139" s="20">
        <f t="shared" si="94"/>
        <v>5049070</v>
      </c>
      <c r="O139" s="20">
        <f t="shared" si="95"/>
        <v>10719142</v>
      </c>
      <c r="P139" s="20">
        <f t="shared" si="96"/>
        <v>0</v>
      </c>
      <c r="Q139" s="20">
        <f>H132</f>
        <v>0</v>
      </c>
      <c r="R139" s="20">
        <f>H131</f>
        <v>0</v>
      </c>
      <c r="S139" s="20">
        <f>H130</f>
        <v>0</v>
      </c>
      <c r="T139" s="20">
        <f>H129</f>
        <v>0</v>
      </c>
      <c r="U139" s="20">
        <f>$F129/4</f>
        <v>0</v>
      </c>
      <c r="V139" s="20">
        <f>$F129/4</f>
        <v>0</v>
      </c>
      <c r="W139" s="20">
        <f>$F129/4</f>
        <v>0</v>
      </c>
      <c r="X139" s="20">
        <f>$F129/4</f>
        <v>0</v>
      </c>
      <c r="Y139" s="20">
        <f>$E129/4</f>
        <v>0</v>
      </c>
      <c r="Z139" s="20">
        <f>$E129/4</f>
        <v>0</v>
      </c>
      <c r="AA139" s="20">
        <f>$E129/4</f>
        <v>0</v>
      </c>
      <c r="AB139" s="20">
        <f>$E129/4</f>
        <v>0</v>
      </c>
      <c r="AC139" s="20">
        <f>$D129/4</f>
        <v>0</v>
      </c>
      <c r="AE139" s="21">
        <f t="shared" si="89"/>
        <v>3048500</v>
      </c>
      <c r="AF139" s="21">
        <f t="shared" si="90"/>
        <v>54280982.299999997</v>
      </c>
      <c r="AG139" s="21">
        <f t="shared" si="87"/>
        <v>11896500</v>
      </c>
    </row>
    <row r="140" spans="2:33" x14ac:dyDescent="0.2">
      <c r="B140" t="s">
        <v>303</v>
      </c>
      <c r="C140" s="18" t="s">
        <v>93</v>
      </c>
      <c r="D140" s="22">
        <f>$D129</f>
        <v>0</v>
      </c>
      <c r="E140" s="22">
        <f>$E129</f>
        <v>0</v>
      </c>
      <c r="F140" s="22">
        <f>$F129</f>
        <v>0</v>
      </c>
      <c r="G140" s="23">
        <f t="shared" si="91"/>
        <v>20</v>
      </c>
      <c r="H140" s="4">
        <v>24593000</v>
      </c>
      <c r="J140" s="20">
        <f t="shared" si="86"/>
        <v>24593000</v>
      </c>
      <c r="K140" s="20">
        <f t="shared" si="88"/>
        <v>14945000</v>
      </c>
      <c r="L140" s="20">
        <f t="shared" si="92"/>
        <v>11468000</v>
      </c>
      <c r="M140" s="20">
        <f t="shared" si="93"/>
        <v>7846000</v>
      </c>
      <c r="N140" s="20">
        <f t="shared" si="94"/>
        <v>10942788</v>
      </c>
      <c r="O140" s="20">
        <f t="shared" si="95"/>
        <v>5049070</v>
      </c>
      <c r="P140" s="20">
        <f t="shared" si="96"/>
        <v>10719142</v>
      </c>
      <c r="Q140" s="20">
        <f>H133</f>
        <v>0</v>
      </c>
      <c r="R140" s="20">
        <f>H132</f>
        <v>0</v>
      </c>
      <c r="S140" s="20">
        <f>H131</f>
        <v>0</v>
      </c>
      <c r="T140" s="20">
        <f>H130</f>
        <v>0</v>
      </c>
      <c r="U140" s="20">
        <f>H129</f>
        <v>0</v>
      </c>
      <c r="V140" s="20">
        <f>$F129/4</f>
        <v>0</v>
      </c>
      <c r="W140" s="20">
        <f>$F129/4</f>
        <v>0</v>
      </c>
      <c r="X140" s="20">
        <f>$F129/4</f>
        <v>0</v>
      </c>
      <c r="Y140" s="20">
        <f>$F129/4</f>
        <v>0</v>
      </c>
      <c r="Z140" s="20">
        <f>$E129/4</f>
        <v>0</v>
      </c>
      <c r="AA140" s="20">
        <f>$E129/4</f>
        <v>0</v>
      </c>
      <c r="AB140" s="20">
        <f>$E129/4</f>
        <v>0</v>
      </c>
      <c r="AC140" s="20">
        <f>$E129/4</f>
        <v>0</v>
      </c>
      <c r="AE140" s="21">
        <f t="shared" si="89"/>
        <v>4278150</v>
      </c>
      <c r="AF140" s="21">
        <f t="shared" si="90"/>
        <v>75825482.299999997</v>
      </c>
      <c r="AG140" s="21">
        <f t="shared" si="87"/>
        <v>20314850</v>
      </c>
    </row>
    <row r="141" spans="2:33" x14ac:dyDescent="0.2">
      <c r="I141" s="3"/>
    </row>
    <row r="142" spans="2:33" x14ac:dyDescent="0.2">
      <c r="I142" s="3"/>
    </row>
    <row r="143" spans="2:33" x14ac:dyDescent="0.2">
      <c r="C143" t="s">
        <v>342</v>
      </c>
    </row>
    <row r="144" spans="2:33" x14ac:dyDescent="0.2">
      <c r="C144" s="6" t="s">
        <v>107</v>
      </c>
      <c r="D144" s="6" t="s">
        <v>439</v>
      </c>
      <c r="E144" s="6" t="s">
        <v>440</v>
      </c>
      <c r="F144" s="6" t="s">
        <v>471</v>
      </c>
      <c r="G144" s="6" t="s">
        <v>441</v>
      </c>
      <c r="H144" s="6" t="s">
        <v>442</v>
      </c>
      <c r="I144" s="15"/>
      <c r="J144" s="6" t="s">
        <v>443</v>
      </c>
      <c r="K144" s="6" t="s">
        <v>444</v>
      </c>
      <c r="L144" s="6" t="s">
        <v>445</v>
      </c>
      <c r="M144" s="6" t="s">
        <v>446</v>
      </c>
      <c r="N144" s="6" t="s">
        <v>447</v>
      </c>
      <c r="O144" s="6" t="s">
        <v>448</v>
      </c>
      <c r="P144" s="6" t="s">
        <v>449</v>
      </c>
      <c r="Q144" s="6" t="s">
        <v>450</v>
      </c>
      <c r="R144" s="6" t="s">
        <v>451</v>
      </c>
      <c r="S144" s="6" t="s">
        <v>452</v>
      </c>
      <c r="T144" s="6" t="s">
        <v>453</v>
      </c>
      <c r="U144" s="6" t="s">
        <v>454</v>
      </c>
      <c r="V144" s="6" t="s">
        <v>455</v>
      </c>
      <c r="W144" s="6" t="s">
        <v>456</v>
      </c>
      <c r="X144" s="6" t="s">
        <v>457</v>
      </c>
      <c r="Y144" s="6" t="s">
        <v>458</v>
      </c>
      <c r="Z144" s="6" t="s">
        <v>459</v>
      </c>
      <c r="AA144" s="6" t="s">
        <v>460</v>
      </c>
      <c r="AB144" s="6" t="s">
        <v>461</v>
      </c>
      <c r="AC144" s="6" t="s">
        <v>462</v>
      </c>
      <c r="AD144" s="15"/>
      <c r="AE144" s="6" t="s">
        <v>106</v>
      </c>
      <c r="AF144" s="6" t="s">
        <v>105</v>
      </c>
      <c r="AG144" s="6" t="s">
        <v>463</v>
      </c>
    </row>
    <row r="145" spans="2:33" x14ac:dyDescent="0.2">
      <c r="C145" s="16" t="s">
        <v>464</v>
      </c>
      <c r="J145" s="17">
        <v>20</v>
      </c>
      <c r="K145" s="17">
        <v>19</v>
      </c>
      <c r="L145" s="17">
        <v>18</v>
      </c>
      <c r="M145" s="17">
        <v>17</v>
      </c>
      <c r="N145" s="17">
        <v>16</v>
      </c>
      <c r="O145" s="17">
        <v>15</v>
      </c>
      <c r="P145" s="17">
        <v>14</v>
      </c>
      <c r="Q145" s="17">
        <v>13</v>
      </c>
      <c r="R145" s="17">
        <v>12</v>
      </c>
      <c r="S145" s="17">
        <v>11</v>
      </c>
      <c r="T145" s="17">
        <v>10</v>
      </c>
      <c r="U145" s="17">
        <v>9</v>
      </c>
      <c r="V145" s="17">
        <v>8</v>
      </c>
      <c r="W145" s="17">
        <v>7</v>
      </c>
      <c r="X145" s="17">
        <v>6</v>
      </c>
      <c r="Y145" s="17">
        <v>5</v>
      </c>
      <c r="Z145" s="17">
        <v>4</v>
      </c>
      <c r="AA145" s="17">
        <v>3</v>
      </c>
      <c r="AB145" s="17">
        <v>2</v>
      </c>
      <c r="AC145" s="17">
        <v>1</v>
      </c>
    </row>
    <row r="146" spans="2:33" x14ac:dyDescent="0.2">
      <c r="B146" t="s">
        <v>342</v>
      </c>
      <c r="C146" s="5" t="s">
        <v>100</v>
      </c>
      <c r="D146" s="4">
        <v>77740000</v>
      </c>
      <c r="E146" s="4">
        <v>136274000</v>
      </c>
      <c r="F146" s="4">
        <v>207008000</v>
      </c>
      <c r="G146" s="19">
        <v>20</v>
      </c>
      <c r="H146" s="4">
        <v>55263000</v>
      </c>
      <c r="J146" s="20">
        <f t="shared" ref="J146:J157" si="97">H146</f>
        <v>55263000</v>
      </c>
      <c r="K146" s="20">
        <f>$F146/4</f>
        <v>51752000</v>
      </c>
      <c r="L146" s="20">
        <f>$F146/4</f>
        <v>51752000</v>
      </c>
      <c r="M146" s="20">
        <f>$F146/4</f>
        <v>51752000</v>
      </c>
      <c r="N146" s="20">
        <f>$F146/4</f>
        <v>51752000</v>
      </c>
      <c r="O146" s="20">
        <f>$E146/4</f>
        <v>34068500</v>
      </c>
      <c r="P146" s="20">
        <f>$E146/4</f>
        <v>34068500</v>
      </c>
      <c r="Q146" s="20">
        <f>$E146/4</f>
        <v>34068500</v>
      </c>
      <c r="R146" s="20">
        <f>$E146/4</f>
        <v>34068500</v>
      </c>
      <c r="S146" s="20">
        <f>$D146/4</f>
        <v>19435000</v>
      </c>
      <c r="T146" s="20">
        <f>$D146/4</f>
        <v>19435000</v>
      </c>
      <c r="U146" s="20">
        <f>$D146/4</f>
        <v>19435000</v>
      </c>
      <c r="V146" s="20">
        <f>$D146/4</f>
        <v>19435000</v>
      </c>
      <c r="W146" s="20">
        <v>0</v>
      </c>
      <c r="X146" s="20">
        <v>0</v>
      </c>
      <c r="Y146" s="20">
        <v>0</v>
      </c>
      <c r="Z146" s="20">
        <v>0</v>
      </c>
      <c r="AA146" s="20">
        <v>0</v>
      </c>
      <c r="AB146" s="20">
        <v>0</v>
      </c>
      <c r="AC146" s="20">
        <v>0</v>
      </c>
      <c r="AE146" s="21">
        <f>SUM(J146:AC146)/$G146</f>
        <v>23814250</v>
      </c>
      <c r="AF146" s="21">
        <f>SUMPRODUCT($J$145:$AC$145,J146:AC146)/$G146</f>
        <v>365306450</v>
      </c>
      <c r="AG146" s="21">
        <f t="shared" ref="AG146:AG157" si="98">H146-AE146</f>
        <v>31448750</v>
      </c>
    </row>
    <row r="147" spans="2:33" x14ac:dyDescent="0.2">
      <c r="B147" t="s">
        <v>342</v>
      </c>
      <c r="C147" s="5" t="s">
        <v>99</v>
      </c>
      <c r="D147" s="22">
        <f>$D146</f>
        <v>77740000</v>
      </c>
      <c r="E147" s="22">
        <f>$E146</f>
        <v>136274000</v>
      </c>
      <c r="F147" s="22">
        <f>$F146</f>
        <v>207008000</v>
      </c>
      <c r="G147" s="23">
        <f>$G$146</f>
        <v>20</v>
      </c>
      <c r="H147" s="4">
        <v>54161000</v>
      </c>
      <c r="J147" s="20">
        <f t="shared" si="97"/>
        <v>54161000</v>
      </c>
      <c r="K147" s="20">
        <f t="shared" ref="K147:K157" si="99">H146</f>
        <v>55263000</v>
      </c>
      <c r="L147" s="20">
        <f>$F146/4</f>
        <v>51752000</v>
      </c>
      <c r="M147" s="20">
        <f>$F146/4</f>
        <v>51752000</v>
      </c>
      <c r="N147" s="20">
        <f>$F146/4</f>
        <v>51752000</v>
      </c>
      <c r="O147" s="20">
        <f>$F146/4</f>
        <v>51752000</v>
      </c>
      <c r="P147" s="20">
        <f>$E146/4</f>
        <v>34068500</v>
      </c>
      <c r="Q147" s="20">
        <f>$E146/4</f>
        <v>34068500</v>
      </c>
      <c r="R147" s="20">
        <f>$E146/4</f>
        <v>34068500</v>
      </c>
      <c r="S147" s="20">
        <f>$E146/4</f>
        <v>34068500</v>
      </c>
      <c r="T147" s="20">
        <f>$D146/4</f>
        <v>19435000</v>
      </c>
      <c r="U147" s="20">
        <f>$D146/4</f>
        <v>19435000</v>
      </c>
      <c r="V147" s="20">
        <f>$D146/4</f>
        <v>19435000</v>
      </c>
      <c r="W147" s="20">
        <f>$D146/4</f>
        <v>19435000</v>
      </c>
      <c r="X147" s="20">
        <v>0</v>
      </c>
      <c r="Y147" s="20">
        <v>0</v>
      </c>
      <c r="Z147" s="20">
        <v>0</v>
      </c>
      <c r="AA147" s="20">
        <v>0</v>
      </c>
      <c r="AB147" s="20">
        <v>0</v>
      </c>
      <c r="AC147" s="20">
        <v>0</v>
      </c>
      <c r="AE147" s="21">
        <f t="shared" ref="AE147:AE157" si="100">SUM(J147:AC147)/$G147</f>
        <v>26522300</v>
      </c>
      <c r="AF147" s="21">
        <f t="shared" ref="AF147:AF157" si="101">SUMPRODUCT($J$145:$AC$145,J147:AC147)/$G147</f>
        <v>395653200</v>
      </c>
      <c r="AG147" s="21">
        <f t="shared" si="98"/>
        <v>27638700</v>
      </c>
    </row>
    <row r="148" spans="2:33" x14ac:dyDescent="0.2">
      <c r="B148" t="s">
        <v>342</v>
      </c>
      <c r="C148" s="5" t="s">
        <v>98</v>
      </c>
      <c r="D148" s="22">
        <f>$D146</f>
        <v>77740000</v>
      </c>
      <c r="E148" s="22">
        <f>$E146</f>
        <v>136274000</v>
      </c>
      <c r="F148" s="22">
        <f>$F146</f>
        <v>207008000</v>
      </c>
      <c r="G148" s="23">
        <f t="shared" ref="G148:G157" si="102">$G$146</f>
        <v>20</v>
      </c>
      <c r="H148" s="4">
        <v>52306000</v>
      </c>
      <c r="J148" s="20">
        <f t="shared" si="97"/>
        <v>52306000</v>
      </c>
      <c r="K148" s="20">
        <f t="shared" si="99"/>
        <v>54161000</v>
      </c>
      <c r="L148" s="20">
        <f t="shared" ref="L148:L157" si="103">H146</f>
        <v>55263000</v>
      </c>
      <c r="M148" s="20">
        <f>$F146/4</f>
        <v>51752000</v>
      </c>
      <c r="N148" s="20">
        <f>$F146/4</f>
        <v>51752000</v>
      </c>
      <c r="O148" s="20">
        <f>$F146/4</f>
        <v>51752000</v>
      </c>
      <c r="P148" s="20">
        <f>$F146/4</f>
        <v>51752000</v>
      </c>
      <c r="Q148" s="20">
        <f>$E146/4</f>
        <v>34068500</v>
      </c>
      <c r="R148" s="20">
        <f>$E146/4</f>
        <v>34068500</v>
      </c>
      <c r="S148" s="20">
        <f>$E146/4</f>
        <v>34068500</v>
      </c>
      <c r="T148" s="20">
        <f>$E146/4</f>
        <v>34068500</v>
      </c>
      <c r="U148" s="20">
        <f>$D146/4</f>
        <v>19435000</v>
      </c>
      <c r="V148" s="20">
        <f>$D146/4</f>
        <v>19435000</v>
      </c>
      <c r="W148" s="20">
        <f>$D146/4</f>
        <v>19435000</v>
      </c>
      <c r="X148" s="20">
        <f>$D146/4</f>
        <v>19435000</v>
      </c>
      <c r="Y148" s="20">
        <v>0</v>
      </c>
      <c r="Z148" s="20">
        <v>0</v>
      </c>
      <c r="AA148" s="20">
        <v>0</v>
      </c>
      <c r="AB148" s="20">
        <v>0</v>
      </c>
      <c r="AC148" s="20">
        <v>0</v>
      </c>
      <c r="AE148" s="21">
        <f t="shared" si="100"/>
        <v>29137600</v>
      </c>
      <c r="AF148" s="21">
        <f t="shared" si="101"/>
        <v>421436900</v>
      </c>
      <c r="AG148" s="21">
        <f t="shared" si="98"/>
        <v>23168400</v>
      </c>
    </row>
    <row r="149" spans="2:33" x14ac:dyDescent="0.2">
      <c r="B149" t="s">
        <v>342</v>
      </c>
      <c r="C149" s="5" t="s">
        <v>97</v>
      </c>
      <c r="D149" s="22">
        <f>$D146</f>
        <v>77740000</v>
      </c>
      <c r="E149" s="22">
        <f>$E146</f>
        <v>136274000</v>
      </c>
      <c r="F149" s="22">
        <f>$F146</f>
        <v>207008000</v>
      </c>
      <c r="G149" s="23">
        <f t="shared" si="102"/>
        <v>20</v>
      </c>
      <c r="H149" s="4">
        <v>56446000</v>
      </c>
      <c r="J149" s="20">
        <f t="shared" si="97"/>
        <v>56446000</v>
      </c>
      <c r="K149" s="20">
        <f t="shared" si="99"/>
        <v>52306000</v>
      </c>
      <c r="L149" s="20">
        <f t="shared" si="103"/>
        <v>54161000</v>
      </c>
      <c r="M149" s="20">
        <f t="shared" ref="M149:M157" si="104">H146</f>
        <v>55263000</v>
      </c>
      <c r="N149" s="20">
        <f>$F146/4</f>
        <v>51752000</v>
      </c>
      <c r="O149" s="20">
        <f>$F146/4</f>
        <v>51752000</v>
      </c>
      <c r="P149" s="20">
        <f>$F146/4</f>
        <v>51752000</v>
      </c>
      <c r="Q149" s="20">
        <f>$F146/4</f>
        <v>51752000</v>
      </c>
      <c r="R149" s="20">
        <f>$E146/4</f>
        <v>34068500</v>
      </c>
      <c r="S149" s="20">
        <f>$E146/4</f>
        <v>34068500</v>
      </c>
      <c r="T149" s="20">
        <f>$E146/4</f>
        <v>34068500</v>
      </c>
      <c r="U149" s="20">
        <f>$E146/4</f>
        <v>34068500</v>
      </c>
      <c r="V149" s="20">
        <f>$D146/4</f>
        <v>19435000</v>
      </c>
      <c r="W149" s="20">
        <f>$D146/4</f>
        <v>19435000</v>
      </c>
      <c r="X149" s="20">
        <f>$D146/4</f>
        <v>19435000</v>
      </c>
      <c r="Y149" s="20">
        <f>$D146/4</f>
        <v>19435000</v>
      </c>
      <c r="Z149" s="20">
        <v>0</v>
      </c>
      <c r="AA149" s="20">
        <v>0</v>
      </c>
      <c r="AB149" s="20">
        <v>0</v>
      </c>
      <c r="AC149" s="20">
        <v>0</v>
      </c>
      <c r="AE149" s="21">
        <f t="shared" si="100"/>
        <v>31959900</v>
      </c>
      <c r="AF149" s="21">
        <f t="shared" si="101"/>
        <v>448745300</v>
      </c>
      <c r="AG149" s="21">
        <f t="shared" si="98"/>
        <v>24486100</v>
      </c>
    </row>
    <row r="150" spans="2:33" x14ac:dyDescent="0.2">
      <c r="B150" t="s">
        <v>342</v>
      </c>
      <c r="C150" s="5" t="s">
        <v>96</v>
      </c>
      <c r="D150" s="22">
        <f>$D146</f>
        <v>77740000</v>
      </c>
      <c r="E150" s="22">
        <f>$E146</f>
        <v>136274000</v>
      </c>
      <c r="F150" s="22">
        <f>$F146</f>
        <v>207008000</v>
      </c>
      <c r="G150" s="23">
        <f t="shared" si="102"/>
        <v>20</v>
      </c>
      <c r="H150" s="4">
        <v>58321000</v>
      </c>
      <c r="J150" s="20">
        <f t="shared" si="97"/>
        <v>58321000</v>
      </c>
      <c r="K150" s="20">
        <f t="shared" si="99"/>
        <v>56446000</v>
      </c>
      <c r="L150" s="20">
        <f t="shared" si="103"/>
        <v>52306000</v>
      </c>
      <c r="M150" s="20">
        <f t="shared" si="104"/>
        <v>54161000</v>
      </c>
      <c r="N150" s="20">
        <f t="shared" ref="N150:N157" si="105">H146</f>
        <v>55263000</v>
      </c>
      <c r="O150" s="20">
        <f>$F146/4</f>
        <v>51752000</v>
      </c>
      <c r="P150" s="20">
        <f>$F146/4</f>
        <v>51752000</v>
      </c>
      <c r="Q150" s="20">
        <f>$F146/4</f>
        <v>51752000</v>
      </c>
      <c r="R150" s="20">
        <f>$F146/4</f>
        <v>51752000</v>
      </c>
      <c r="S150" s="20">
        <f>$E146/4</f>
        <v>34068500</v>
      </c>
      <c r="T150" s="20">
        <f>$E146/4</f>
        <v>34068500</v>
      </c>
      <c r="U150" s="20">
        <f>$E146/4</f>
        <v>34068500</v>
      </c>
      <c r="V150" s="20">
        <f>$E146/4</f>
        <v>34068500</v>
      </c>
      <c r="W150" s="20">
        <f>$D146/4</f>
        <v>19435000</v>
      </c>
      <c r="X150" s="20">
        <f>$D146/4</f>
        <v>19435000</v>
      </c>
      <c r="Y150" s="20">
        <f>$D146/4</f>
        <v>19435000</v>
      </c>
      <c r="Z150" s="20">
        <f>$D146/4</f>
        <v>19435000</v>
      </c>
      <c r="AA150" s="20">
        <v>0</v>
      </c>
      <c r="AB150" s="20">
        <v>0</v>
      </c>
      <c r="AC150" s="20">
        <v>0</v>
      </c>
      <c r="AE150" s="21">
        <f t="shared" si="100"/>
        <v>34875950</v>
      </c>
      <c r="AF150" s="21">
        <f t="shared" si="101"/>
        <v>475106400</v>
      </c>
      <c r="AG150" s="21">
        <f t="shared" si="98"/>
        <v>23445050</v>
      </c>
    </row>
    <row r="151" spans="2:33" x14ac:dyDescent="0.2">
      <c r="B151" t="s">
        <v>342</v>
      </c>
      <c r="C151" s="5" t="s">
        <v>95</v>
      </c>
      <c r="D151" s="22">
        <f>$D146</f>
        <v>77740000</v>
      </c>
      <c r="E151" s="22">
        <f>$E146</f>
        <v>136274000</v>
      </c>
      <c r="F151" s="22">
        <f>$F146</f>
        <v>207008000</v>
      </c>
      <c r="G151" s="23">
        <f t="shared" si="102"/>
        <v>20</v>
      </c>
      <c r="H151" s="4">
        <v>63602000</v>
      </c>
      <c r="J151" s="20">
        <f t="shared" si="97"/>
        <v>63602000</v>
      </c>
      <c r="K151" s="20">
        <f t="shared" si="99"/>
        <v>58321000</v>
      </c>
      <c r="L151" s="20">
        <f t="shared" si="103"/>
        <v>56446000</v>
      </c>
      <c r="M151" s="20">
        <f t="shared" si="104"/>
        <v>52306000</v>
      </c>
      <c r="N151" s="20">
        <f t="shared" si="105"/>
        <v>54161000</v>
      </c>
      <c r="O151" s="20">
        <f t="shared" ref="O151:O157" si="106">H146</f>
        <v>55263000</v>
      </c>
      <c r="P151" s="20">
        <f>$F146/4</f>
        <v>51752000</v>
      </c>
      <c r="Q151" s="20">
        <f>$F146/4</f>
        <v>51752000</v>
      </c>
      <c r="R151" s="20">
        <f>$F146/4</f>
        <v>51752000</v>
      </c>
      <c r="S151" s="20">
        <f>$F146/4</f>
        <v>51752000</v>
      </c>
      <c r="T151" s="20">
        <f>$E146/4</f>
        <v>34068500</v>
      </c>
      <c r="U151" s="20">
        <f>$E146/4</f>
        <v>34068500</v>
      </c>
      <c r="V151" s="20">
        <f>$E146/4</f>
        <v>34068500</v>
      </c>
      <c r="W151" s="20">
        <f>$E146/4</f>
        <v>34068500</v>
      </c>
      <c r="X151" s="20">
        <f>$D146/4</f>
        <v>19435000</v>
      </c>
      <c r="Y151" s="20">
        <f>$D146/4</f>
        <v>19435000</v>
      </c>
      <c r="Z151" s="20">
        <f>$D146/4</f>
        <v>19435000</v>
      </c>
      <c r="AA151" s="20">
        <f>$D146/4</f>
        <v>19435000</v>
      </c>
      <c r="AB151" s="20">
        <v>0</v>
      </c>
      <c r="AC151" s="20">
        <v>0</v>
      </c>
      <c r="AE151" s="21">
        <f t="shared" si="100"/>
        <v>38056050</v>
      </c>
      <c r="AF151" s="21">
        <f t="shared" si="101"/>
        <v>503832450</v>
      </c>
      <c r="AG151" s="21">
        <f t="shared" si="98"/>
        <v>25545950</v>
      </c>
    </row>
    <row r="152" spans="2:33" x14ac:dyDescent="0.2">
      <c r="B152" t="s">
        <v>342</v>
      </c>
      <c r="C152" s="5" t="s">
        <v>94</v>
      </c>
      <c r="D152" s="22">
        <f>$D146</f>
        <v>77740000</v>
      </c>
      <c r="E152" s="22">
        <f>$E146</f>
        <v>136274000</v>
      </c>
      <c r="F152" s="22">
        <f>$F146</f>
        <v>207008000</v>
      </c>
      <c r="G152" s="23">
        <f t="shared" si="102"/>
        <v>20</v>
      </c>
      <c r="H152" s="4">
        <v>70453000</v>
      </c>
      <c r="J152" s="20">
        <f t="shared" si="97"/>
        <v>70453000</v>
      </c>
      <c r="K152" s="20">
        <f t="shared" si="99"/>
        <v>63602000</v>
      </c>
      <c r="L152" s="20">
        <f t="shared" si="103"/>
        <v>58321000</v>
      </c>
      <c r="M152" s="20">
        <f t="shared" si="104"/>
        <v>56446000</v>
      </c>
      <c r="N152" s="20">
        <f t="shared" si="105"/>
        <v>52306000</v>
      </c>
      <c r="O152" s="20">
        <f t="shared" si="106"/>
        <v>54161000</v>
      </c>
      <c r="P152" s="20">
        <f t="shared" ref="P152:P157" si="107">H146</f>
        <v>55263000</v>
      </c>
      <c r="Q152" s="20">
        <f>$F146/4</f>
        <v>51752000</v>
      </c>
      <c r="R152" s="20">
        <f>$F146/4</f>
        <v>51752000</v>
      </c>
      <c r="S152" s="20">
        <f>$F146/4</f>
        <v>51752000</v>
      </c>
      <c r="T152" s="20">
        <f>$F146/4</f>
        <v>51752000</v>
      </c>
      <c r="U152" s="20">
        <f>$E146/4</f>
        <v>34068500</v>
      </c>
      <c r="V152" s="20">
        <f>$E146/4</f>
        <v>34068500</v>
      </c>
      <c r="W152" s="20">
        <f>$E146/4</f>
        <v>34068500</v>
      </c>
      <c r="X152" s="20">
        <f>$E146/4</f>
        <v>34068500</v>
      </c>
      <c r="Y152" s="20">
        <f>$D146/4</f>
        <v>19435000</v>
      </c>
      <c r="Z152" s="20">
        <f>$D146/4</f>
        <v>19435000</v>
      </c>
      <c r="AA152" s="20">
        <f>$D146/4</f>
        <v>19435000</v>
      </c>
      <c r="AB152" s="20">
        <f>$D146/4</f>
        <v>19435000</v>
      </c>
      <c r="AC152" s="20">
        <v>0</v>
      </c>
      <c r="AE152" s="21">
        <f t="shared" si="100"/>
        <v>41578700</v>
      </c>
      <c r="AF152" s="21">
        <f t="shared" si="101"/>
        <v>536229400</v>
      </c>
      <c r="AG152" s="21">
        <f t="shared" si="98"/>
        <v>28874300</v>
      </c>
    </row>
    <row r="153" spans="2:33" x14ac:dyDescent="0.2">
      <c r="B153" t="s">
        <v>342</v>
      </c>
      <c r="C153" s="5" t="s">
        <v>93</v>
      </c>
      <c r="D153" s="22">
        <f>$D146</f>
        <v>77740000</v>
      </c>
      <c r="E153" s="22">
        <f>$E146</f>
        <v>136274000</v>
      </c>
      <c r="F153" s="22">
        <f>$F146</f>
        <v>207008000</v>
      </c>
      <c r="G153" s="23">
        <f t="shared" si="102"/>
        <v>20</v>
      </c>
      <c r="H153" s="4">
        <v>74626000</v>
      </c>
      <c r="J153" s="20">
        <f t="shared" si="97"/>
        <v>74626000</v>
      </c>
      <c r="K153" s="20">
        <f t="shared" si="99"/>
        <v>70453000</v>
      </c>
      <c r="L153" s="20">
        <f t="shared" si="103"/>
        <v>63602000</v>
      </c>
      <c r="M153" s="20">
        <f t="shared" si="104"/>
        <v>58321000</v>
      </c>
      <c r="N153" s="20">
        <f t="shared" si="105"/>
        <v>56446000</v>
      </c>
      <c r="O153" s="20">
        <f t="shared" si="106"/>
        <v>52306000</v>
      </c>
      <c r="P153" s="20">
        <f t="shared" si="107"/>
        <v>54161000</v>
      </c>
      <c r="Q153" s="20">
        <f>H146</f>
        <v>55263000</v>
      </c>
      <c r="R153" s="20">
        <f>$F146/4</f>
        <v>51752000</v>
      </c>
      <c r="S153" s="20">
        <f>$F146/4</f>
        <v>51752000</v>
      </c>
      <c r="T153" s="20">
        <f>$F146/4</f>
        <v>51752000</v>
      </c>
      <c r="U153" s="20">
        <f>$F146/4</f>
        <v>51752000</v>
      </c>
      <c r="V153" s="20">
        <f>$E146/4</f>
        <v>34068500</v>
      </c>
      <c r="W153" s="20">
        <f>$E146/4</f>
        <v>34068500</v>
      </c>
      <c r="X153" s="20">
        <f>$E146/4</f>
        <v>34068500</v>
      </c>
      <c r="Y153" s="20">
        <f>$E146/4</f>
        <v>34068500</v>
      </c>
      <c r="Z153" s="20">
        <f>$D146/4</f>
        <v>19435000</v>
      </c>
      <c r="AA153" s="20">
        <f>$D146/4</f>
        <v>19435000</v>
      </c>
      <c r="AB153" s="20">
        <f>$D146/4</f>
        <v>19435000</v>
      </c>
      <c r="AC153" s="20">
        <f>$D146/4</f>
        <v>19435000</v>
      </c>
      <c r="AE153" s="21">
        <f t="shared" si="100"/>
        <v>45310000</v>
      </c>
      <c r="AF153" s="21">
        <f t="shared" si="101"/>
        <v>569276700</v>
      </c>
      <c r="AG153" s="21">
        <f t="shared" si="98"/>
        <v>29316000</v>
      </c>
    </row>
    <row r="154" spans="2:33" x14ac:dyDescent="0.2">
      <c r="B154" t="s">
        <v>342</v>
      </c>
      <c r="C154" s="5" t="s">
        <v>141</v>
      </c>
      <c r="D154" s="22">
        <f>$D146</f>
        <v>77740000</v>
      </c>
      <c r="E154" s="22">
        <f>$E146</f>
        <v>136274000</v>
      </c>
      <c r="F154" s="22">
        <f>$F146</f>
        <v>207008000</v>
      </c>
      <c r="G154" s="23">
        <f t="shared" si="102"/>
        <v>20</v>
      </c>
      <c r="H154" s="4">
        <v>72253000</v>
      </c>
      <c r="J154" s="20">
        <f t="shared" si="97"/>
        <v>72253000</v>
      </c>
      <c r="K154" s="20">
        <f t="shared" si="99"/>
        <v>74626000</v>
      </c>
      <c r="L154" s="20">
        <f t="shared" si="103"/>
        <v>70453000</v>
      </c>
      <c r="M154" s="20">
        <f t="shared" si="104"/>
        <v>63602000</v>
      </c>
      <c r="N154" s="20">
        <f t="shared" si="105"/>
        <v>58321000</v>
      </c>
      <c r="O154" s="20">
        <f t="shared" si="106"/>
        <v>56446000</v>
      </c>
      <c r="P154" s="20">
        <f t="shared" si="107"/>
        <v>52306000</v>
      </c>
      <c r="Q154" s="20">
        <f>H147</f>
        <v>54161000</v>
      </c>
      <c r="R154" s="20">
        <f>H146</f>
        <v>55263000</v>
      </c>
      <c r="S154" s="20">
        <f>$F146/4</f>
        <v>51752000</v>
      </c>
      <c r="T154" s="20">
        <f>$F146/4</f>
        <v>51752000</v>
      </c>
      <c r="U154" s="20">
        <f>$F146/4</f>
        <v>51752000</v>
      </c>
      <c r="V154" s="20">
        <f>$F146/4</f>
        <v>51752000</v>
      </c>
      <c r="W154" s="20">
        <f>$E146/4</f>
        <v>34068500</v>
      </c>
      <c r="X154" s="20">
        <f>$E146/4</f>
        <v>34068500</v>
      </c>
      <c r="Y154" s="20">
        <f>$E146/4</f>
        <v>34068500</v>
      </c>
      <c r="Z154" s="20">
        <f>$E146/4</f>
        <v>34068500</v>
      </c>
      <c r="AA154" s="20">
        <f>$D146/4</f>
        <v>19435000</v>
      </c>
      <c r="AB154" s="20">
        <f>$D146/4</f>
        <v>19435000</v>
      </c>
      <c r="AC154" s="20">
        <f>$D146/4</f>
        <v>19435000</v>
      </c>
      <c r="AE154" s="21">
        <f t="shared" si="100"/>
        <v>47950900</v>
      </c>
      <c r="AF154" s="21">
        <f t="shared" si="101"/>
        <v>596219700</v>
      </c>
      <c r="AG154" s="21">
        <f t="shared" si="98"/>
        <v>24302100</v>
      </c>
    </row>
    <row r="155" spans="2:33" x14ac:dyDescent="0.2">
      <c r="B155" t="s">
        <v>342</v>
      </c>
      <c r="C155" s="5" t="s">
        <v>160</v>
      </c>
      <c r="D155" s="22">
        <f>$D146</f>
        <v>77740000</v>
      </c>
      <c r="E155" s="22">
        <f>$E146</f>
        <v>136274000</v>
      </c>
      <c r="F155" s="22">
        <f>$F146</f>
        <v>207008000</v>
      </c>
      <c r="G155" s="23">
        <f t="shared" si="102"/>
        <v>20</v>
      </c>
      <c r="H155" s="4">
        <v>79091000</v>
      </c>
      <c r="J155" s="20">
        <f t="shared" si="97"/>
        <v>79091000</v>
      </c>
      <c r="K155" s="20">
        <f t="shared" si="99"/>
        <v>72253000</v>
      </c>
      <c r="L155" s="20">
        <f t="shared" si="103"/>
        <v>74626000</v>
      </c>
      <c r="M155" s="20">
        <f t="shared" si="104"/>
        <v>70453000</v>
      </c>
      <c r="N155" s="20">
        <f t="shared" si="105"/>
        <v>63602000</v>
      </c>
      <c r="O155" s="20">
        <f t="shared" si="106"/>
        <v>58321000</v>
      </c>
      <c r="P155" s="20">
        <f t="shared" si="107"/>
        <v>56446000</v>
      </c>
      <c r="Q155" s="20">
        <f>H148</f>
        <v>52306000</v>
      </c>
      <c r="R155" s="20">
        <f>H147</f>
        <v>54161000</v>
      </c>
      <c r="S155" s="20">
        <f>H146</f>
        <v>55263000</v>
      </c>
      <c r="T155" s="20">
        <f>$F146/4</f>
        <v>51752000</v>
      </c>
      <c r="U155" s="20">
        <f>$F146/4</f>
        <v>51752000</v>
      </c>
      <c r="V155" s="20">
        <f>$F146/4</f>
        <v>51752000</v>
      </c>
      <c r="W155" s="20">
        <f>$F146/4</f>
        <v>51752000</v>
      </c>
      <c r="X155" s="20">
        <f>$E146/4</f>
        <v>34068500</v>
      </c>
      <c r="Y155" s="20">
        <f>$E146/4</f>
        <v>34068500</v>
      </c>
      <c r="Z155" s="20">
        <f>$E146/4</f>
        <v>34068500</v>
      </c>
      <c r="AA155" s="20">
        <f>$E146/4</f>
        <v>34068500</v>
      </c>
      <c r="AB155" s="20">
        <f>$D146/4</f>
        <v>19435000</v>
      </c>
      <c r="AC155" s="20">
        <f>$D146/4</f>
        <v>19435000</v>
      </c>
      <c r="AE155" s="21">
        <f t="shared" si="100"/>
        <v>50933700</v>
      </c>
      <c r="AF155" s="21">
        <f t="shared" si="101"/>
        <v>627359800</v>
      </c>
      <c r="AG155" s="21">
        <f t="shared" si="98"/>
        <v>28157300</v>
      </c>
    </row>
    <row r="156" spans="2:33" x14ac:dyDescent="0.2">
      <c r="B156" t="s">
        <v>342</v>
      </c>
      <c r="C156" s="5" t="s">
        <v>161</v>
      </c>
      <c r="D156" s="22">
        <f>$D146</f>
        <v>77740000</v>
      </c>
      <c r="E156" s="22">
        <f>$E146</f>
        <v>136274000</v>
      </c>
      <c r="F156" s="22">
        <f>$F146</f>
        <v>207008000</v>
      </c>
      <c r="G156" s="23">
        <f t="shared" si="102"/>
        <v>20</v>
      </c>
      <c r="H156" s="4">
        <v>83146000</v>
      </c>
      <c r="J156" s="20">
        <f t="shared" si="97"/>
        <v>83146000</v>
      </c>
      <c r="K156" s="20">
        <f t="shared" si="99"/>
        <v>79091000</v>
      </c>
      <c r="L156" s="20">
        <f t="shared" si="103"/>
        <v>72253000</v>
      </c>
      <c r="M156" s="20">
        <f t="shared" si="104"/>
        <v>74626000</v>
      </c>
      <c r="N156" s="20">
        <f t="shared" si="105"/>
        <v>70453000</v>
      </c>
      <c r="O156" s="20">
        <f t="shared" si="106"/>
        <v>63602000</v>
      </c>
      <c r="P156" s="20">
        <f t="shared" si="107"/>
        <v>58321000</v>
      </c>
      <c r="Q156" s="20">
        <f>H149</f>
        <v>56446000</v>
      </c>
      <c r="R156" s="20">
        <f>H148</f>
        <v>52306000</v>
      </c>
      <c r="S156" s="20">
        <f>H147</f>
        <v>54161000</v>
      </c>
      <c r="T156" s="20">
        <f>H146</f>
        <v>55263000</v>
      </c>
      <c r="U156" s="20">
        <f>$F146/4</f>
        <v>51752000</v>
      </c>
      <c r="V156" s="20">
        <f>$F146/4</f>
        <v>51752000</v>
      </c>
      <c r="W156" s="20">
        <f>$F146/4</f>
        <v>51752000</v>
      </c>
      <c r="X156" s="20">
        <f>$F146/4</f>
        <v>51752000</v>
      </c>
      <c r="Y156" s="20">
        <f>$E146/4</f>
        <v>34068500</v>
      </c>
      <c r="Z156" s="20">
        <f>$E146/4</f>
        <v>34068500</v>
      </c>
      <c r="AA156" s="20">
        <f>$E146/4</f>
        <v>34068500</v>
      </c>
      <c r="AB156" s="20">
        <f>$E146/4</f>
        <v>34068500</v>
      </c>
      <c r="AC156" s="20">
        <f>$D146/4</f>
        <v>19435000</v>
      </c>
      <c r="AE156" s="21">
        <f t="shared" si="100"/>
        <v>54119250</v>
      </c>
      <c r="AF156" s="21">
        <f t="shared" si="101"/>
        <v>659572100</v>
      </c>
      <c r="AG156" s="21">
        <f t="shared" si="98"/>
        <v>29026750</v>
      </c>
    </row>
    <row r="157" spans="2:33" x14ac:dyDescent="0.2">
      <c r="B157" t="s">
        <v>342</v>
      </c>
      <c r="C157" s="5" t="s">
        <v>162</v>
      </c>
      <c r="D157" s="22">
        <f>$D146</f>
        <v>77740000</v>
      </c>
      <c r="E157" s="22">
        <f>$E146</f>
        <v>136274000</v>
      </c>
      <c r="F157" s="22">
        <f>$F146</f>
        <v>207008000</v>
      </c>
      <c r="G157" s="23">
        <f t="shared" si="102"/>
        <v>20</v>
      </c>
      <c r="H157" s="4">
        <v>89363000</v>
      </c>
      <c r="J157" s="20">
        <f t="shared" si="97"/>
        <v>89363000</v>
      </c>
      <c r="K157" s="20">
        <f t="shared" si="99"/>
        <v>83146000</v>
      </c>
      <c r="L157" s="20">
        <f t="shared" si="103"/>
        <v>79091000</v>
      </c>
      <c r="M157" s="20">
        <f t="shared" si="104"/>
        <v>72253000</v>
      </c>
      <c r="N157" s="20">
        <f t="shared" si="105"/>
        <v>74626000</v>
      </c>
      <c r="O157" s="20">
        <f t="shared" si="106"/>
        <v>70453000</v>
      </c>
      <c r="P157" s="20">
        <f t="shared" si="107"/>
        <v>63602000</v>
      </c>
      <c r="Q157" s="20">
        <f>H150</f>
        <v>58321000</v>
      </c>
      <c r="R157" s="20">
        <f>H149</f>
        <v>56446000</v>
      </c>
      <c r="S157" s="20">
        <f>H148</f>
        <v>52306000</v>
      </c>
      <c r="T157" s="20">
        <f>H147</f>
        <v>54161000</v>
      </c>
      <c r="U157" s="20">
        <f>H146</f>
        <v>55263000</v>
      </c>
      <c r="V157" s="20">
        <f>$F146/4</f>
        <v>51752000</v>
      </c>
      <c r="W157" s="20">
        <f>$F146/4</f>
        <v>51752000</v>
      </c>
      <c r="X157" s="20">
        <f>$F146/4</f>
        <v>51752000</v>
      </c>
      <c r="Y157" s="20">
        <f>$F146/4</f>
        <v>51752000</v>
      </c>
      <c r="Z157" s="20">
        <f>$E146/4</f>
        <v>34068500</v>
      </c>
      <c r="AA157" s="20">
        <f>$E146/4</f>
        <v>34068500</v>
      </c>
      <c r="AB157" s="20">
        <f>$E146/4</f>
        <v>34068500</v>
      </c>
      <c r="AC157" s="20">
        <f>$E146/4</f>
        <v>34068500</v>
      </c>
      <c r="AE157" s="21">
        <f t="shared" si="100"/>
        <v>57615650</v>
      </c>
      <c r="AF157" s="21">
        <f t="shared" si="101"/>
        <v>694815850</v>
      </c>
      <c r="AG157" s="21">
        <f t="shared" si="98"/>
        <v>31747350</v>
      </c>
    </row>
    <row r="158" spans="2:33" x14ac:dyDescent="0.2">
      <c r="I158" s="3"/>
    </row>
    <row r="159" spans="2:33" x14ac:dyDescent="0.2">
      <c r="C159" t="s">
        <v>338</v>
      </c>
    </row>
    <row r="160" spans="2:33" x14ac:dyDescent="0.2">
      <c r="C160" s="6" t="s">
        <v>107</v>
      </c>
      <c r="D160" s="6" t="s">
        <v>439</v>
      </c>
      <c r="E160" s="6" t="s">
        <v>440</v>
      </c>
      <c r="F160" s="6" t="s">
        <v>471</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1: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1:33" x14ac:dyDescent="0.2">
      <c r="A162">
        <v>1</v>
      </c>
      <c r="B162" t="s">
        <v>338</v>
      </c>
      <c r="C162" s="18" t="s">
        <v>488</v>
      </c>
      <c r="G162" s="23">
        <f t="shared" ref="G162:G169" si="108">$G$13</f>
        <v>20</v>
      </c>
      <c r="H162" s="4">
        <v>96871750</v>
      </c>
      <c r="I162" s="20">
        <f>+H162/20</f>
        <v>4843587.5</v>
      </c>
      <c r="J162" s="20">
        <f>+H162-$I162</f>
        <v>92028162.5</v>
      </c>
      <c r="K162" s="20">
        <f>+J162-$I162</f>
        <v>87184575</v>
      </c>
      <c r="L162" s="20">
        <f t="shared" ref="L162" si="109">+K162-$I162</f>
        <v>82340987.5</v>
      </c>
      <c r="M162" s="20">
        <f t="shared" ref="M162:M163" si="110">+L162-$I162</f>
        <v>77497400</v>
      </c>
      <c r="N162" s="20">
        <f t="shared" ref="N162:N164" si="111">+M162-$I162</f>
        <v>72653812.5</v>
      </c>
      <c r="O162" s="20">
        <f t="shared" ref="O162:O166" si="112">+N162-$I162</f>
        <v>67810225</v>
      </c>
      <c r="P162" s="20">
        <f t="shared" ref="P162:P167" si="113">+O162-$I162</f>
        <v>62966637.5</v>
      </c>
      <c r="Q162" s="20">
        <f t="shared" ref="Q162:Q168" si="114">+P162-$I162</f>
        <v>58123050</v>
      </c>
      <c r="R162" s="20">
        <f t="shared" ref="R162:R169" si="115">+Q162-$I162</f>
        <v>53279462.5</v>
      </c>
      <c r="S162" s="20">
        <f t="shared" ref="S162:S170" si="116">+R162-$I162</f>
        <v>48435875</v>
      </c>
      <c r="T162" s="20">
        <f t="shared" ref="T162:T171" si="117">+S162-$I162</f>
        <v>43592287.5</v>
      </c>
      <c r="U162" s="20">
        <f t="shared" ref="U162:U172" si="118">+T162-$I162</f>
        <v>38748700</v>
      </c>
      <c r="V162" s="20">
        <f t="shared" ref="V162:V173" si="119">+U162-$I162</f>
        <v>33905112.5</v>
      </c>
      <c r="W162" s="20">
        <f t="shared" ref="W162:W174" si="120">+V162-$I162</f>
        <v>29061525</v>
      </c>
      <c r="X162" s="20">
        <f t="shared" ref="X162:X175" si="121">+W162-$I162</f>
        <v>24217937.5</v>
      </c>
      <c r="Y162" s="20">
        <f t="shared" ref="Y162:Y176" si="122">+X162-$I162</f>
        <v>19374350</v>
      </c>
      <c r="Z162" s="20">
        <f t="shared" ref="Z162:Z177" si="123">+Y162-$I162</f>
        <v>14530762.5</v>
      </c>
      <c r="AA162" s="20">
        <f t="shared" ref="AA162:AA178" si="124">+Z162-$I162</f>
        <v>9687175</v>
      </c>
      <c r="AB162" s="20">
        <f t="shared" ref="AB162:AB179" si="125">+AA162-$I162</f>
        <v>4843587.5</v>
      </c>
      <c r="AC162" s="20">
        <f t="shared" ref="AC162:AC180" si="126">+AB162-$I162</f>
        <v>0</v>
      </c>
      <c r="AE162" s="21">
        <f>SUM(I162)</f>
        <v>4843587.5</v>
      </c>
      <c r="AF162" s="21">
        <f>SUM(J162:J162)</f>
        <v>92028162.5</v>
      </c>
      <c r="AG162" s="21">
        <f t="shared" ref="AG162:AG181" si="127">H162-AE162</f>
        <v>92028162.5</v>
      </c>
    </row>
    <row r="163" spans="1:33" x14ac:dyDescent="0.2">
      <c r="A163">
        <v>2</v>
      </c>
      <c r="B163" t="s">
        <v>338</v>
      </c>
      <c r="C163" s="18" t="s">
        <v>489</v>
      </c>
      <c r="G163" s="23">
        <f t="shared" si="108"/>
        <v>20</v>
      </c>
      <c r="H163" s="4">
        <v>110524000</v>
      </c>
      <c r="I163" s="20">
        <f t="shared" ref="I163:I181" si="128">+H163/20</f>
        <v>5526200</v>
      </c>
      <c r="J163" s="20"/>
      <c r="K163" s="20">
        <f>+H163-I163</f>
        <v>104997800</v>
      </c>
      <c r="L163" s="20">
        <f>+K163-$I163</f>
        <v>99471600</v>
      </c>
      <c r="M163" s="20">
        <f t="shared" si="110"/>
        <v>93945400</v>
      </c>
      <c r="N163" s="20">
        <f t="shared" si="111"/>
        <v>88419200</v>
      </c>
      <c r="O163" s="20">
        <f t="shared" si="112"/>
        <v>82893000</v>
      </c>
      <c r="P163" s="20">
        <f t="shared" si="113"/>
        <v>77366800</v>
      </c>
      <c r="Q163" s="20">
        <f t="shared" si="114"/>
        <v>71840600</v>
      </c>
      <c r="R163" s="20">
        <f t="shared" si="115"/>
        <v>66314400</v>
      </c>
      <c r="S163" s="20">
        <f t="shared" si="116"/>
        <v>60788200</v>
      </c>
      <c r="T163" s="20">
        <f t="shared" si="117"/>
        <v>55262000</v>
      </c>
      <c r="U163" s="20">
        <f t="shared" si="118"/>
        <v>49735800</v>
      </c>
      <c r="V163" s="20">
        <f t="shared" si="119"/>
        <v>44209600</v>
      </c>
      <c r="W163" s="20">
        <f t="shared" si="120"/>
        <v>38683400</v>
      </c>
      <c r="X163" s="20">
        <f t="shared" si="121"/>
        <v>33157200</v>
      </c>
      <c r="Y163" s="20">
        <f t="shared" si="122"/>
        <v>27631000</v>
      </c>
      <c r="Z163" s="20">
        <f t="shared" si="123"/>
        <v>22104800</v>
      </c>
      <c r="AA163" s="20">
        <f t="shared" si="124"/>
        <v>16578600</v>
      </c>
      <c r="AB163" s="20">
        <f t="shared" si="125"/>
        <v>11052400</v>
      </c>
      <c r="AC163" s="20">
        <f t="shared" si="126"/>
        <v>5526200</v>
      </c>
      <c r="AE163" s="21">
        <f>SUM(I162:I163)</f>
        <v>10369787.5</v>
      </c>
      <c r="AF163" s="21">
        <f>SUM(K162:K163)</f>
        <v>192182375</v>
      </c>
      <c r="AG163" s="21">
        <f t="shared" si="127"/>
        <v>100154212.5</v>
      </c>
    </row>
    <row r="164" spans="1:33" x14ac:dyDescent="0.2">
      <c r="A164">
        <v>3</v>
      </c>
      <c r="B164" t="s">
        <v>338</v>
      </c>
      <c r="C164" s="18" t="s">
        <v>490</v>
      </c>
      <c r="G164" s="23">
        <f t="shared" si="108"/>
        <v>20</v>
      </c>
      <c r="H164" s="4">
        <v>94316000</v>
      </c>
      <c r="I164" s="20">
        <f t="shared" si="128"/>
        <v>4715800</v>
      </c>
      <c r="J164" s="20"/>
      <c r="K164" s="20"/>
      <c r="L164" s="20">
        <f>+H164-I164</f>
        <v>89600200</v>
      </c>
      <c r="M164" s="20">
        <f>+L164-$I164</f>
        <v>84884400</v>
      </c>
      <c r="N164" s="20">
        <f t="shared" si="111"/>
        <v>80168600</v>
      </c>
      <c r="O164" s="20">
        <f t="shared" si="112"/>
        <v>75452800</v>
      </c>
      <c r="P164" s="20">
        <f t="shared" si="113"/>
        <v>70737000</v>
      </c>
      <c r="Q164" s="20">
        <f t="shared" si="114"/>
        <v>66021200</v>
      </c>
      <c r="R164" s="20">
        <f t="shared" si="115"/>
        <v>61305400</v>
      </c>
      <c r="S164" s="20">
        <f t="shared" si="116"/>
        <v>56589600</v>
      </c>
      <c r="T164" s="20">
        <f t="shared" si="117"/>
        <v>51873800</v>
      </c>
      <c r="U164" s="20">
        <f t="shared" si="118"/>
        <v>47158000</v>
      </c>
      <c r="V164" s="20">
        <f t="shared" si="119"/>
        <v>42442200</v>
      </c>
      <c r="W164" s="20">
        <f t="shared" si="120"/>
        <v>37726400</v>
      </c>
      <c r="X164" s="20">
        <f t="shared" si="121"/>
        <v>33010600</v>
      </c>
      <c r="Y164" s="20">
        <f t="shared" si="122"/>
        <v>28294800</v>
      </c>
      <c r="Z164" s="20">
        <f t="shared" si="123"/>
        <v>23579000</v>
      </c>
      <c r="AA164" s="20">
        <f t="shared" si="124"/>
        <v>18863200</v>
      </c>
      <c r="AB164" s="20">
        <f t="shared" si="125"/>
        <v>14147400</v>
      </c>
      <c r="AC164" s="20">
        <f t="shared" si="126"/>
        <v>9431600</v>
      </c>
      <c r="AE164" s="21">
        <f>SUM(I162:I164)</f>
        <v>15085587.5</v>
      </c>
      <c r="AF164" s="21">
        <f>SUM(L162:L164)</f>
        <v>271412787.5</v>
      </c>
      <c r="AG164" s="21">
        <f t="shared" si="127"/>
        <v>79230412.5</v>
      </c>
    </row>
    <row r="165" spans="1:33" x14ac:dyDescent="0.2">
      <c r="A165">
        <v>4</v>
      </c>
      <c r="B165" t="s">
        <v>338</v>
      </c>
      <c r="C165" s="18" t="s">
        <v>491</v>
      </c>
      <c r="G165" s="23">
        <f t="shared" si="108"/>
        <v>20</v>
      </c>
      <c r="H165" s="4">
        <v>84176000</v>
      </c>
      <c r="I165" s="20">
        <f t="shared" si="128"/>
        <v>4208800</v>
      </c>
      <c r="J165" s="20"/>
      <c r="K165" s="20"/>
      <c r="L165" s="20"/>
      <c r="M165" s="20">
        <f>+H165-I165</f>
        <v>79967200</v>
      </c>
      <c r="N165" s="20">
        <f>+M165-$I165</f>
        <v>75758400</v>
      </c>
      <c r="O165" s="20">
        <f t="shared" si="112"/>
        <v>71549600</v>
      </c>
      <c r="P165" s="20">
        <f t="shared" si="113"/>
        <v>67340800</v>
      </c>
      <c r="Q165" s="20">
        <f t="shared" si="114"/>
        <v>63132000</v>
      </c>
      <c r="R165" s="20">
        <f t="shared" si="115"/>
        <v>58923200</v>
      </c>
      <c r="S165" s="20">
        <f t="shared" si="116"/>
        <v>54714400</v>
      </c>
      <c r="T165" s="20">
        <f t="shared" si="117"/>
        <v>50505600</v>
      </c>
      <c r="U165" s="20">
        <f t="shared" si="118"/>
        <v>46296800</v>
      </c>
      <c r="V165" s="20">
        <f t="shared" si="119"/>
        <v>42088000</v>
      </c>
      <c r="W165" s="20">
        <f t="shared" si="120"/>
        <v>37879200</v>
      </c>
      <c r="X165" s="20">
        <f t="shared" si="121"/>
        <v>33670400</v>
      </c>
      <c r="Y165" s="20">
        <f t="shared" si="122"/>
        <v>29461600</v>
      </c>
      <c r="Z165" s="20">
        <f t="shared" si="123"/>
        <v>25252800</v>
      </c>
      <c r="AA165" s="20">
        <f t="shared" si="124"/>
        <v>21044000</v>
      </c>
      <c r="AB165" s="20">
        <f t="shared" si="125"/>
        <v>16835200</v>
      </c>
      <c r="AC165" s="20">
        <f t="shared" si="126"/>
        <v>12626400</v>
      </c>
      <c r="AE165" s="21">
        <f>SUM(I162:I165)</f>
        <v>19294387.5</v>
      </c>
      <c r="AF165" s="21">
        <f>SUM(M162:M165)</f>
        <v>336294400</v>
      </c>
      <c r="AG165" s="21">
        <f t="shared" si="127"/>
        <v>64881612.5</v>
      </c>
    </row>
    <row r="166" spans="1:33" x14ac:dyDescent="0.2">
      <c r="A166">
        <v>5</v>
      </c>
      <c r="B166" t="s">
        <v>338</v>
      </c>
      <c r="C166" s="18" t="s">
        <v>484</v>
      </c>
      <c r="G166" s="23">
        <f t="shared" si="108"/>
        <v>20</v>
      </c>
      <c r="H166" s="4">
        <v>88601000</v>
      </c>
      <c r="I166" s="20">
        <f t="shared" si="128"/>
        <v>4430050</v>
      </c>
      <c r="J166" s="20"/>
      <c r="K166" s="20"/>
      <c r="L166" s="20"/>
      <c r="M166" s="20"/>
      <c r="N166" s="20">
        <f>+H166-I166</f>
        <v>84170950</v>
      </c>
      <c r="O166" s="20">
        <f t="shared" si="112"/>
        <v>79740900</v>
      </c>
      <c r="P166" s="20">
        <f t="shared" si="113"/>
        <v>75310850</v>
      </c>
      <c r="Q166" s="20">
        <f t="shared" si="114"/>
        <v>70880800</v>
      </c>
      <c r="R166" s="20">
        <f t="shared" si="115"/>
        <v>66450750</v>
      </c>
      <c r="S166" s="20">
        <f t="shared" si="116"/>
        <v>62020700</v>
      </c>
      <c r="T166" s="20">
        <f t="shared" si="117"/>
        <v>57590650</v>
      </c>
      <c r="U166" s="20">
        <f t="shared" si="118"/>
        <v>53160600</v>
      </c>
      <c r="V166" s="20">
        <f t="shared" si="119"/>
        <v>48730550</v>
      </c>
      <c r="W166" s="20">
        <f t="shared" si="120"/>
        <v>44300500</v>
      </c>
      <c r="X166" s="20">
        <f t="shared" si="121"/>
        <v>39870450</v>
      </c>
      <c r="Y166" s="20">
        <f t="shared" si="122"/>
        <v>35440400</v>
      </c>
      <c r="Z166" s="20">
        <f t="shared" si="123"/>
        <v>31010350</v>
      </c>
      <c r="AA166" s="20">
        <f t="shared" si="124"/>
        <v>26580300</v>
      </c>
      <c r="AB166" s="20">
        <f t="shared" si="125"/>
        <v>22150250</v>
      </c>
      <c r="AC166" s="20">
        <f t="shared" si="126"/>
        <v>17720200</v>
      </c>
      <c r="AE166" s="21">
        <f>SUM(I162:I166)</f>
        <v>23724437.5</v>
      </c>
      <c r="AF166" s="21">
        <f>SUM(N162:N166)</f>
        <v>401170962.5</v>
      </c>
      <c r="AG166" s="21">
        <f t="shared" si="127"/>
        <v>64876562.5</v>
      </c>
    </row>
    <row r="167" spans="1:33" x14ac:dyDescent="0.2">
      <c r="A167">
        <v>6</v>
      </c>
      <c r="B167" t="s">
        <v>338</v>
      </c>
      <c r="C167" s="18" t="s">
        <v>485</v>
      </c>
      <c r="G167" s="23">
        <f t="shared" si="108"/>
        <v>20</v>
      </c>
      <c r="H167" s="4">
        <v>88171000</v>
      </c>
      <c r="I167" s="20">
        <f t="shared" si="128"/>
        <v>4408550</v>
      </c>
      <c r="J167" s="20"/>
      <c r="K167" s="20"/>
      <c r="L167" s="20"/>
      <c r="M167" s="20"/>
      <c r="N167" s="20"/>
      <c r="O167" s="20">
        <f>+H167-I167</f>
        <v>83762450</v>
      </c>
      <c r="P167" s="20">
        <f t="shared" si="113"/>
        <v>79353900</v>
      </c>
      <c r="Q167" s="20">
        <f t="shared" si="114"/>
        <v>74945350</v>
      </c>
      <c r="R167" s="20">
        <f t="shared" si="115"/>
        <v>70536800</v>
      </c>
      <c r="S167" s="20">
        <f t="shared" si="116"/>
        <v>66128250</v>
      </c>
      <c r="T167" s="20">
        <f t="shared" si="117"/>
        <v>61719700</v>
      </c>
      <c r="U167" s="20">
        <f t="shared" si="118"/>
        <v>57311150</v>
      </c>
      <c r="V167" s="20">
        <f t="shared" si="119"/>
        <v>52902600</v>
      </c>
      <c r="W167" s="20">
        <f t="shared" si="120"/>
        <v>48494050</v>
      </c>
      <c r="X167" s="20">
        <f t="shared" si="121"/>
        <v>44085500</v>
      </c>
      <c r="Y167" s="20">
        <f t="shared" si="122"/>
        <v>39676950</v>
      </c>
      <c r="Z167" s="20">
        <f t="shared" si="123"/>
        <v>35268400</v>
      </c>
      <c r="AA167" s="20">
        <f t="shared" si="124"/>
        <v>30859850</v>
      </c>
      <c r="AB167" s="20">
        <f t="shared" si="125"/>
        <v>26451300</v>
      </c>
      <c r="AC167" s="20">
        <f t="shared" si="126"/>
        <v>22042750</v>
      </c>
      <c r="AE167" s="21">
        <f>SUM(I162:I167)</f>
        <v>28132987.5</v>
      </c>
      <c r="AF167" s="21">
        <f>SUM(O162:O167)</f>
        <v>461208975</v>
      </c>
      <c r="AG167" s="21">
        <f t="shared" si="127"/>
        <v>60038012.5</v>
      </c>
    </row>
    <row r="168" spans="1:33" x14ac:dyDescent="0.2">
      <c r="A168">
        <v>7</v>
      </c>
      <c r="B168" t="s">
        <v>338</v>
      </c>
      <c r="C168" s="18" t="s">
        <v>486</v>
      </c>
      <c r="G168" s="23">
        <f t="shared" si="108"/>
        <v>20</v>
      </c>
      <c r="H168" s="4">
        <v>100863000</v>
      </c>
      <c r="I168" s="20">
        <f t="shared" si="128"/>
        <v>5043150</v>
      </c>
      <c r="J168" s="20"/>
      <c r="K168" s="20"/>
      <c r="L168" s="20"/>
      <c r="M168" s="20"/>
      <c r="N168" s="20"/>
      <c r="O168" s="20"/>
      <c r="P168" s="20">
        <f>+H168-I168</f>
        <v>95819850</v>
      </c>
      <c r="Q168" s="20">
        <f t="shared" si="114"/>
        <v>90776700</v>
      </c>
      <c r="R168" s="20">
        <f t="shared" si="115"/>
        <v>85733550</v>
      </c>
      <c r="S168" s="20">
        <f t="shared" si="116"/>
        <v>80690400</v>
      </c>
      <c r="T168" s="20">
        <f t="shared" si="117"/>
        <v>75647250</v>
      </c>
      <c r="U168" s="20">
        <f t="shared" si="118"/>
        <v>70604100</v>
      </c>
      <c r="V168" s="20">
        <f t="shared" si="119"/>
        <v>65560950</v>
      </c>
      <c r="W168" s="20">
        <f t="shared" si="120"/>
        <v>60517800</v>
      </c>
      <c r="X168" s="20">
        <f t="shared" si="121"/>
        <v>55474650</v>
      </c>
      <c r="Y168" s="20">
        <f t="shared" si="122"/>
        <v>50431500</v>
      </c>
      <c r="Z168" s="20">
        <f t="shared" si="123"/>
        <v>45388350</v>
      </c>
      <c r="AA168" s="20">
        <f t="shared" si="124"/>
        <v>40345200</v>
      </c>
      <c r="AB168" s="20">
        <f t="shared" si="125"/>
        <v>35302050</v>
      </c>
      <c r="AC168" s="20">
        <f t="shared" si="126"/>
        <v>30258900</v>
      </c>
      <c r="AE168" s="21">
        <f>SUM(I162:I168)</f>
        <v>33176137.5</v>
      </c>
      <c r="AF168" s="21">
        <f>SUM(P162:P168)</f>
        <v>528895837.5</v>
      </c>
      <c r="AG168" s="21">
        <f t="shared" si="127"/>
        <v>67686862.5</v>
      </c>
    </row>
    <row r="169" spans="1:33" x14ac:dyDescent="0.2">
      <c r="A169">
        <v>8</v>
      </c>
      <c r="B169" t="s">
        <v>338</v>
      </c>
      <c r="C169" s="18" t="s">
        <v>487</v>
      </c>
      <c r="G169" s="23">
        <f t="shared" si="108"/>
        <v>20</v>
      </c>
      <c r="H169" s="4">
        <v>82044000</v>
      </c>
      <c r="I169" s="20">
        <f t="shared" si="128"/>
        <v>4102200</v>
      </c>
      <c r="J169" s="20"/>
      <c r="K169" s="20"/>
      <c r="L169" s="20"/>
      <c r="M169" s="20"/>
      <c r="N169" s="20"/>
      <c r="O169" s="20"/>
      <c r="P169" s="20"/>
      <c r="Q169" s="20">
        <f>+H169-I169</f>
        <v>77941800</v>
      </c>
      <c r="R169" s="20">
        <f t="shared" si="115"/>
        <v>73839600</v>
      </c>
      <c r="S169" s="20">
        <f t="shared" si="116"/>
        <v>69737400</v>
      </c>
      <c r="T169" s="20">
        <f t="shared" si="117"/>
        <v>65635200</v>
      </c>
      <c r="U169" s="20">
        <f t="shared" si="118"/>
        <v>61533000</v>
      </c>
      <c r="V169" s="20">
        <f t="shared" si="119"/>
        <v>57430800</v>
      </c>
      <c r="W169" s="20">
        <f t="shared" si="120"/>
        <v>53328600</v>
      </c>
      <c r="X169" s="20">
        <f t="shared" si="121"/>
        <v>49226400</v>
      </c>
      <c r="Y169" s="20">
        <f t="shared" si="122"/>
        <v>45124200</v>
      </c>
      <c r="Z169" s="20">
        <f t="shared" si="123"/>
        <v>41022000</v>
      </c>
      <c r="AA169" s="20">
        <f t="shared" si="124"/>
        <v>36919800</v>
      </c>
      <c r="AB169" s="20">
        <f t="shared" si="125"/>
        <v>32817600</v>
      </c>
      <c r="AC169" s="20">
        <f t="shared" si="126"/>
        <v>28715400</v>
      </c>
      <c r="AE169" s="21">
        <f>SUM(I162:I169)</f>
        <v>37278337.5</v>
      </c>
      <c r="AF169" s="21">
        <f>SUM(Q162:Q169)</f>
        <v>573661500</v>
      </c>
      <c r="AG169" s="21">
        <f t="shared" si="127"/>
        <v>44765662.5</v>
      </c>
    </row>
    <row r="170" spans="1:33" x14ac:dyDescent="0.2">
      <c r="A170">
        <v>9</v>
      </c>
      <c r="B170" t="s">
        <v>338</v>
      </c>
      <c r="C170" s="18" t="s">
        <v>104</v>
      </c>
      <c r="D170" s="4">
        <v>3924000000</v>
      </c>
      <c r="E170" s="4">
        <v>5268000000</v>
      </c>
      <c r="F170" s="4">
        <v>7339000000</v>
      </c>
      <c r="G170" s="19">
        <v>20</v>
      </c>
      <c r="H170" s="4">
        <v>90100000</v>
      </c>
      <c r="I170" s="20">
        <f t="shared" si="128"/>
        <v>4505000</v>
      </c>
      <c r="J170" s="20"/>
      <c r="K170" s="20"/>
      <c r="L170" s="20"/>
      <c r="M170" s="20"/>
      <c r="N170" s="20"/>
      <c r="O170" s="20"/>
      <c r="P170" s="20"/>
      <c r="Q170" s="20"/>
      <c r="R170" s="20">
        <f>+H170-I170</f>
        <v>85595000</v>
      </c>
      <c r="S170" s="20">
        <f t="shared" si="116"/>
        <v>81090000</v>
      </c>
      <c r="T170" s="20">
        <f t="shared" si="117"/>
        <v>76585000</v>
      </c>
      <c r="U170" s="20">
        <f t="shared" si="118"/>
        <v>72080000</v>
      </c>
      <c r="V170" s="20">
        <f t="shared" si="119"/>
        <v>67575000</v>
      </c>
      <c r="W170" s="20">
        <f t="shared" si="120"/>
        <v>63070000</v>
      </c>
      <c r="X170" s="20">
        <f t="shared" si="121"/>
        <v>58565000</v>
      </c>
      <c r="Y170" s="20">
        <f t="shared" si="122"/>
        <v>54060000</v>
      </c>
      <c r="Z170" s="20">
        <f t="shared" si="123"/>
        <v>49555000</v>
      </c>
      <c r="AA170" s="20">
        <f t="shared" si="124"/>
        <v>45050000</v>
      </c>
      <c r="AB170" s="20">
        <f t="shared" si="125"/>
        <v>40545000</v>
      </c>
      <c r="AC170" s="20">
        <f t="shared" si="126"/>
        <v>36040000</v>
      </c>
      <c r="AE170" s="21">
        <f>SUM(I162:I170)</f>
        <v>41783337.5</v>
      </c>
      <c r="AF170" s="21">
        <f>SUM(R162:R170)</f>
        <v>621978162.5</v>
      </c>
      <c r="AG170" s="21">
        <f t="shared" si="127"/>
        <v>48316662.5</v>
      </c>
    </row>
    <row r="171" spans="1:33" x14ac:dyDescent="0.2">
      <c r="A171">
        <v>10</v>
      </c>
      <c r="B171" t="s">
        <v>338</v>
      </c>
      <c r="C171" s="18" t="s">
        <v>103</v>
      </c>
      <c r="D171" s="22">
        <f>$D170</f>
        <v>3924000000</v>
      </c>
      <c r="E171" s="22">
        <f>$E170</f>
        <v>5268000000</v>
      </c>
      <c r="F171" s="22">
        <f>$F170</f>
        <v>7339000000</v>
      </c>
      <c r="G171" s="23">
        <f>$G$13</f>
        <v>20</v>
      </c>
      <c r="H171" s="4">
        <v>99533000</v>
      </c>
      <c r="I171" s="20">
        <f t="shared" si="128"/>
        <v>4976650</v>
      </c>
      <c r="J171" s="20"/>
      <c r="K171" s="20"/>
      <c r="L171" s="20"/>
      <c r="M171" s="20"/>
      <c r="N171" s="20"/>
      <c r="O171" s="20"/>
      <c r="P171" s="20"/>
      <c r="Q171" s="20"/>
      <c r="R171" s="20"/>
      <c r="S171" s="20">
        <f>+H171-I171</f>
        <v>94556350</v>
      </c>
      <c r="T171" s="20">
        <f t="shared" si="117"/>
        <v>89579700</v>
      </c>
      <c r="U171" s="20">
        <f t="shared" si="118"/>
        <v>84603050</v>
      </c>
      <c r="V171" s="20">
        <f t="shared" si="119"/>
        <v>79626400</v>
      </c>
      <c r="W171" s="20">
        <f t="shared" si="120"/>
        <v>74649750</v>
      </c>
      <c r="X171" s="20">
        <f t="shared" si="121"/>
        <v>69673100</v>
      </c>
      <c r="Y171" s="20">
        <f t="shared" si="122"/>
        <v>64696450</v>
      </c>
      <c r="Z171" s="20">
        <f t="shared" si="123"/>
        <v>59719800</v>
      </c>
      <c r="AA171" s="20">
        <f t="shared" si="124"/>
        <v>54743150</v>
      </c>
      <c r="AB171" s="20">
        <f t="shared" si="125"/>
        <v>49766500</v>
      </c>
      <c r="AC171" s="20">
        <f t="shared" si="126"/>
        <v>44789850</v>
      </c>
      <c r="AE171" s="21">
        <f>SUM(I162:I171)</f>
        <v>46759987.5</v>
      </c>
      <c r="AF171" s="21">
        <f>SUM(S162:S171)</f>
        <v>674751175</v>
      </c>
      <c r="AG171" s="21">
        <f t="shared" si="127"/>
        <v>52773012.5</v>
      </c>
    </row>
    <row r="172" spans="1:33" x14ac:dyDescent="0.2">
      <c r="A172">
        <v>11</v>
      </c>
      <c r="B172" t="s">
        <v>338</v>
      </c>
      <c r="C172" s="18" t="s">
        <v>102</v>
      </c>
      <c r="D172" s="22">
        <f>$D170</f>
        <v>3924000000</v>
      </c>
      <c r="E172" s="22">
        <f>$E170</f>
        <v>5268000000</v>
      </c>
      <c r="F172" s="22">
        <f>$F170</f>
        <v>7339000000</v>
      </c>
      <c r="G172" s="23">
        <f t="shared" ref="G172:G181" si="129">$G$13</f>
        <v>20</v>
      </c>
      <c r="H172" s="4">
        <v>105708000</v>
      </c>
      <c r="I172" s="20">
        <f t="shared" si="128"/>
        <v>5285400</v>
      </c>
      <c r="J172" s="20"/>
      <c r="K172" s="20"/>
      <c r="L172" s="20"/>
      <c r="M172" s="20"/>
      <c r="N172" s="20"/>
      <c r="O172" s="20"/>
      <c r="P172" s="20"/>
      <c r="Q172" s="20"/>
      <c r="R172" s="20"/>
      <c r="S172" s="20"/>
      <c r="T172" s="20">
        <f>+H172-I172</f>
        <v>100422600</v>
      </c>
      <c r="U172" s="20">
        <f t="shared" si="118"/>
        <v>95137200</v>
      </c>
      <c r="V172" s="20">
        <f t="shared" si="119"/>
        <v>89851800</v>
      </c>
      <c r="W172" s="20">
        <f t="shared" si="120"/>
        <v>84566400</v>
      </c>
      <c r="X172" s="20">
        <f t="shared" si="121"/>
        <v>79281000</v>
      </c>
      <c r="Y172" s="20">
        <f t="shared" si="122"/>
        <v>73995600</v>
      </c>
      <c r="Z172" s="20">
        <f t="shared" si="123"/>
        <v>68710200</v>
      </c>
      <c r="AA172" s="20">
        <f t="shared" si="124"/>
        <v>63424800</v>
      </c>
      <c r="AB172" s="20">
        <f t="shared" si="125"/>
        <v>58139400</v>
      </c>
      <c r="AC172" s="20">
        <f t="shared" si="126"/>
        <v>52854000</v>
      </c>
      <c r="AE172" s="21">
        <f>SUM(I162:I172)</f>
        <v>52045387.5</v>
      </c>
      <c r="AF172" s="21">
        <f>SUM(T162:T172)</f>
        <v>728413787.5</v>
      </c>
      <c r="AG172" s="21">
        <f t="shared" si="127"/>
        <v>53662612.5</v>
      </c>
    </row>
    <row r="173" spans="1:33" x14ac:dyDescent="0.2">
      <c r="A173">
        <v>12</v>
      </c>
      <c r="B173" t="s">
        <v>338</v>
      </c>
      <c r="C173" s="18" t="s">
        <v>101</v>
      </c>
      <c r="D173" s="22">
        <f>$D170</f>
        <v>3924000000</v>
      </c>
      <c r="E173" s="22">
        <f>$E170</f>
        <v>5268000000</v>
      </c>
      <c r="F173" s="22">
        <f>$F170</f>
        <v>7339000000</v>
      </c>
      <c r="G173" s="23">
        <f t="shared" si="129"/>
        <v>20</v>
      </c>
      <c r="H173" s="4">
        <v>109283000</v>
      </c>
      <c r="I173" s="20">
        <f t="shared" si="128"/>
        <v>5464150</v>
      </c>
      <c r="J173" s="20"/>
      <c r="K173" s="20"/>
      <c r="L173" s="20"/>
      <c r="M173" s="20"/>
      <c r="N173" s="20"/>
      <c r="O173" s="20"/>
      <c r="P173" s="20"/>
      <c r="Q173" s="20"/>
      <c r="R173" s="20"/>
      <c r="S173" s="20"/>
      <c r="T173" s="20"/>
      <c r="U173" s="20">
        <f>+H173-I173</f>
        <v>103818850</v>
      </c>
      <c r="V173" s="20">
        <f t="shared" si="119"/>
        <v>98354700</v>
      </c>
      <c r="W173" s="20">
        <f t="shared" si="120"/>
        <v>92890550</v>
      </c>
      <c r="X173" s="20">
        <f t="shared" si="121"/>
        <v>87426400</v>
      </c>
      <c r="Y173" s="20">
        <f t="shared" si="122"/>
        <v>81962250</v>
      </c>
      <c r="Z173" s="20">
        <f t="shared" si="123"/>
        <v>76498100</v>
      </c>
      <c r="AA173" s="20">
        <f t="shared" si="124"/>
        <v>71033950</v>
      </c>
      <c r="AB173" s="20">
        <f t="shared" si="125"/>
        <v>65569800</v>
      </c>
      <c r="AC173" s="20">
        <f t="shared" si="126"/>
        <v>60105650</v>
      </c>
      <c r="AE173" s="21">
        <f>SUM(I162:I173)</f>
        <v>57509537.5</v>
      </c>
      <c r="AF173" s="21">
        <f>SUM(U162:U173)</f>
        <v>780187250</v>
      </c>
      <c r="AG173" s="21">
        <f t="shared" si="127"/>
        <v>51773462.5</v>
      </c>
    </row>
    <row r="174" spans="1:33" x14ac:dyDescent="0.2">
      <c r="A174">
        <v>13</v>
      </c>
      <c r="B174" t="s">
        <v>338</v>
      </c>
      <c r="C174" s="18" t="s">
        <v>100</v>
      </c>
      <c r="D174" s="22">
        <f>$D170</f>
        <v>3924000000</v>
      </c>
      <c r="E174" s="22">
        <f>$E170</f>
        <v>5268000000</v>
      </c>
      <c r="F174" s="22">
        <f>$F170</f>
        <v>7339000000</v>
      </c>
      <c r="G174" s="23">
        <f t="shared" si="129"/>
        <v>20</v>
      </c>
      <c r="H174" s="4">
        <v>110040000</v>
      </c>
      <c r="I174" s="20">
        <f t="shared" si="128"/>
        <v>5502000</v>
      </c>
      <c r="J174" s="20"/>
      <c r="K174" s="20"/>
      <c r="L174" s="20"/>
      <c r="M174" s="20"/>
      <c r="N174" s="20"/>
      <c r="O174" s="20"/>
      <c r="P174" s="20"/>
      <c r="Q174" s="20"/>
      <c r="R174" s="20"/>
      <c r="S174" s="20"/>
      <c r="T174" s="20"/>
      <c r="U174" s="20"/>
      <c r="V174" s="20">
        <f>+H174-I174</f>
        <v>104538000</v>
      </c>
      <c r="W174" s="20">
        <f t="shared" si="120"/>
        <v>99036000</v>
      </c>
      <c r="X174" s="20">
        <f t="shared" si="121"/>
        <v>93534000</v>
      </c>
      <c r="Y174" s="20">
        <f t="shared" si="122"/>
        <v>88032000</v>
      </c>
      <c r="Z174" s="20">
        <f t="shared" si="123"/>
        <v>82530000</v>
      </c>
      <c r="AA174" s="20">
        <f t="shared" si="124"/>
        <v>77028000</v>
      </c>
      <c r="AB174" s="20">
        <f t="shared" si="125"/>
        <v>71526000</v>
      </c>
      <c r="AC174" s="20">
        <f t="shared" si="126"/>
        <v>66024000</v>
      </c>
      <c r="AE174" s="21">
        <f>SUM(I162:I174)</f>
        <v>63011537.5</v>
      </c>
      <c r="AF174" s="21">
        <f>SUM(V162:V174)</f>
        <v>827215712.5</v>
      </c>
      <c r="AG174" s="21">
        <f t="shared" si="127"/>
        <v>47028462.5</v>
      </c>
    </row>
    <row r="175" spans="1:33" x14ac:dyDescent="0.2">
      <c r="A175">
        <v>14</v>
      </c>
      <c r="B175" t="s">
        <v>338</v>
      </c>
      <c r="C175" s="18" t="s">
        <v>99</v>
      </c>
      <c r="D175" s="22">
        <f>$D170</f>
        <v>3924000000</v>
      </c>
      <c r="E175" s="22">
        <f>$E170</f>
        <v>5268000000</v>
      </c>
      <c r="F175" s="22">
        <f>$F170</f>
        <v>7339000000</v>
      </c>
      <c r="G175" s="23">
        <f t="shared" si="129"/>
        <v>20</v>
      </c>
      <c r="H175" s="4">
        <v>108781000</v>
      </c>
      <c r="I175" s="20">
        <f t="shared" si="128"/>
        <v>5439050</v>
      </c>
      <c r="J175" s="20"/>
      <c r="K175" s="20"/>
      <c r="L175" s="20"/>
      <c r="M175" s="20"/>
      <c r="N175" s="20"/>
      <c r="O175" s="20"/>
      <c r="P175" s="20"/>
      <c r="Q175" s="20"/>
      <c r="R175" s="20"/>
      <c r="S175" s="20"/>
      <c r="T175" s="20"/>
      <c r="U175" s="20"/>
      <c r="V175" s="20"/>
      <c r="W175" s="20">
        <f>+H175-I175</f>
        <v>103341950</v>
      </c>
      <c r="X175" s="20">
        <f t="shared" si="121"/>
        <v>97902900</v>
      </c>
      <c r="Y175" s="20">
        <f t="shared" si="122"/>
        <v>92463850</v>
      </c>
      <c r="Z175" s="20">
        <f t="shared" si="123"/>
        <v>87024800</v>
      </c>
      <c r="AA175" s="20">
        <f t="shared" si="124"/>
        <v>81585750</v>
      </c>
      <c r="AB175" s="20">
        <f t="shared" si="125"/>
        <v>76146700</v>
      </c>
      <c r="AC175" s="20">
        <f t="shared" si="126"/>
        <v>70707650</v>
      </c>
      <c r="AE175" s="21">
        <f>SUM(I162:I175)</f>
        <v>68450587.5</v>
      </c>
      <c r="AF175" s="21">
        <f>SUM(W162:W175)</f>
        <v>867546125</v>
      </c>
      <c r="AG175" s="21">
        <f t="shared" si="127"/>
        <v>40330412.5</v>
      </c>
    </row>
    <row r="176" spans="1:33" x14ac:dyDescent="0.2">
      <c r="A176">
        <v>15</v>
      </c>
      <c r="B176" t="s">
        <v>338</v>
      </c>
      <c r="C176" s="18" t="s">
        <v>98</v>
      </c>
      <c r="D176" s="22">
        <f>$D170</f>
        <v>3924000000</v>
      </c>
      <c r="E176" s="22">
        <f>$E170</f>
        <v>5268000000</v>
      </c>
      <c r="F176" s="22">
        <f>$F170</f>
        <v>7339000000</v>
      </c>
      <c r="G176" s="23">
        <f t="shared" si="129"/>
        <v>20</v>
      </c>
      <c r="H176" s="4">
        <v>117555000</v>
      </c>
      <c r="I176" s="20">
        <f t="shared" si="128"/>
        <v>5877750</v>
      </c>
      <c r="J176" s="20"/>
      <c r="K176" s="20"/>
      <c r="L176" s="20"/>
      <c r="M176" s="20"/>
      <c r="N176" s="20"/>
      <c r="O176" s="20"/>
      <c r="P176" s="20"/>
      <c r="Q176" s="20"/>
      <c r="R176" s="20"/>
      <c r="S176" s="20"/>
      <c r="T176" s="20"/>
      <c r="U176" s="20"/>
      <c r="V176" s="20"/>
      <c r="W176" s="20"/>
      <c r="X176" s="20">
        <f>+H176-I176</f>
        <v>111677250</v>
      </c>
      <c r="Y176" s="20">
        <f t="shared" si="122"/>
        <v>105799500</v>
      </c>
      <c r="Z176" s="20">
        <f t="shared" si="123"/>
        <v>99921750</v>
      </c>
      <c r="AA176" s="20">
        <f t="shared" si="124"/>
        <v>94044000</v>
      </c>
      <c r="AB176" s="20">
        <f t="shared" si="125"/>
        <v>88166250</v>
      </c>
      <c r="AC176" s="20">
        <f t="shared" si="126"/>
        <v>82288500</v>
      </c>
      <c r="AE176" s="21">
        <f>SUM(I162:I176)</f>
        <v>74328337.5</v>
      </c>
      <c r="AF176" s="21">
        <f>SUM(X162:X176)</f>
        <v>910772787.5</v>
      </c>
      <c r="AG176" s="21">
        <f t="shared" si="127"/>
        <v>43226662.5</v>
      </c>
    </row>
    <row r="177" spans="1:33" x14ac:dyDescent="0.2">
      <c r="A177">
        <v>16</v>
      </c>
      <c r="B177" t="s">
        <v>338</v>
      </c>
      <c r="C177" s="18" t="s">
        <v>97</v>
      </c>
      <c r="D177" s="22">
        <f>$D170</f>
        <v>3924000000</v>
      </c>
      <c r="E177" s="22">
        <f>$E170</f>
        <v>5268000000</v>
      </c>
      <c r="F177" s="22">
        <f>$F170</f>
        <v>7339000000</v>
      </c>
      <c r="G177" s="23">
        <f t="shared" si="129"/>
        <v>20</v>
      </c>
      <c r="H177" s="4">
        <v>171502000</v>
      </c>
      <c r="I177" s="20">
        <f t="shared" si="128"/>
        <v>8575100</v>
      </c>
      <c r="J177" s="20"/>
      <c r="K177" s="20"/>
      <c r="L177" s="20"/>
      <c r="M177" s="20"/>
      <c r="N177" s="20"/>
      <c r="O177" s="20"/>
      <c r="P177" s="20"/>
      <c r="Q177" s="20"/>
      <c r="R177" s="20"/>
      <c r="S177" s="20"/>
      <c r="T177" s="20"/>
      <c r="U177" s="20"/>
      <c r="V177" s="20"/>
      <c r="W177" s="20"/>
      <c r="X177" s="20"/>
      <c r="Y177" s="20">
        <f>+H177-I177</f>
        <v>162926900</v>
      </c>
      <c r="Z177" s="20">
        <f t="shared" si="123"/>
        <v>154351800</v>
      </c>
      <c r="AA177" s="20">
        <f t="shared" si="124"/>
        <v>145776700</v>
      </c>
      <c r="AB177" s="20">
        <f t="shared" si="125"/>
        <v>137201600</v>
      </c>
      <c r="AC177" s="20">
        <f t="shared" si="126"/>
        <v>128626500</v>
      </c>
      <c r="AE177" s="21">
        <f>SUM(I162:I177)</f>
        <v>82903437.5</v>
      </c>
      <c r="AF177" s="21">
        <f>SUM(Y162:Y177)</f>
        <v>999371350</v>
      </c>
      <c r="AG177" s="21">
        <f t="shared" si="127"/>
        <v>88598562.5</v>
      </c>
    </row>
    <row r="178" spans="1:33" x14ac:dyDescent="0.2">
      <c r="A178">
        <v>17</v>
      </c>
      <c r="B178" t="s">
        <v>338</v>
      </c>
      <c r="C178" s="18" t="s">
        <v>96</v>
      </c>
      <c r="D178" s="22">
        <f>$D170</f>
        <v>3924000000</v>
      </c>
      <c r="E178" s="22">
        <f>$E170</f>
        <v>5268000000</v>
      </c>
      <c r="F178" s="22">
        <f>$F170</f>
        <v>7339000000</v>
      </c>
      <c r="G178" s="23">
        <f t="shared" si="129"/>
        <v>20</v>
      </c>
      <c r="H178" s="4">
        <v>134889000</v>
      </c>
      <c r="I178" s="20">
        <f t="shared" si="128"/>
        <v>6744450</v>
      </c>
      <c r="J178" s="20"/>
      <c r="K178" s="20"/>
      <c r="L178" s="20"/>
      <c r="M178" s="20"/>
      <c r="N178" s="20"/>
      <c r="O178" s="20"/>
      <c r="P178" s="20"/>
      <c r="Q178" s="20"/>
      <c r="R178" s="20"/>
      <c r="S178" s="20"/>
      <c r="T178" s="20"/>
      <c r="U178" s="20"/>
      <c r="V178" s="20"/>
      <c r="W178" s="20"/>
      <c r="X178" s="20"/>
      <c r="Y178" s="20"/>
      <c r="Z178" s="20">
        <f>+H178-I178</f>
        <v>128144550</v>
      </c>
      <c r="AA178" s="20">
        <f t="shared" si="124"/>
        <v>121400100</v>
      </c>
      <c r="AB178" s="20">
        <f t="shared" si="125"/>
        <v>114655650</v>
      </c>
      <c r="AC178" s="20">
        <f t="shared" si="126"/>
        <v>107911200</v>
      </c>
      <c r="AE178" s="21">
        <f>SUM(I162:I178)</f>
        <v>89647887.5</v>
      </c>
      <c r="AF178" s="21">
        <f>SUM(Z162:Z178)</f>
        <v>1044612462.5</v>
      </c>
      <c r="AG178" s="21">
        <f t="shared" si="127"/>
        <v>45241112.5</v>
      </c>
    </row>
    <row r="179" spans="1:33" x14ac:dyDescent="0.2">
      <c r="A179">
        <v>18</v>
      </c>
      <c r="B179" t="s">
        <v>338</v>
      </c>
      <c r="C179" s="18" t="s">
        <v>95</v>
      </c>
      <c r="D179" s="22">
        <f>$D170</f>
        <v>3924000000</v>
      </c>
      <c r="E179" s="22">
        <f>$E170</f>
        <v>5268000000</v>
      </c>
      <c r="F179" s="22">
        <f>$F170</f>
        <v>7339000000</v>
      </c>
      <c r="G179" s="23">
        <f t="shared" si="129"/>
        <v>20</v>
      </c>
      <c r="H179" s="4">
        <v>135043000</v>
      </c>
      <c r="I179" s="20">
        <f t="shared" si="128"/>
        <v>6752150</v>
      </c>
      <c r="J179" s="20"/>
      <c r="K179" s="20"/>
      <c r="L179" s="20"/>
      <c r="M179" s="20"/>
      <c r="N179" s="20"/>
      <c r="O179" s="20"/>
      <c r="P179" s="20"/>
      <c r="Q179" s="20"/>
      <c r="R179" s="20"/>
      <c r="S179" s="20"/>
      <c r="T179" s="20"/>
      <c r="U179" s="20"/>
      <c r="V179" s="20"/>
      <c r="W179" s="20"/>
      <c r="X179" s="20"/>
      <c r="Y179" s="20"/>
      <c r="Z179" s="20"/>
      <c r="AA179" s="20">
        <f>+H179-I179</f>
        <v>128290850</v>
      </c>
      <c r="AB179" s="20">
        <f t="shared" si="125"/>
        <v>121538700</v>
      </c>
      <c r="AC179" s="20">
        <f t="shared" si="126"/>
        <v>114786550</v>
      </c>
      <c r="AE179" s="21">
        <f>SUM(I162:I179)</f>
        <v>96400037.5</v>
      </c>
      <c r="AF179" s="21">
        <f>SUM(AA162:AA179)</f>
        <v>1083255425</v>
      </c>
      <c r="AG179" s="21">
        <f t="shared" si="127"/>
        <v>38642962.5</v>
      </c>
    </row>
    <row r="180" spans="1:33" x14ac:dyDescent="0.2">
      <c r="A180">
        <v>19</v>
      </c>
      <c r="B180" t="s">
        <v>338</v>
      </c>
      <c r="C180" s="18" t="s">
        <v>94</v>
      </c>
      <c r="D180" s="22">
        <f>$D170</f>
        <v>3924000000</v>
      </c>
      <c r="E180" s="22">
        <f>$E170</f>
        <v>5268000000</v>
      </c>
      <c r="F180" s="22">
        <f>$F170</f>
        <v>7339000000</v>
      </c>
      <c r="G180" s="23">
        <f t="shared" si="129"/>
        <v>20</v>
      </c>
      <c r="H180" s="4">
        <v>144191000</v>
      </c>
      <c r="I180" s="20">
        <f t="shared" si="128"/>
        <v>7209550</v>
      </c>
      <c r="J180" s="20"/>
      <c r="K180" s="20"/>
      <c r="L180" s="20"/>
      <c r="M180" s="20"/>
      <c r="N180" s="20"/>
      <c r="O180" s="20"/>
      <c r="P180" s="20"/>
      <c r="Q180" s="20"/>
      <c r="R180" s="20"/>
      <c r="S180" s="20"/>
      <c r="T180" s="20"/>
      <c r="U180" s="20"/>
      <c r="V180" s="20"/>
      <c r="W180" s="20"/>
      <c r="X180" s="20"/>
      <c r="Y180" s="20"/>
      <c r="Z180" s="20"/>
      <c r="AA180" s="20"/>
      <c r="AB180" s="20">
        <f>+H180-I180</f>
        <v>136981450</v>
      </c>
      <c r="AC180" s="20">
        <f t="shared" si="126"/>
        <v>129771900</v>
      </c>
      <c r="AE180" s="21">
        <f>SUM(I162:I180)</f>
        <v>103609587.5</v>
      </c>
      <c r="AF180" s="21">
        <f>SUM(AB162:AB180)</f>
        <v>1123836837.5</v>
      </c>
      <c r="AG180" s="21">
        <f t="shared" si="127"/>
        <v>40581412.5</v>
      </c>
    </row>
    <row r="181" spans="1:33" x14ac:dyDescent="0.2">
      <c r="A181">
        <v>20</v>
      </c>
      <c r="B181" t="s">
        <v>338</v>
      </c>
      <c r="C181" s="18" t="s">
        <v>93</v>
      </c>
      <c r="D181" s="22">
        <f>$D170</f>
        <v>3924000000</v>
      </c>
      <c r="E181" s="22">
        <f>$E170</f>
        <v>5268000000</v>
      </c>
      <c r="F181" s="22">
        <f>$F170</f>
        <v>7339000000</v>
      </c>
      <c r="G181" s="23">
        <f t="shared" si="129"/>
        <v>20</v>
      </c>
      <c r="H181" s="4">
        <v>143554000</v>
      </c>
      <c r="I181" s="20">
        <f t="shared" si="128"/>
        <v>7177700</v>
      </c>
      <c r="J181" s="20"/>
      <c r="K181" s="20"/>
      <c r="L181" s="20"/>
      <c r="M181" s="20"/>
      <c r="N181" s="20"/>
      <c r="O181" s="20"/>
      <c r="P181" s="20"/>
      <c r="Q181" s="20"/>
      <c r="R181" s="20"/>
      <c r="S181" s="20"/>
      <c r="T181" s="20"/>
      <c r="U181" s="20"/>
      <c r="V181" s="20"/>
      <c r="W181" s="20"/>
      <c r="X181" s="20"/>
      <c r="Y181" s="20"/>
      <c r="Z181" s="20"/>
      <c r="AA181" s="20"/>
      <c r="AB181" s="20"/>
      <c r="AC181" s="20">
        <f>+H181-I181</f>
        <v>136376300</v>
      </c>
      <c r="AE181" s="21">
        <f>SUM(I162:I181)</f>
        <v>110787287.5</v>
      </c>
      <c r="AF181" s="21">
        <f>SUM(AC162:AC181)</f>
        <v>1156603550</v>
      </c>
      <c r="AG181" s="21">
        <f t="shared" si="127"/>
        <v>32766712.5</v>
      </c>
    </row>
    <row r="184" spans="1:33" x14ac:dyDescent="0.2">
      <c r="C184" t="s">
        <v>338</v>
      </c>
    </row>
    <row r="185" spans="1:33" x14ac:dyDescent="0.2">
      <c r="C185" s="6" t="s">
        <v>107</v>
      </c>
      <c r="D185" s="6" t="s">
        <v>438</v>
      </c>
      <c r="E185" s="6" t="s">
        <v>439</v>
      </c>
      <c r="F185" s="6" t="s">
        <v>440</v>
      </c>
      <c r="G185" s="6" t="s">
        <v>441</v>
      </c>
      <c r="H185" s="6" t="s">
        <v>442</v>
      </c>
      <c r="I185" s="15"/>
      <c r="J185" s="6" t="s">
        <v>443</v>
      </c>
      <c r="K185" s="6" t="s">
        <v>444</v>
      </c>
      <c r="L185" s="6" t="s">
        <v>445</v>
      </c>
      <c r="M185" s="6" t="s">
        <v>446</v>
      </c>
      <c r="N185" s="6" t="s">
        <v>447</v>
      </c>
      <c r="O185" s="6" t="s">
        <v>448</v>
      </c>
      <c r="P185" s="6" t="s">
        <v>449</v>
      </c>
      <c r="Q185" s="6" t="s">
        <v>450</v>
      </c>
      <c r="R185" s="6" t="s">
        <v>451</v>
      </c>
      <c r="S185" s="6" t="s">
        <v>452</v>
      </c>
      <c r="T185" s="6" t="s">
        <v>453</v>
      </c>
      <c r="U185" s="6" t="s">
        <v>454</v>
      </c>
      <c r="V185" s="6" t="s">
        <v>455</v>
      </c>
      <c r="W185" s="6" t="s">
        <v>456</v>
      </c>
      <c r="X185" s="6" t="s">
        <v>457</v>
      </c>
      <c r="Y185" s="6" t="s">
        <v>458</v>
      </c>
      <c r="Z185" s="6" t="s">
        <v>459</v>
      </c>
      <c r="AA185" s="6" t="s">
        <v>460</v>
      </c>
      <c r="AB185" s="6" t="s">
        <v>461</v>
      </c>
      <c r="AC185" s="6" t="s">
        <v>462</v>
      </c>
      <c r="AD185" s="15"/>
      <c r="AE185" s="6" t="s">
        <v>106</v>
      </c>
      <c r="AF185" s="6" t="s">
        <v>105</v>
      </c>
      <c r="AG185" s="6" t="s">
        <v>463</v>
      </c>
    </row>
    <row r="186" spans="1:33" x14ac:dyDescent="0.2">
      <c r="C186" s="16" t="s">
        <v>464</v>
      </c>
      <c r="J186" s="17">
        <v>20</v>
      </c>
      <c r="K186" s="17">
        <v>19</v>
      </c>
      <c r="L186" s="17">
        <v>18</v>
      </c>
      <c r="M186" s="17">
        <v>17</v>
      </c>
      <c r="N186" s="17">
        <v>16</v>
      </c>
      <c r="O186" s="17">
        <v>15</v>
      </c>
      <c r="P186" s="17">
        <v>14</v>
      </c>
      <c r="Q186" s="17">
        <v>13</v>
      </c>
      <c r="R186" s="17">
        <v>12</v>
      </c>
      <c r="S186" s="17">
        <v>11</v>
      </c>
      <c r="T186" s="17">
        <v>10</v>
      </c>
      <c r="U186" s="17">
        <v>9</v>
      </c>
      <c r="V186" s="17">
        <v>8</v>
      </c>
      <c r="W186" s="17">
        <v>7</v>
      </c>
      <c r="X186" s="17">
        <v>6</v>
      </c>
      <c r="Y186" s="17">
        <v>5</v>
      </c>
      <c r="Z186" s="17">
        <v>4</v>
      </c>
      <c r="AA186" s="17">
        <v>3</v>
      </c>
      <c r="AB186" s="17">
        <v>2</v>
      </c>
      <c r="AC186" s="17">
        <v>1</v>
      </c>
    </row>
    <row r="187" spans="1:33" x14ac:dyDescent="0.2">
      <c r="B187" t="s">
        <v>338</v>
      </c>
      <c r="C187" s="5" t="s">
        <v>104</v>
      </c>
      <c r="D187" s="4">
        <v>560660000</v>
      </c>
      <c r="E187" s="4">
        <v>387487000</v>
      </c>
      <c r="F187" s="4">
        <v>359679000</v>
      </c>
      <c r="G187" s="19">
        <v>20</v>
      </c>
      <c r="H187" s="4">
        <v>90100000</v>
      </c>
      <c r="J187" s="20">
        <f t="shared" ref="J187:J198" si="130">H187</f>
        <v>90100000</v>
      </c>
      <c r="K187" s="20">
        <f>$F187/4</f>
        <v>89919750</v>
      </c>
      <c r="L187" s="20">
        <f>$F187/4</f>
        <v>89919750</v>
      </c>
      <c r="M187" s="20">
        <f>$F187/4</f>
        <v>89919750</v>
      </c>
      <c r="N187" s="20">
        <f>$F187/4</f>
        <v>89919750</v>
      </c>
      <c r="O187" s="20">
        <f>$E187/4</f>
        <v>96871750</v>
      </c>
      <c r="P187" s="20">
        <f>$E187/4</f>
        <v>96871750</v>
      </c>
      <c r="Q187" s="20">
        <f>$E187/4</f>
        <v>96871750</v>
      </c>
      <c r="R187" s="20">
        <f>$E187/4</f>
        <v>96871750</v>
      </c>
      <c r="S187" s="20">
        <f>$D187/4</f>
        <v>140165000</v>
      </c>
      <c r="T187" s="20">
        <f>$D187/4</f>
        <v>140165000</v>
      </c>
      <c r="U187" s="20">
        <f>$D187/4</f>
        <v>140165000</v>
      </c>
      <c r="V187" s="20">
        <f>$D187/4</f>
        <v>140165000</v>
      </c>
      <c r="W187" s="20">
        <v>0</v>
      </c>
      <c r="X187" s="20">
        <v>0</v>
      </c>
      <c r="Y187" s="20">
        <v>0</v>
      </c>
      <c r="Z187" s="20">
        <v>0</v>
      </c>
      <c r="AA187" s="20">
        <v>0</v>
      </c>
      <c r="AB187" s="20">
        <v>0</v>
      </c>
      <c r="AC187" s="20">
        <v>0</v>
      </c>
      <c r="AE187" s="21">
        <f>SUM(J187:AC187)/$G187</f>
        <v>69896300</v>
      </c>
      <c r="AF187" s="21">
        <f>SUMPRODUCT($J$186:$AC$186,J187:AC187)/$G187</f>
        <v>932686350</v>
      </c>
      <c r="AG187" s="21">
        <f t="shared" ref="AG187:AG198" si="131">H187-AE187</f>
        <v>20203700</v>
      </c>
    </row>
    <row r="188" spans="1:33" x14ac:dyDescent="0.2">
      <c r="B188" t="s">
        <v>338</v>
      </c>
      <c r="C188" s="5" t="s">
        <v>103</v>
      </c>
      <c r="D188" s="22">
        <f>$D187</f>
        <v>560660000</v>
      </c>
      <c r="E188" s="22">
        <f>$E187</f>
        <v>387487000</v>
      </c>
      <c r="F188" s="22">
        <f>$F187</f>
        <v>359679000</v>
      </c>
      <c r="G188" s="23">
        <f>$G$187</f>
        <v>20</v>
      </c>
      <c r="H188" s="4">
        <v>99533000</v>
      </c>
      <c r="J188" s="20">
        <f t="shared" si="130"/>
        <v>99533000</v>
      </c>
      <c r="K188" s="20">
        <f t="shared" ref="K188:K198" si="132">H187</f>
        <v>90100000</v>
      </c>
      <c r="L188" s="20">
        <f>$F187/4</f>
        <v>89919750</v>
      </c>
      <c r="M188" s="20">
        <f>$F187/4</f>
        <v>89919750</v>
      </c>
      <c r="N188" s="20">
        <f>$F187/4</f>
        <v>89919750</v>
      </c>
      <c r="O188" s="20">
        <f>$F187/4</f>
        <v>89919750</v>
      </c>
      <c r="P188" s="20">
        <f>$E187/4</f>
        <v>96871750</v>
      </c>
      <c r="Q188" s="20">
        <f>$E187/4</f>
        <v>96871750</v>
      </c>
      <c r="R188" s="20">
        <f>$E187/4</f>
        <v>96871750</v>
      </c>
      <c r="S188" s="20">
        <f>$E187/4</f>
        <v>96871750</v>
      </c>
      <c r="T188" s="20">
        <f>$D187/4</f>
        <v>140165000</v>
      </c>
      <c r="U188" s="20">
        <f>$D187/4</f>
        <v>140165000</v>
      </c>
      <c r="V188" s="20">
        <f>$D187/4</f>
        <v>140165000</v>
      </c>
      <c r="W188" s="20">
        <f>$D187/4</f>
        <v>140165000</v>
      </c>
      <c r="X188" s="20">
        <v>0</v>
      </c>
      <c r="Y188" s="20">
        <v>0</v>
      </c>
      <c r="Z188" s="20">
        <v>0</v>
      </c>
      <c r="AA188" s="20">
        <v>0</v>
      </c>
      <c r="AB188" s="20">
        <v>0</v>
      </c>
      <c r="AC188" s="20">
        <v>0</v>
      </c>
      <c r="AE188" s="21">
        <f t="shared" ref="AE188:AE198" si="133">SUM(J188:AC188)/$G188</f>
        <v>74872950</v>
      </c>
      <c r="AF188" s="21">
        <f t="shared" ref="AF188:AF198" si="134">SUMPRODUCT($J$186:$AC$186,J188:AC188)/$G188</f>
        <v>962323050</v>
      </c>
      <c r="AG188" s="21">
        <f t="shared" si="131"/>
        <v>24660050</v>
      </c>
    </row>
    <row r="189" spans="1:33" x14ac:dyDescent="0.2">
      <c r="B189" t="s">
        <v>338</v>
      </c>
      <c r="C189" s="5" t="s">
        <v>102</v>
      </c>
      <c r="D189" s="22">
        <f>$D187</f>
        <v>560660000</v>
      </c>
      <c r="E189" s="22">
        <f>$E187</f>
        <v>387487000</v>
      </c>
      <c r="F189" s="22">
        <f>$F187</f>
        <v>359679000</v>
      </c>
      <c r="G189" s="23">
        <f t="shared" ref="G189:G198" si="135">$G$187</f>
        <v>20</v>
      </c>
      <c r="H189" s="4">
        <v>105708000</v>
      </c>
      <c r="J189" s="20">
        <f t="shared" si="130"/>
        <v>105708000</v>
      </c>
      <c r="K189" s="20">
        <f t="shared" si="132"/>
        <v>99533000</v>
      </c>
      <c r="L189" s="20">
        <f t="shared" ref="L189:L198" si="136">H187</f>
        <v>90100000</v>
      </c>
      <c r="M189" s="20">
        <f>$F187/4</f>
        <v>89919750</v>
      </c>
      <c r="N189" s="20">
        <f>$F187/4</f>
        <v>89919750</v>
      </c>
      <c r="O189" s="20">
        <f>$F187/4</f>
        <v>89919750</v>
      </c>
      <c r="P189" s="20">
        <f>$F187/4</f>
        <v>89919750</v>
      </c>
      <c r="Q189" s="20">
        <f>$E187/4</f>
        <v>96871750</v>
      </c>
      <c r="R189" s="20">
        <f>$E187/4</f>
        <v>96871750</v>
      </c>
      <c r="S189" s="20">
        <f>$E187/4</f>
        <v>96871750</v>
      </c>
      <c r="T189" s="20">
        <f>$E187/4</f>
        <v>96871750</v>
      </c>
      <c r="U189" s="20">
        <f>$D187/4</f>
        <v>140165000</v>
      </c>
      <c r="V189" s="20">
        <f>$D187/4</f>
        <v>140165000</v>
      </c>
      <c r="W189" s="20">
        <f>$D187/4</f>
        <v>140165000</v>
      </c>
      <c r="X189" s="20">
        <f>$D187/4</f>
        <v>140165000</v>
      </c>
      <c r="Y189" s="20">
        <v>0</v>
      </c>
      <c r="Z189" s="20">
        <v>0</v>
      </c>
      <c r="AA189" s="20">
        <v>0</v>
      </c>
      <c r="AB189" s="20">
        <v>0</v>
      </c>
      <c r="AC189" s="20">
        <v>0</v>
      </c>
      <c r="AE189" s="21">
        <f t="shared" si="133"/>
        <v>80158350</v>
      </c>
      <c r="AF189" s="21">
        <f t="shared" si="134"/>
        <v>993158100</v>
      </c>
      <c r="AG189" s="21">
        <f t="shared" si="131"/>
        <v>25549650</v>
      </c>
    </row>
    <row r="190" spans="1:33" x14ac:dyDescent="0.2">
      <c r="B190" t="s">
        <v>338</v>
      </c>
      <c r="C190" s="5" t="s">
        <v>101</v>
      </c>
      <c r="D190" s="22">
        <f>$D187</f>
        <v>560660000</v>
      </c>
      <c r="E190" s="22">
        <f>$E187</f>
        <v>387487000</v>
      </c>
      <c r="F190" s="22">
        <f>$F187</f>
        <v>359679000</v>
      </c>
      <c r="G190" s="23">
        <f t="shared" si="135"/>
        <v>20</v>
      </c>
      <c r="H190" s="4">
        <v>109283000</v>
      </c>
      <c r="J190" s="20">
        <f t="shared" si="130"/>
        <v>109283000</v>
      </c>
      <c r="K190" s="20">
        <f t="shared" si="132"/>
        <v>105708000</v>
      </c>
      <c r="L190" s="20">
        <f t="shared" si="136"/>
        <v>99533000</v>
      </c>
      <c r="M190" s="20">
        <f t="shared" ref="M190:M198" si="137">H187</f>
        <v>90100000</v>
      </c>
      <c r="N190" s="20">
        <f>$F187/4</f>
        <v>89919750</v>
      </c>
      <c r="O190" s="20">
        <f>$F187/4</f>
        <v>89919750</v>
      </c>
      <c r="P190" s="20">
        <f>$F187/4</f>
        <v>89919750</v>
      </c>
      <c r="Q190" s="20">
        <f>$F187/4</f>
        <v>89919750</v>
      </c>
      <c r="R190" s="20">
        <f>$E187/4</f>
        <v>96871750</v>
      </c>
      <c r="S190" s="20">
        <f>$E187/4</f>
        <v>96871750</v>
      </c>
      <c r="T190" s="20">
        <f>$E187/4</f>
        <v>96871750</v>
      </c>
      <c r="U190" s="20">
        <f>$E187/4</f>
        <v>96871750</v>
      </c>
      <c r="V190" s="20">
        <f>$D187/4</f>
        <v>140165000</v>
      </c>
      <c r="W190" s="20">
        <f>$D187/4</f>
        <v>140165000</v>
      </c>
      <c r="X190" s="20">
        <f>$D187/4</f>
        <v>140165000</v>
      </c>
      <c r="Y190" s="20">
        <f>$D187/4</f>
        <v>140165000</v>
      </c>
      <c r="Z190" s="20">
        <v>0</v>
      </c>
      <c r="AA190" s="20">
        <v>0</v>
      </c>
      <c r="AB190" s="20">
        <v>0</v>
      </c>
      <c r="AC190" s="20">
        <v>0</v>
      </c>
      <c r="AE190" s="21">
        <f t="shared" si="133"/>
        <v>85622500</v>
      </c>
      <c r="AF190" s="21">
        <f t="shared" si="134"/>
        <v>1022282750</v>
      </c>
      <c r="AG190" s="21">
        <f t="shared" si="131"/>
        <v>23660500</v>
      </c>
    </row>
    <row r="191" spans="1:33" x14ac:dyDescent="0.2">
      <c r="B191" t="s">
        <v>338</v>
      </c>
      <c r="C191" s="5" t="s">
        <v>100</v>
      </c>
      <c r="D191" s="22">
        <f>$D187</f>
        <v>560660000</v>
      </c>
      <c r="E191" s="22">
        <f>$E187</f>
        <v>387487000</v>
      </c>
      <c r="F191" s="22">
        <f>$F187</f>
        <v>359679000</v>
      </c>
      <c r="G191" s="23">
        <f t="shared" si="135"/>
        <v>20</v>
      </c>
      <c r="H191" s="4">
        <v>110040000</v>
      </c>
      <c r="J191" s="20">
        <f t="shared" si="130"/>
        <v>110040000</v>
      </c>
      <c r="K191" s="20">
        <f t="shared" si="132"/>
        <v>109283000</v>
      </c>
      <c r="L191" s="20">
        <f t="shared" si="136"/>
        <v>105708000</v>
      </c>
      <c r="M191" s="20">
        <f t="shared" si="137"/>
        <v>99533000</v>
      </c>
      <c r="N191" s="20">
        <f t="shared" ref="N191:N198" si="138">H187</f>
        <v>90100000</v>
      </c>
      <c r="O191" s="20">
        <f>$F187/4</f>
        <v>89919750</v>
      </c>
      <c r="P191" s="20">
        <f>$F187/4</f>
        <v>89919750</v>
      </c>
      <c r="Q191" s="20">
        <f>$F187/4</f>
        <v>89919750</v>
      </c>
      <c r="R191" s="20">
        <f>$F187/4</f>
        <v>89919750</v>
      </c>
      <c r="S191" s="20">
        <f>$E187/4</f>
        <v>96871750</v>
      </c>
      <c r="T191" s="20">
        <f>$E187/4</f>
        <v>96871750</v>
      </c>
      <c r="U191" s="20">
        <f>$E187/4</f>
        <v>96871750</v>
      </c>
      <c r="V191" s="20">
        <f>$E187/4</f>
        <v>96871750</v>
      </c>
      <c r="W191" s="20">
        <f>$D187/4</f>
        <v>140165000</v>
      </c>
      <c r="X191" s="20">
        <f>$D187/4</f>
        <v>140165000</v>
      </c>
      <c r="Y191" s="20">
        <f>$D187/4</f>
        <v>140165000</v>
      </c>
      <c r="Z191" s="20">
        <f>$D187/4</f>
        <v>140165000</v>
      </c>
      <c r="AA191" s="20">
        <v>0</v>
      </c>
      <c r="AB191" s="20">
        <v>0</v>
      </c>
      <c r="AC191" s="20">
        <v>0</v>
      </c>
      <c r="AE191" s="21">
        <f t="shared" si="133"/>
        <v>91124500</v>
      </c>
      <c r="AF191" s="21">
        <f t="shared" si="134"/>
        <v>1046700250</v>
      </c>
      <c r="AG191" s="21">
        <f t="shared" si="131"/>
        <v>18915500</v>
      </c>
    </row>
    <row r="192" spans="1:33" x14ac:dyDescent="0.2">
      <c r="B192" t="s">
        <v>338</v>
      </c>
      <c r="C192" s="5" t="s">
        <v>99</v>
      </c>
      <c r="D192" s="22">
        <f>$D187</f>
        <v>560660000</v>
      </c>
      <c r="E192" s="22">
        <f>$E187</f>
        <v>387487000</v>
      </c>
      <c r="F192" s="22">
        <f>$F187</f>
        <v>359679000</v>
      </c>
      <c r="G192" s="23">
        <f t="shared" si="135"/>
        <v>20</v>
      </c>
      <c r="H192" s="4">
        <v>108781000</v>
      </c>
      <c r="J192" s="20">
        <f t="shared" si="130"/>
        <v>108781000</v>
      </c>
      <c r="K192" s="20">
        <f t="shared" si="132"/>
        <v>110040000</v>
      </c>
      <c r="L192" s="20">
        <f t="shared" si="136"/>
        <v>109283000</v>
      </c>
      <c r="M192" s="20">
        <f t="shared" si="137"/>
        <v>105708000</v>
      </c>
      <c r="N192" s="20">
        <f t="shared" si="138"/>
        <v>99533000</v>
      </c>
      <c r="O192" s="20">
        <f t="shared" ref="O192:O198" si="139">H187</f>
        <v>90100000</v>
      </c>
      <c r="P192" s="20">
        <f>$F187/4</f>
        <v>89919750</v>
      </c>
      <c r="Q192" s="20">
        <f>$F187/4</f>
        <v>89919750</v>
      </c>
      <c r="R192" s="20">
        <f>$F187/4</f>
        <v>89919750</v>
      </c>
      <c r="S192" s="20">
        <f>$F187/4</f>
        <v>89919750</v>
      </c>
      <c r="T192" s="20">
        <f>$E187/4</f>
        <v>96871750</v>
      </c>
      <c r="U192" s="20">
        <f>$E187/4</f>
        <v>96871750</v>
      </c>
      <c r="V192" s="20">
        <f>$E187/4</f>
        <v>96871750</v>
      </c>
      <c r="W192" s="20">
        <f>$E187/4</f>
        <v>96871750</v>
      </c>
      <c r="X192" s="20">
        <f>$D187/4</f>
        <v>140165000</v>
      </c>
      <c r="Y192" s="20">
        <f>$D187/4</f>
        <v>140165000</v>
      </c>
      <c r="Z192" s="20">
        <f>$D187/4</f>
        <v>140165000</v>
      </c>
      <c r="AA192" s="20">
        <f>$D187/4</f>
        <v>140165000</v>
      </c>
      <c r="AB192" s="20">
        <v>0</v>
      </c>
      <c r="AC192" s="20">
        <v>0</v>
      </c>
      <c r="AE192" s="21">
        <f t="shared" si="133"/>
        <v>96563550</v>
      </c>
      <c r="AF192" s="21">
        <f t="shared" si="134"/>
        <v>1064356750</v>
      </c>
      <c r="AG192" s="21">
        <f t="shared" si="131"/>
        <v>12217450</v>
      </c>
    </row>
    <row r="193" spans="2:33" x14ac:dyDescent="0.2">
      <c r="B193" t="s">
        <v>338</v>
      </c>
      <c r="C193" s="5" t="s">
        <v>98</v>
      </c>
      <c r="D193" s="22">
        <f>$D187</f>
        <v>560660000</v>
      </c>
      <c r="E193" s="22">
        <f>$E187</f>
        <v>387487000</v>
      </c>
      <c r="F193" s="22">
        <f>$F187</f>
        <v>359679000</v>
      </c>
      <c r="G193" s="23">
        <f t="shared" si="135"/>
        <v>20</v>
      </c>
      <c r="H193" s="4">
        <v>117555000</v>
      </c>
      <c r="J193" s="20">
        <f t="shared" si="130"/>
        <v>117555000</v>
      </c>
      <c r="K193" s="20">
        <f t="shared" si="132"/>
        <v>108781000</v>
      </c>
      <c r="L193" s="20">
        <f t="shared" si="136"/>
        <v>110040000</v>
      </c>
      <c r="M193" s="20">
        <f t="shared" si="137"/>
        <v>109283000</v>
      </c>
      <c r="N193" s="20">
        <f t="shared" si="138"/>
        <v>105708000</v>
      </c>
      <c r="O193" s="20">
        <f t="shared" si="139"/>
        <v>99533000</v>
      </c>
      <c r="P193" s="20">
        <f t="shared" ref="P193:P198" si="140">H187</f>
        <v>90100000</v>
      </c>
      <c r="Q193" s="20">
        <f>$F187/4</f>
        <v>89919750</v>
      </c>
      <c r="R193" s="20">
        <f>$F187/4</f>
        <v>89919750</v>
      </c>
      <c r="S193" s="20">
        <f>$F187/4</f>
        <v>89919750</v>
      </c>
      <c r="T193" s="20">
        <f>$F187/4</f>
        <v>89919750</v>
      </c>
      <c r="U193" s="20">
        <f>$E187/4</f>
        <v>96871750</v>
      </c>
      <c r="V193" s="20">
        <f>$E187/4</f>
        <v>96871750</v>
      </c>
      <c r="W193" s="20">
        <f>$E187/4</f>
        <v>96871750</v>
      </c>
      <c r="X193" s="20">
        <f>$E187/4</f>
        <v>96871750</v>
      </c>
      <c r="Y193" s="20">
        <f>$D187/4</f>
        <v>140165000</v>
      </c>
      <c r="Z193" s="20">
        <f>$D187/4</f>
        <v>140165000</v>
      </c>
      <c r="AA193" s="20">
        <f>$D187/4</f>
        <v>140165000</v>
      </c>
      <c r="AB193" s="20">
        <f>$D187/4</f>
        <v>140165000</v>
      </c>
      <c r="AC193" s="20">
        <v>0</v>
      </c>
      <c r="AE193" s="21">
        <f t="shared" si="133"/>
        <v>102441300</v>
      </c>
      <c r="AF193" s="21">
        <f t="shared" si="134"/>
        <v>1085348200</v>
      </c>
      <c r="AG193" s="21">
        <f t="shared" si="131"/>
        <v>15113700</v>
      </c>
    </row>
    <row r="194" spans="2:33" x14ac:dyDescent="0.2">
      <c r="B194" t="s">
        <v>338</v>
      </c>
      <c r="C194" s="5" t="s">
        <v>97</v>
      </c>
      <c r="D194" s="22">
        <f>$D187</f>
        <v>560660000</v>
      </c>
      <c r="E194" s="22">
        <f>$E187</f>
        <v>387487000</v>
      </c>
      <c r="F194" s="22">
        <f>$F187</f>
        <v>359679000</v>
      </c>
      <c r="G194" s="23">
        <f t="shared" si="135"/>
        <v>20</v>
      </c>
      <c r="H194" s="4">
        <v>171502000</v>
      </c>
      <c r="J194" s="20">
        <f t="shared" si="130"/>
        <v>171502000</v>
      </c>
      <c r="K194" s="20">
        <f t="shared" si="132"/>
        <v>117555000</v>
      </c>
      <c r="L194" s="20">
        <f t="shared" si="136"/>
        <v>108781000</v>
      </c>
      <c r="M194" s="20">
        <f t="shared" si="137"/>
        <v>110040000</v>
      </c>
      <c r="N194" s="20">
        <f t="shared" si="138"/>
        <v>109283000</v>
      </c>
      <c r="O194" s="20">
        <f t="shared" si="139"/>
        <v>105708000</v>
      </c>
      <c r="P194" s="20">
        <f t="shared" si="140"/>
        <v>99533000</v>
      </c>
      <c r="Q194" s="20">
        <f>H187</f>
        <v>90100000</v>
      </c>
      <c r="R194" s="20">
        <f>$F187/4</f>
        <v>89919750</v>
      </c>
      <c r="S194" s="20">
        <f>$F187/4</f>
        <v>89919750</v>
      </c>
      <c r="T194" s="20">
        <f>$F187/4</f>
        <v>89919750</v>
      </c>
      <c r="U194" s="20">
        <f>$F187/4</f>
        <v>89919750</v>
      </c>
      <c r="V194" s="20">
        <f>$E187/4</f>
        <v>96871750</v>
      </c>
      <c r="W194" s="20">
        <f>$E187/4</f>
        <v>96871750</v>
      </c>
      <c r="X194" s="20">
        <f>$E187/4</f>
        <v>96871750</v>
      </c>
      <c r="Y194" s="20">
        <f>$E187/4</f>
        <v>96871750</v>
      </c>
      <c r="Z194" s="20">
        <f>$D187/4</f>
        <v>140165000</v>
      </c>
      <c r="AA194" s="20">
        <f>$D187/4</f>
        <v>140165000</v>
      </c>
      <c r="AB194" s="20">
        <f>$D187/4</f>
        <v>140165000</v>
      </c>
      <c r="AC194" s="20">
        <f>$D187/4</f>
        <v>140165000</v>
      </c>
      <c r="AE194" s="21">
        <f t="shared" si="133"/>
        <v>111016400</v>
      </c>
      <c r="AF194" s="21">
        <f t="shared" si="134"/>
        <v>1154408900</v>
      </c>
      <c r="AG194" s="21">
        <f t="shared" si="131"/>
        <v>60485600</v>
      </c>
    </row>
    <row r="195" spans="2:33" x14ac:dyDescent="0.2">
      <c r="B195" t="s">
        <v>338</v>
      </c>
      <c r="C195" s="5" t="s">
        <v>96</v>
      </c>
      <c r="D195" s="22">
        <f>$D187</f>
        <v>560660000</v>
      </c>
      <c r="E195" s="22">
        <f>$E187</f>
        <v>387487000</v>
      </c>
      <c r="F195" s="22">
        <f>$F187</f>
        <v>359679000</v>
      </c>
      <c r="G195" s="23">
        <f t="shared" si="135"/>
        <v>20</v>
      </c>
      <c r="H195" s="4">
        <v>134889000</v>
      </c>
      <c r="J195" s="20">
        <f t="shared" si="130"/>
        <v>134889000</v>
      </c>
      <c r="K195" s="20">
        <f t="shared" si="132"/>
        <v>171502000</v>
      </c>
      <c r="L195" s="20">
        <f t="shared" si="136"/>
        <v>117555000</v>
      </c>
      <c r="M195" s="20">
        <f t="shared" si="137"/>
        <v>108781000</v>
      </c>
      <c r="N195" s="20">
        <f t="shared" si="138"/>
        <v>110040000</v>
      </c>
      <c r="O195" s="20">
        <f t="shared" si="139"/>
        <v>109283000</v>
      </c>
      <c r="P195" s="20">
        <f t="shared" si="140"/>
        <v>105708000</v>
      </c>
      <c r="Q195" s="20">
        <f>H188</f>
        <v>99533000</v>
      </c>
      <c r="R195" s="20">
        <f>H187</f>
        <v>90100000</v>
      </c>
      <c r="S195" s="20">
        <f>$F187/4</f>
        <v>89919750</v>
      </c>
      <c r="T195" s="20">
        <f>$F187/4</f>
        <v>89919750</v>
      </c>
      <c r="U195" s="20">
        <f>$F187/4</f>
        <v>89919750</v>
      </c>
      <c r="V195" s="20">
        <f>$F187/4</f>
        <v>89919750</v>
      </c>
      <c r="W195" s="20">
        <f>$E187/4</f>
        <v>96871750</v>
      </c>
      <c r="X195" s="20">
        <f>$E187/4</f>
        <v>96871750</v>
      </c>
      <c r="Y195" s="20">
        <f>$E187/4</f>
        <v>96871750</v>
      </c>
      <c r="Z195" s="20">
        <f>$E187/4</f>
        <v>96871750</v>
      </c>
      <c r="AA195" s="20">
        <f>$D187/4</f>
        <v>140165000</v>
      </c>
      <c r="AB195" s="20">
        <f>$D187/4</f>
        <v>140165000</v>
      </c>
      <c r="AC195" s="20">
        <f>$D187/4</f>
        <v>140165000</v>
      </c>
      <c r="AE195" s="21">
        <f t="shared" si="133"/>
        <v>110752600</v>
      </c>
      <c r="AF195" s="21">
        <f t="shared" si="134"/>
        <v>1178281500</v>
      </c>
      <c r="AG195" s="21">
        <f t="shared" si="131"/>
        <v>24136400</v>
      </c>
    </row>
    <row r="196" spans="2:33" x14ac:dyDescent="0.2">
      <c r="B196" t="s">
        <v>338</v>
      </c>
      <c r="C196" s="5" t="s">
        <v>95</v>
      </c>
      <c r="D196" s="22">
        <f>$D187</f>
        <v>560660000</v>
      </c>
      <c r="E196" s="22">
        <f>$E187</f>
        <v>387487000</v>
      </c>
      <c r="F196" s="22">
        <f>$F187</f>
        <v>359679000</v>
      </c>
      <c r="G196" s="23">
        <f t="shared" si="135"/>
        <v>20</v>
      </c>
      <c r="H196" s="4">
        <v>135043000</v>
      </c>
      <c r="J196" s="20">
        <f t="shared" si="130"/>
        <v>135043000</v>
      </c>
      <c r="K196" s="20">
        <f t="shared" si="132"/>
        <v>134889000</v>
      </c>
      <c r="L196" s="20">
        <f t="shared" si="136"/>
        <v>171502000</v>
      </c>
      <c r="M196" s="20">
        <f t="shared" si="137"/>
        <v>117555000</v>
      </c>
      <c r="N196" s="20">
        <f t="shared" si="138"/>
        <v>108781000</v>
      </c>
      <c r="O196" s="20">
        <f t="shared" si="139"/>
        <v>110040000</v>
      </c>
      <c r="P196" s="20">
        <f t="shared" si="140"/>
        <v>109283000</v>
      </c>
      <c r="Q196" s="20">
        <f>H189</f>
        <v>105708000</v>
      </c>
      <c r="R196" s="20">
        <f>H188</f>
        <v>99533000</v>
      </c>
      <c r="S196" s="20">
        <f>H187</f>
        <v>90100000</v>
      </c>
      <c r="T196" s="20">
        <f>$F187/4</f>
        <v>89919750</v>
      </c>
      <c r="U196" s="20">
        <f>$F187/4</f>
        <v>89919750</v>
      </c>
      <c r="V196" s="20">
        <f>$F187/4</f>
        <v>89919750</v>
      </c>
      <c r="W196" s="20">
        <f>$F187/4</f>
        <v>89919750</v>
      </c>
      <c r="X196" s="20">
        <f>$E187/4</f>
        <v>96871750</v>
      </c>
      <c r="Y196" s="20">
        <f>$E187/4</f>
        <v>96871750</v>
      </c>
      <c r="Z196" s="20">
        <f>$E187/4</f>
        <v>96871750</v>
      </c>
      <c r="AA196" s="20">
        <f>$E187/4</f>
        <v>96871750</v>
      </c>
      <c r="AB196" s="20">
        <f>$D187/4</f>
        <v>140165000</v>
      </c>
      <c r="AC196" s="20">
        <f>$D187/4</f>
        <v>140165000</v>
      </c>
      <c r="AE196" s="21">
        <f t="shared" si="133"/>
        <v>110496500</v>
      </c>
      <c r="AF196" s="21">
        <f t="shared" si="134"/>
        <v>1202571900</v>
      </c>
      <c r="AG196" s="21">
        <f t="shared" si="131"/>
        <v>24546500</v>
      </c>
    </row>
    <row r="197" spans="2:33" x14ac:dyDescent="0.2">
      <c r="B197" t="s">
        <v>338</v>
      </c>
      <c r="C197" s="5" t="s">
        <v>94</v>
      </c>
      <c r="D197" s="22">
        <f>$D187</f>
        <v>560660000</v>
      </c>
      <c r="E197" s="22">
        <f>$E187</f>
        <v>387487000</v>
      </c>
      <c r="F197" s="22">
        <f>$F187</f>
        <v>359679000</v>
      </c>
      <c r="G197" s="23">
        <f t="shared" si="135"/>
        <v>20</v>
      </c>
      <c r="H197" s="4">
        <v>144191000</v>
      </c>
      <c r="J197" s="20">
        <f t="shared" si="130"/>
        <v>144191000</v>
      </c>
      <c r="K197" s="20">
        <f t="shared" si="132"/>
        <v>135043000</v>
      </c>
      <c r="L197" s="20">
        <f t="shared" si="136"/>
        <v>134889000</v>
      </c>
      <c r="M197" s="20">
        <f t="shared" si="137"/>
        <v>171502000</v>
      </c>
      <c r="N197" s="20">
        <f t="shared" si="138"/>
        <v>117555000</v>
      </c>
      <c r="O197" s="20">
        <f t="shared" si="139"/>
        <v>108781000</v>
      </c>
      <c r="P197" s="20">
        <f t="shared" si="140"/>
        <v>110040000</v>
      </c>
      <c r="Q197" s="20">
        <f>H190</f>
        <v>109283000</v>
      </c>
      <c r="R197" s="20">
        <f>H189</f>
        <v>105708000</v>
      </c>
      <c r="S197" s="20">
        <f>H188</f>
        <v>99533000</v>
      </c>
      <c r="T197" s="20">
        <f>H187</f>
        <v>90100000</v>
      </c>
      <c r="U197" s="20">
        <f>$F187/4</f>
        <v>89919750</v>
      </c>
      <c r="V197" s="20">
        <f>$F187/4</f>
        <v>89919750</v>
      </c>
      <c r="W197" s="20">
        <f>$F187/4</f>
        <v>89919750</v>
      </c>
      <c r="X197" s="20">
        <f>$F187/4</f>
        <v>89919750</v>
      </c>
      <c r="Y197" s="20">
        <f>$E187/4</f>
        <v>96871750</v>
      </c>
      <c r="Z197" s="20">
        <f>$E187/4</f>
        <v>96871750</v>
      </c>
      <c r="AA197" s="20">
        <f>$E187/4</f>
        <v>96871750</v>
      </c>
      <c r="AB197" s="20">
        <f>$E187/4</f>
        <v>96871750</v>
      </c>
      <c r="AC197" s="20">
        <f>$D187/4</f>
        <v>140165000</v>
      </c>
      <c r="AE197" s="21">
        <f t="shared" si="133"/>
        <v>110697800</v>
      </c>
      <c r="AF197" s="21">
        <f t="shared" si="134"/>
        <v>1236266400</v>
      </c>
      <c r="AG197" s="21">
        <f t="shared" si="131"/>
        <v>33493200</v>
      </c>
    </row>
    <row r="198" spans="2:33" x14ac:dyDescent="0.2">
      <c r="B198" t="s">
        <v>338</v>
      </c>
      <c r="C198" s="5" t="s">
        <v>93</v>
      </c>
      <c r="D198" s="22">
        <f>$D187</f>
        <v>560660000</v>
      </c>
      <c r="E198" s="22">
        <f>$E187</f>
        <v>387487000</v>
      </c>
      <c r="F198" s="22">
        <f>$F187</f>
        <v>359679000</v>
      </c>
      <c r="G198" s="23">
        <f t="shared" si="135"/>
        <v>20</v>
      </c>
      <c r="H198" s="4">
        <v>143554000</v>
      </c>
      <c r="J198" s="20">
        <f t="shared" si="130"/>
        <v>143554000</v>
      </c>
      <c r="K198" s="20">
        <f t="shared" si="132"/>
        <v>144191000</v>
      </c>
      <c r="L198" s="20">
        <f t="shared" si="136"/>
        <v>135043000</v>
      </c>
      <c r="M198" s="20">
        <f t="shared" si="137"/>
        <v>134889000</v>
      </c>
      <c r="N198" s="20">
        <f t="shared" si="138"/>
        <v>171502000</v>
      </c>
      <c r="O198" s="20">
        <f t="shared" si="139"/>
        <v>117555000</v>
      </c>
      <c r="P198" s="20">
        <f t="shared" si="140"/>
        <v>108781000</v>
      </c>
      <c r="Q198" s="20">
        <f>H191</f>
        <v>110040000</v>
      </c>
      <c r="R198" s="20">
        <f>H190</f>
        <v>109283000</v>
      </c>
      <c r="S198" s="20">
        <f>H189</f>
        <v>105708000</v>
      </c>
      <c r="T198" s="20">
        <f>H188</f>
        <v>99533000</v>
      </c>
      <c r="U198" s="20">
        <f>H187</f>
        <v>90100000</v>
      </c>
      <c r="V198" s="20">
        <f>$F187/4</f>
        <v>89919750</v>
      </c>
      <c r="W198" s="20">
        <f>$F187/4</f>
        <v>89919750</v>
      </c>
      <c r="X198" s="20">
        <f>$F187/4</f>
        <v>89919750</v>
      </c>
      <c r="Y198" s="20">
        <f>$F187/4</f>
        <v>89919750</v>
      </c>
      <c r="Z198" s="20">
        <f>$E187/4</f>
        <v>96871750</v>
      </c>
      <c r="AA198" s="20">
        <f>$E187/4</f>
        <v>96871750</v>
      </c>
      <c r="AB198" s="20">
        <f>$E187/4</f>
        <v>96871750</v>
      </c>
      <c r="AC198" s="20">
        <f>$E187/4</f>
        <v>96871750</v>
      </c>
      <c r="AE198" s="21">
        <f t="shared" si="133"/>
        <v>110867250</v>
      </c>
      <c r="AF198" s="21">
        <f t="shared" si="134"/>
        <v>1269122600</v>
      </c>
      <c r="AG198" s="21">
        <f t="shared" si="131"/>
        <v>32686750</v>
      </c>
    </row>
    <row r="201" spans="2:33" x14ac:dyDescent="0.2">
      <c r="C201" t="s">
        <v>354</v>
      </c>
    </row>
    <row r="202" spans="2:33" x14ac:dyDescent="0.2">
      <c r="C202" s="6" t="s">
        <v>107</v>
      </c>
      <c r="D202" s="6" t="s">
        <v>438</v>
      </c>
      <c r="E202" s="6" t="s">
        <v>439</v>
      </c>
      <c r="F202" s="6" t="s">
        <v>440</v>
      </c>
      <c r="G202" s="6" t="s">
        <v>441</v>
      </c>
      <c r="H202" s="6" t="s">
        <v>442</v>
      </c>
      <c r="I202" s="15"/>
      <c r="J202" s="6" t="s">
        <v>443</v>
      </c>
      <c r="K202" s="6" t="s">
        <v>444</v>
      </c>
      <c r="L202" s="6" t="s">
        <v>445</v>
      </c>
      <c r="M202" s="6" t="s">
        <v>446</v>
      </c>
      <c r="N202" s="6" t="s">
        <v>447</v>
      </c>
      <c r="O202" s="6" t="s">
        <v>448</v>
      </c>
      <c r="P202" s="6" t="s">
        <v>449</v>
      </c>
      <c r="Q202" s="6" t="s">
        <v>450</v>
      </c>
      <c r="R202" s="6" t="s">
        <v>451</v>
      </c>
      <c r="S202" s="6" t="s">
        <v>452</v>
      </c>
      <c r="T202" s="6" t="s">
        <v>453</v>
      </c>
      <c r="U202" s="6" t="s">
        <v>454</v>
      </c>
      <c r="V202" s="6" t="s">
        <v>455</v>
      </c>
      <c r="W202" s="6" t="s">
        <v>456</v>
      </c>
      <c r="X202" s="6" t="s">
        <v>457</v>
      </c>
      <c r="Y202" s="6" t="s">
        <v>458</v>
      </c>
      <c r="Z202" s="6" t="s">
        <v>459</v>
      </c>
      <c r="AA202" s="6" t="s">
        <v>460</v>
      </c>
      <c r="AB202" s="6" t="s">
        <v>461</v>
      </c>
      <c r="AC202" s="6" t="s">
        <v>462</v>
      </c>
      <c r="AD202" s="15"/>
      <c r="AE202" s="6" t="s">
        <v>106</v>
      </c>
      <c r="AF202" s="6" t="s">
        <v>105</v>
      </c>
      <c r="AG202" s="6" t="s">
        <v>463</v>
      </c>
    </row>
    <row r="203" spans="2:33" x14ac:dyDescent="0.2">
      <c r="C203" s="16" t="s">
        <v>464</v>
      </c>
      <c r="J203" s="17">
        <v>20</v>
      </c>
      <c r="K203" s="17">
        <v>19</v>
      </c>
      <c r="L203" s="17">
        <v>18</v>
      </c>
      <c r="M203" s="17">
        <v>17</v>
      </c>
      <c r="N203" s="17">
        <v>16</v>
      </c>
      <c r="O203" s="17">
        <v>15</v>
      </c>
      <c r="P203" s="17">
        <v>14</v>
      </c>
      <c r="Q203" s="17">
        <v>13</v>
      </c>
      <c r="R203" s="17">
        <v>12</v>
      </c>
      <c r="S203" s="17">
        <v>11</v>
      </c>
      <c r="T203" s="17">
        <v>10</v>
      </c>
      <c r="U203" s="17">
        <v>9</v>
      </c>
      <c r="V203" s="17">
        <v>8</v>
      </c>
      <c r="W203" s="17">
        <v>7</v>
      </c>
      <c r="X203" s="17">
        <v>6</v>
      </c>
      <c r="Y203" s="17">
        <v>5</v>
      </c>
      <c r="Z203" s="17">
        <v>4</v>
      </c>
      <c r="AA203" s="17">
        <v>3</v>
      </c>
      <c r="AB203" s="17">
        <v>2</v>
      </c>
      <c r="AC203" s="17">
        <v>1</v>
      </c>
    </row>
    <row r="204" spans="2:33" x14ac:dyDescent="0.2">
      <c r="B204" t="s">
        <v>354</v>
      </c>
      <c r="C204" s="5" t="s">
        <v>104</v>
      </c>
      <c r="D204" s="4">
        <v>1415000000</v>
      </c>
      <c r="E204" s="4">
        <v>1686000000</v>
      </c>
      <c r="F204" s="4">
        <v>1814000000</v>
      </c>
      <c r="G204" s="19">
        <v>20</v>
      </c>
      <c r="H204" s="4">
        <v>472000000</v>
      </c>
      <c r="J204" s="20">
        <f t="shared" ref="J204:J215" si="141">H204</f>
        <v>472000000</v>
      </c>
      <c r="K204" s="20">
        <f>$F204/4</f>
        <v>453500000</v>
      </c>
      <c r="L204" s="20">
        <f>$F204/4</f>
        <v>453500000</v>
      </c>
      <c r="M204" s="20">
        <f>$F204/4</f>
        <v>453500000</v>
      </c>
      <c r="N204" s="20">
        <f>$F204/4</f>
        <v>453500000</v>
      </c>
      <c r="O204" s="20">
        <f>$E204/4</f>
        <v>421500000</v>
      </c>
      <c r="P204" s="20">
        <f>$E204/4</f>
        <v>421500000</v>
      </c>
      <c r="Q204" s="20">
        <f>$E204/4</f>
        <v>421500000</v>
      </c>
      <c r="R204" s="20">
        <f>$E204/4</f>
        <v>421500000</v>
      </c>
      <c r="S204" s="20">
        <f>$D204/4</f>
        <v>353750000</v>
      </c>
      <c r="T204" s="20">
        <f>$D204/4</f>
        <v>353750000</v>
      </c>
      <c r="U204" s="20">
        <f>$D204/4</f>
        <v>353750000</v>
      </c>
      <c r="V204" s="20">
        <f>$D204/4</f>
        <v>353750000</v>
      </c>
      <c r="W204" s="20">
        <v>0</v>
      </c>
      <c r="X204" s="20">
        <v>0</v>
      </c>
      <c r="Y204" s="20">
        <v>0</v>
      </c>
      <c r="Z204" s="20">
        <v>0</v>
      </c>
      <c r="AA204" s="20">
        <v>0</v>
      </c>
      <c r="AB204" s="20">
        <v>0</v>
      </c>
      <c r="AC204" s="20">
        <v>0</v>
      </c>
      <c r="AE204" s="21">
        <f>SUM(J204:AC204)/$G204</f>
        <v>269350000</v>
      </c>
      <c r="AF204" s="21">
        <f>SUMPRODUCT($J$203:$AC$203,J204:AC204)/$G204</f>
        <v>3869425000</v>
      </c>
      <c r="AG204" s="21">
        <f t="shared" ref="AG204:AG215" si="142">H204-AE204</f>
        <v>202650000</v>
      </c>
    </row>
    <row r="205" spans="2:33" x14ac:dyDescent="0.2">
      <c r="B205" t="s">
        <v>354</v>
      </c>
      <c r="C205" s="5" t="s">
        <v>103</v>
      </c>
      <c r="D205" s="22">
        <f>$D204</f>
        <v>1415000000</v>
      </c>
      <c r="E205" s="22">
        <f>$E204</f>
        <v>1686000000</v>
      </c>
      <c r="F205" s="22">
        <f>$F204</f>
        <v>1814000000</v>
      </c>
      <c r="G205" s="23">
        <f>$G$204</f>
        <v>20</v>
      </c>
      <c r="H205" s="4">
        <v>528000000</v>
      </c>
      <c r="J205" s="20">
        <f t="shared" si="141"/>
        <v>528000000</v>
      </c>
      <c r="K205" s="20">
        <f t="shared" ref="K205:K215" si="143">H204</f>
        <v>472000000</v>
      </c>
      <c r="L205" s="20">
        <f>$F204/4</f>
        <v>453500000</v>
      </c>
      <c r="M205" s="20">
        <f>$F204/4</f>
        <v>453500000</v>
      </c>
      <c r="N205" s="20">
        <f>$F204/4</f>
        <v>453500000</v>
      </c>
      <c r="O205" s="20">
        <f>$F204/4</f>
        <v>453500000</v>
      </c>
      <c r="P205" s="20">
        <f>$E204/4</f>
        <v>421500000</v>
      </c>
      <c r="Q205" s="20">
        <f>$E204/4</f>
        <v>421500000</v>
      </c>
      <c r="R205" s="20">
        <f>$E204/4</f>
        <v>421500000</v>
      </c>
      <c r="S205" s="20">
        <f>$E204/4</f>
        <v>421500000</v>
      </c>
      <c r="T205" s="20">
        <f>$D204/4</f>
        <v>353750000</v>
      </c>
      <c r="U205" s="20">
        <f>$D204/4</f>
        <v>353750000</v>
      </c>
      <c r="V205" s="20">
        <f>$D204/4</f>
        <v>353750000</v>
      </c>
      <c r="W205" s="20">
        <f>$D204/4</f>
        <v>353750000</v>
      </c>
      <c r="X205" s="20">
        <v>0</v>
      </c>
      <c r="Y205" s="20">
        <v>0</v>
      </c>
      <c r="Z205" s="20">
        <v>0</v>
      </c>
      <c r="AA205" s="20">
        <v>0</v>
      </c>
      <c r="AB205" s="20">
        <v>0</v>
      </c>
      <c r="AC205" s="20">
        <v>0</v>
      </c>
      <c r="AE205" s="21">
        <f t="shared" ref="AE205:AE215" si="144">SUM(J205:AC205)/$G205</f>
        <v>295750000</v>
      </c>
      <c r="AF205" s="21">
        <f t="shared" ref="AF205:AF215" si="145">SUMPRODUCT($J$203:$AC$203,J205:AC205)/$G205</f>
        <v>4128075000</v>
      </c>
      <c r="AG205" s="21">
        <f t="shared" si="142"/>
        <v>232250000</v>
      </c>
    </row>
    <row r="206" spans="2:33" x14ac:dyDescent="0.2">
      <c r="B206" t="s">
        <v>354</v>
      </c>
      <c r="C206" s="5" t="s">
        <v>102</v>
      </c>
      <c r="D206" s="22">
        <f>$D204</f>
        <v>1415000000</v>
      </c>
      <c r="E206" s="22">
        <f>$E204</f>
        <v>1686000000</v>
      </c>
      <c r="F206" s="22">
        <f>$F204</f>
        <v>1814000000</v>
      </c>
      <c r="G206" s="23">
        <f t="shared" ref="G206:G215" si="146">$G$204</f>
        <v>20</v>
      </c>
      <c r="H206" s="4">
        <v>554000000</v>
      </c>
      <c r="J206" s="20">
        <f t="shared" si="141"/>
        <v>554000000</v>
      </c>
      <c r="K206" s="20">
        <f t="shared" si="143"/>
        <v>528000000</v>
      </c>
      <c r="L206" s="20">
        <f t="shared" ref="L206:L215" si="147">H204</f>
        <v>472000000</v>
      </c>
      <c r="M206" s="20">
        <f>$F204/4</f>
        <v>453500000</v>
      </c>
      <c r="N206" s="20">
        <f>$F204/4</f>
        <v>453500000</v>
      </c>
      <c r="O206" s="20">
        <f>$F204/4</f>
        <v>453500000</v>
      </c>
      <c r="P206" s="20">
        <f>$F204/4</f>
        <v>453500000</v>
      </c>
      <c r="Q206" s="20">
        <f>$E204/4</f>
        <v>421500000</v>
      </c>
      <c r="R206" s="20">
        <f>$E204/4</f>
        <v>421500000</v>
      </c>
      <c r="S206" s="20">
        <f>$E204/4</f>
        <v>421500000</v>
      </c>
      <c r="T206" s="20">
        <f>$E204/4</f>
        <v>421500000</v>
      </c>
      <c r="U206" s="20">
        <f>$D204/4</f>
        <v>353750000</v>
      </c>
      <c r="V206" s="20">
        <f>$D204/4</f>
        <v>353750000</v>
      </c>
      <c r="W206" s="20">
        <f>$D204/4</f>
        <v>353750000</v>
      </c>
      <c r="X206" s="20">
        <f>$D204/4</f>
        <v>353750000</v>
      </c>
      <c r="Y206" s="20">
        <v>0</v>
      </c>
      <c r="Z206" s="20">
        <v>0</v>
      </c>
      <c r="AA206" s="20">
        <v>0</v>
      </c>
      <c r="AB206" s="20">
        <v>0</v>
      </c>
      <c r="AC206" s="20">
        <v>0</v>
      </c>
      <c r="AE206" s="21">
        <f t="shared" si="144"/>
        <v>323450000</v>
      </c>
      <c r="AF206" s="21">
        <f t="shared" si="145"/>
        <v>4386325000</v>
      </c>
      <c r="AG206" s="21">
        <f t="shared" si="142"/>
        <v>230550000</v>
      </c>
    </row>
    <row r="207" spans="2:33" x14ac:dyDescent="0.2">
      <c r="B207" t="s">
        <v>354</v>
      </c>
      <c r="C207" s="5" t="s">
        <v>101</v>
      </c>
      <c r="D207" s="22">
        <f>$D204</f>
        <v>1415000000</v>
      </c>
      <c r="E207" s="22">
        <f>$E204</f>
        <v>1686000000</v>
      </c>
      <c r="F207" s="22">
        <f>$F204</f>
        <v>1814000000</v>
      </c>
      <c r="G207" s="23">
        <f t="shared" si="146"/>
        <v>20</v>
      </c>
      <c r="H207" s="4">
        <v>554000000</v>
      </c>
      <c r="J207" s="20">
        <f t="shared" si="141"/>
        <v>554000000</v>
      </c>
      <c r="K207" s="20">
        <f t="shared" si="143"/>
        <v>554000000</v>
      </c>
      <c r="L207" s="20">
        <f t="shared" si="147"/>
        <v>528000000</v>
      </c>
      <c r="M207" s="20">
        <f t="shared" ref="M207:M215" si="148">H204</f>
        <v>472000000</v>
      </c>
      <c r="N207" s="20">
        <f>$F204/4</f>
        <v>453500000</v>
      </c>
      <c r="O207" s="20">
        <f>$F204/4</f>
        <v>453500000</v>
      </c>
      <c r="P207" s="20">
        <f>$F204/4</f>
        <v>453500000</v>
      </c>
      <c r="Q207" s="20">
        <f>$F204/4</f>
        <v>453500000</v>
      </c>
      <c r="R207" s="20">
        <f>$E204/4</f>
        <v>421500000</v>
      </c>
      <c r="S207" s="20">
        <f>$E204/4</f>
        <v>421500000</v>
      </c>
      <c r="T207" s="20">
        <f>$E204/4</f>
        <v>421500000</v>
      </c>
      <c r="U207" s="20">
        <f>$E204/4</f>
        <v>421500000</v>
      </c>
      <c r="V207" s="20">
        <f>$D204/4</f>
        <v>353750000</v>
      </c>
      <c r="W207" s="20">
        <f>$D204/4</f>
        <v>353750000</v>
      </c>
      <c r="X207" s="20">
        <f>$D204/4</f>
        <v>353750000</v>
      </c>
      <c r="Y207" s="20">
        <f>$D204/4</f>
        <v>353750000</v>
      </c>
      <c r="Z207" s="20">
        <v>0</v>
      </c>
      <c r="AA207" s="20">
        <v>0</v>
      </c>
      <c r="AB207" s="20">
        <v>0</v>
      </c>
      <c r="AC207" s="20">
        <v>0</v>
      </c>
      <c r="AE207" s="21">
        <f t="shared" si="144"/>
        <v>351150000</v>
      </c>
      <c r="AF207" s="21">
        <f t="shared" si="145"/>
        <v>4616875000</v>
      </c>
      <c r="AG207" s="21">
        <f t="shared" si="142"/>
        <v>202850000</v>
      </c>
    </row>
    <row r="208" spans="2:33" x14ac:dyDescent="0.2">
      <c r="B208" t="s">
        <v>354</v>
      </c>
      <c r="C208" s="5" t="s">
        <v>100</v>
      </c>
      <c r="D208" s="22">
        <f>$D204</f>
        <v>1415000000</v>
      </c>
      <c r="E208" s="22">
        <f>$E204</f>
        <v>1686000000</v>
      </c>
      <c r="F208" s="22">
        <f>$F204</f>
        <v>1814000000</v>
      </c>
      <c r="G208" s="23">
        <f t="shared" si="146"/>
        <v>20</v>
      </c>
      <c r="H208" s="4">
        <v>520000000</v>
      </c>
      <c r="J208" s="20">
        <f t="shared" si="141"/>
        <v>520000000</v>
      </c>
      <c r="K208" s="20">
        <f t="shared" si="143"/>
        <v>554000000</v>
      </c>
      <c r="L208" s="20">
        <f t="shared" si="147"/>
        <v>554000000</v>
      </c>
      <c r="M208" s="20">
        <f t="shared" si="148"/>
        <v>528000000</v>
      </c>
      <c r="N208" s="20">
        <f t="shared" ref="N208:N215" si="149">H204</f>
        <v>472000000</v>
      </c>
      <c r="O208" s="20">
        <f>$F204/4</f>
        <v>453500000</v>
      </c>
      <c r="P208" s="20">
        <f>$F204/4</f>
        <v>453500000</v>
      </c>
      <c r="Q208" s="20">
        <f>$F204/4</f>
        <v>453500000</v>
      </c>
      <c r="R208" s="20">
        <f>$F204/4</f>
        <v>453500000</v>
      </c>
      <c r="S208" s="20">
        <f>$E204/4</f>
        <v>421500000</v>
      </c>
      <c r="T208" s="20">
        <f>$E204/4</f>
        <v>421500000</v>
      </c>
      <c r="U208" s="20">
        <f>$E204/4</f>
        <v>421500000</v>
      </c>
      <c r="V208" s="20">
        <f>$E204/4</f>
        <v>421500000</v>
      </c>
      <c r="W208" s="20">
        <f>$D204/4</f>
        <v>353750000</v>
      </c>
      <c r="X208" s="20">
        <f>$D204/4</f>
        <v>353750000</v>
      </c>
      <c r="Y208" s="20">
        <f>$D204/4</f>
        <v>353750000</v>
      </c>
      <c r="Z208" s="20">
        <f>$D204/4</f>
        <v>353750000</v>
      </c>
      <c r="AA208" s="20">
        <v>0</v>
      </c>
      <c r="AB208" s="20">
        <v>0</v>
      </c>
      <c r="AC208" s="20">
        <v>0</v>
      </c>
      <c r="AE208" s="21">
        <f t="shared" si="144"/>
        <v>377150000</v>
      </c>
      <c r="AF208" s="21">
        <f t="shared" si="145"/>
        <v>4785725000</v>
      </c>
      <c r="AG208" s="21">
        <f t="shared" si="142"/>
        <v>142850000</v>
      </c>
    </row>
    <row r="209" spans="2:33" x14ac:dyDescent="0.2">
      <c r="B209" t="s">
        <v>354</v>
      </c>
      <c r="C209" s="5" t="s">
        <v>99</v>
      </c>
      <c r="D209" s="22">
        <f>$D204</f>
        <v>1415000000</v>
      </c>
      <c r="E209" s="22">
        <f>$E204</f>
        <v>1686000000</v>
      </c>
      <c r="F209" s="22">
        <f>$F204</f>
        <v>1814000000</v>
      </c>
      <c r="G209" s="23">
        <f t="shared" si="146"/>
        <v>20</v>
      </c>
      <c r="H209" s="4">
        <v>535000000</v>
      </c>
      <c r="J209" s="20">
        <f t="shared" si="141"/>
        <v>535000000</v>
      </c>
      <c r="K209" s="20">
        <f t="shared" si="143"/>
        <v>520000000</v>
      </c>
      <c r="L209" s="20">
        <f t="shared" si="147"/>
        <v>554000000</v>
      </c>
      <c r="M209" s="20">
        <f t="shared" si="148"/>
        <v>554000000</v>
      </c>
      <c r="N209" s="20">
        <f t="shared" si="149"/>
        <v>528000000</v>
      </c>
      <c r="O209" s="20">
        <f t="shared" ref="O209:O215" si="150">H204</f>
        <v>472000000</v>
      </c>
      <c r="P209" s="20">
        <f>$F204/4</f>
        <v>453500000</v>
      </c>
      <c r="Q209" s="20">
        <f>$F204/4</f>
        <v>453500000</v>
      </c>
      <c r="R209" s="20">
        <f>$F204/4</f>
        <v>453500000</v>
      </c>
      <c r="S209" s="20">
        <f>$F204/4</f>
        <v>453500000</v>
      </c>
      <c r="T209" s="20">
        <f>$E204/4</f>
        <v>421500000</v>
      </c>
      <c r="U209" s="20">
        <f>$E204/4</f>
        <v>421500000</v>
      </c>
      <c r="V209" s="20">
        <f>$E204/4</f>
        <v>421500000</v>
      </c>
      <c r="W209" s="20">
        <f>$E204/4</f>
        <v>421500000</v>
      </c>
      <c r="X209" s="20">
        <f>$D204/4</f>
        <v>353750000</v>
      </c>
      <c r="Y209" s="20">
        <f>$D204/4</f>
        <v>353750000</v>
      </c>
      <c r="Z209" s="20">
        <f>$D204/4</f>
        <v>353750000</v>
      </c>
      <c r="AA209" s="20">
        <f>$D204/4</f>
        <v>353750000</v>
      </c>
      <c r="AB209" s="20">
        <v>0</v>
      </c>
      <c r="AC209" s="20">
        <v>0</v>
      </c>
      <c r="AE209" s="21">
        <f t="shared" si="144"/>
        <v>403900000</v>
      </c>
      <c r="AF209" s="21">
        <f t="shared" si="145"/>
        <v>4943575000</v>
      </c>
      <c r="AG209" s="21">
        <f t="shared" si="142"/>
        <v>131100000</v>
      </c>
    </row>
    <row r="210" spans="2:33" x14ac:dyDescent="0.2">
      <c r="B210" t="s">
        <v>354</v>
      </c>
      <c r="C210" s="5" t="s">
        <v>98</v>
      </c>
      <c r="D210" s="22">
        <f>$D204</f>
        <v>1415000000</v>
      </c>
      <c r="E210" s="22">
        <f>$E204</f>
        <v>1686000000</v>
      </c>
      <c r="F210" s="22">
        <f>$F204</f>
        <v>1814000000</v>
      </c>
      <c r="G210" s="23">
        <f t="shared" si="146"/>
        <v>20</v>
      </c>
      <c r="H210" s="4">
        <v>533000000</v>
      </c>
      <c r="J210" s="20">
        <f t="shared" si="141"/>
        <v>533000000</v>
      </c>
      <c r="K210" s="20">
        <f t="shared" si="143"/>
        <v>535000000</v>
      </c>
      <c r="L210" s="20">
        <f t="shared" si="147"/>
        <v>520000000</v>
      </c>
      <c r="M210" s="20">
        <f t="shared" si="148"/>
        <v>554000000</v>
      </c>
      <c r="N210" s="20">
        <f t="shared" si="149"/>
        <v>554000000</v>
      </c>
      <c r="O210" s="20">
        <f t="shared" si="150"/>
        <v>528000000</v>
      </c>
      <c r="P210" s="20">
        <f t="shared" ref="P210:P215" si="151">H204</f>
        <v>472000000</v>
      </c>
      <c r="Q210" s="20">
        <f>$F204/4</f>
        <v>453500000</v>
      </c>
      <c r="R210" s="20">
        <f>$F204/4</f>
        <v>453500000</v>
      </c>
      <c r="S210" s="20">
        <f>$F204/4</f>
        <v>453500000</v>
      </c>
      <c r="T210" s="20">
        <f>$F204/4</f>
        <v>453500000</v>
      </c>
      <c r="U210" s="20">
        <f>$E204/4</f>
        <v>421500000</v>
      </c>
      <c r="V210" s="20">
        <f>$E204/4</f>
        <v>421500000</v>
      </c>
      <c r="W210" s="20">
        <f>$E204/4</f>
        <v>421500000</v>
      </c>
      <c r="X210" s="20">
        <f>$E204/4</f>
        <v>421500000</v>
      </c>
      <c r="Y210" s="20">
        <f>$D204/4</f>
        <v>353750000</v>
      </c>
      <c r="Z210" s="20">
        <f>$D204/4</f>
        <v>353750000</v>
      </c>
      <c r="AA210" s="20">
        <f>$D204/4</f>
        <v>353750000</v>
      </c>
      <c r="AB210" s="20">
        <f>$D204/4</f>
        <v>353750000</v>
      </c>
      <c r="AC210" s="20">
        <v>0</v>
      </c>
      <c r="AE210" s="21">
        <f t="shared" si="144"/>
        <v>430550000</v>
      </c>
      <c r="AF210" s="21">
        <f t="shared" si="145"/>
        <v>5072675000</v>
      </c>
      <c r="AG210" s="21">
        <f t="shared" si="142"/>
        <v>102450000</v>
      </c>
    </row>
    <row r="211" spans="2:33" x14ac:dyDescent="0.2">
      <c r="B211" t="s">
        <v>354</v>
      </c>
      <c r="C211" s="5" t="s">
        <v>97</v>
      </c>
      <c r="D211" s="22">
        <f>$D204</f>
        <v>1415000000</v>
      </c>
      <c r="E211" s="22">
        <f>$E204</f>
        <v>1686000000</v>
      </c>
      <c r="F211" s="22">
        <f>$F204</f>
        <v>1814000000</v>
      </c>
      <c r="G211" s="23">
        <f t="shared" si="146"/>
        <v>20</v>
      </c>
      <c r="H211" s="4">
        <v>519000000</v>
      </c>
      <c r="J211" s="20">
        <f t="shared" si="141"/>
        <v>519000000</v>
      </c>
      <c r="K211" s="20">
        <f t="shared" si="143"/>
        <v>533000000</v>
      </c>
      <c r="L211" s="20">
        <f t="shared" si="147"/>
        <v>535000000</v>
      </c>
      <c r="M211" s="20">
        <f t="shared" si="148"/>
        <v>520000000</v>
      </c>
      <c r="N211" s="20">
        <f t="shared" si="149"/>
        <v>554000000</v>
      </c>
      <c r="O211" s="20">
        <f t="shared" si="150"/>
        <v>554000000</v>
      </c>
      <c r="P211" s="20">
        <f t="shared" si="151"/>
        <v>528000000</v>
      </c>
      <c r="Q211" s="20">
        <f>H204</f>
        <v>472000000</v>
      </c>
      <c r="R211" s="20">
        <f>$F204/4</f>
        <v>453500000</v>
      </c>
      <c r="S211" s="20">
        <f>$F204/4</f>
        <v>453500000</v>
      </c>
      <c r="T211" s="20">
        <f>$F204/4</f>
        <v>453500000</v>
      </c>
      <c r="U211" s="20">
        <f>$F204/4</f>
        <v>453500000</v>
      </c>
      <c r="V211" s="20">
        <f>$E204/4</f>
        <v>421500000</v>
      </c>
      <c r="W211" s="20">
        <f>$E204/4</f>
        <v>421500000</v>
      </c>
      <c r="X211" s="20">
        <f>$E204/4</f>
        <v>421500000</v>
      </c>
      <c r="Y211" s="20">
        <f>$E204/4</f>
        <v>421500000</v>
      </c>
      <c r="Z211" s="20">
        <f>$D204/4</f>
        <v>353750000</v>
      </c>
      <c r="AA211" s="20">
        <f>$D204/4</f>
        <v>353750000</v>
      </c>
      <c r="AB211" s="20">
        <f>$D204/4</f>
        <v>353750000</v>
      </c>
      <c r="AC211" s="20">
        <f>$D204/4</f>
        <v>353750000</v>
      </c>
      <c r="AE211" s="21">
        <f t="shared" si="144"/>
        <v>456500000</v>
      </c>
      <c r="AF211" s="21">
        <f t="shared" si="145"/>
        <v>5161125000</v>
      </c>
      <c r="AG211" s="21">
        <f t="shared" si="142"/>
        <v>62500000</v>
      </c>
    </row>
    <row r="212" spans="2:33" x14ac:dyDescent="0.2">
      <c r="B212" t="s">
        <v>354</v>
      </c>
      <c r="C212" s="5" t="s">
        <v>96</v>
      </c>
      <c r="D212" s="22">
        <f>$D204</f>
        <v>1415000000</v>
      </c>
      <c r="E212" s="22">
        <f>$E204</f>
        <v>1686000000</v>
      </c>
      <c r="F212" s="22">
        <f>$F204</f>
        <v>1814000000</v>
      </c>
      <c r="G212" s="23">
        <f t="shared" si="146"/>
        <v>20</v>
      </c>
      <c r="H212" s="4">
        <v>480000000</v>
      </c>
      <c r="J212" s="20">
        <f t="shared" si="141"/>
        <v>480000000</v>
      </c>
      <c r="K212" s="20">
        <f t="shared" si="143"/>
        <v>519000000</v>
      </c>
      <c r="L212" s="20">
        <f t="shared" si="147"/>
        <v>533000000</v>
      </c>
      <c r="M212" s="20">
        <f t="shared" si="148"/>
        <v>535000000</v>
      </c>
      <c r="N212" s="20">
        <f t="shared" si="149"/>
        <v>520000000</v>
      </c>
      <c r="O212" s="20">
        <f t="shared" si="150"/>
        <v>554000000</v>
      </c>
      <c r="P212" s="20">
        <f t="shared" si="151"/>
        <v>554000000</v>
      </c>
      <c r="Q212" s="20">
        <f>H205</f>
        <v>528000000</v>
      </c>
      <c r="R212" s="20">
        <f>H204</f>
        <v>472000000</v>
      </c>
      <c r="S212" s="20">
        <f>$F204/4</f>
        <v>453500000</v>
      </c>
      <c r="T212" s="20">
        <f>$F204/4</f>
        <v>453500000</v>
      </c>
      <c r="U212" s="20">
        <f>$F204/4</f>
        <v>453500000</v>
      </c>
      <c r="V212" s="20">
        <f>$F204/4</f>
        <v>453500000</v>
      </c>
      <c r="W212" s="20">
        <f>$E204/4</f>
        <v>421500000</v>
      </c>
      <c r="X212" s="20">
        <f>$E204/4</f>
        <v>421500000</v>
      </c>
      <c r="Y212" s="20">
        <f>$E204/4</f>
        <v>421500000</v>
      </c>
      <c r="Z212" s="20">
        <f>$E204/4</f>
        <v>421500000</v>
      </c>
      <c r="AA212" s="20">
        <f>$D204/4</f>
        <v>353750000</v>
      </c>
      <c r="AB212" s="20">
        <f>$D204/4</f>
        <v>353750000</v>
      </c>
      <c r="AC212" s="20">
        <f>$D204/4</f>
        <v>353750000</v>
      </c>
      <c r="AE212" s="21">
        <f t="shared" si="144"/>
        <v>462812500</v>
      </c>
      <c r="AF212" s="21">
        <f t="shared" si="145"/>
        <v>5184625000</v>
      </c>
      <c r="AG212" s="21">
        <f t="shared" si="142"/>
        <v>17187500</v>
      </c>
    </row>
    <row r="213" spans="2:33" x14ac:dyDescent="0.2">
      <c r="B213" t="s">
        <v>354</v>
      </c>
      <c r="C213" s="5" t="s">
        <v>95</v>
      </c>
      <c r="D213" s="22">
        <f>$D204</f>
        <v>1415000000</v>
      </c>
      <c r="E213" s="22">
        <f>$E204</f>
        <v>1686000000</v>
      </c>
      <c r="F213" s="22">
        <f>$F204</f>
        <v>1814000000</v>
      </c>
      <c r="G213" s="23">
        <f t="shared" si="146"/>
        <v>20</v>
      </c>
      <c r="H213" s="4">
        <v>551000000</v>
      </c>
      <c r="J213" s="20">
        <f t="shared" si="141"/>
        <v>551000000</v>
      </c>
      <c r="K213" s="20">
        <f t="shared" si="143"/>
        <v>480000000</v>
      </c>
      <c r="L213" s="20">
        <f t="shared" si="147"/>
        <v>519000000</v>
      </c>
      <c r="M213" s="20">
        <f t="shared" si="148"/>
        <v>533000000</v>
      </c>
      <c r="N213" s="20">
        <f t="shared" si="149"/>
        <v>535000000</v>
      </c>
      <c r="O213" s="20">
        <f t="shared" si="150"/>
        <v>520000000</v>
      </c>
      <c r="P213" s="20">
        <f t="shared" si="151"/>
        <v>554000000</v>
      </c>
      <c r="Q213" s="20">
        <f>H206</f>
        <v>554000000</v>
      </c>
      <c r="R213" s="20">
        <f>H205</f>
        <v>528000000</v>
      </c>
      <c r="S213" s="20">
        <f>H204</f>
        <v>472000000</v>
      </c>
      <c r="T213" s="20">
        <f>$F204/4</f>
        <v>453500000</v>
      </c>
      <c r="U213" s="20">
        <f>$F204/4</f>
        <v>453500000</v>
      </c>
      <c r="V213" s="20">
        <f>$F204/4</f>
        <v>453500000</v>
      </c>
      <c r="W213" s="20">
        <f>$F204/4</f>
        <v>453500000</v>
      </c>
      <c r="X213" s="20">
        <f>$E204/4</f>
        <v>421500000</v>
      </c>
      <c r="Y213" s="20">
        <f>$E204/4</f>
        <v>421500000</v>
      </c>
      <c r="Z213" s="20">
        <f>$E204/4</f>
        <v>421500000</v>
      </c>
      <c r="AA213" s="20">
        <f>$E204/4</f>
        <v>421500000</v>
      </c>
      <c r="AB213" s="20">
        <f>$D204/4</f>
        <v>353750000</v>
      </c>
      <c r="AC213" s="20">
        <f>$D204/4</f>
        <v>353750000</v>
      </c>
      <c r="AE213" s="21">
        <f t="shared" si="144"/>
        <v>472675000</v>
      </c>
      <c r="AF213" s="21">
        <f t="shared" si="145"/>
        <v>5272812500</v>
      </c>
      <c r="AG213" s="21">
        <f t="shared" si="142"/>
        <v>78325000</v>
      </c>
    </row>
    <row r="214" spans="2:33" x14ac:dyDescent="0.2">
      <c r="B214" t="s">
        <v>354</v>
      </c>
      <c r="C214" s="5" t="s">
        <v>94</v>
      </c>
      <c r="D214" s="22">
        <f>$D204</f>
        <v>1415000000</v>
      </c>
      <c r="E214" s="22">
        <f>$E204</f>
        <v>1686000000</v>
      </c>
      <c r="F214" s="22">
        <f>$F204</f>
        <v>1814000000</v>
      </c>
      <c r="G214" s="23">
        <f t="shared" si="146"/>
        <v>20</v>
      </c>
      <c r="H214" s="4">
        <v>555000000</v>
      </c>
      <c r="J214" s="20">
        <f t="shared" si="141"/>
        <v>555000000</v>
      </c>
      <c r="K214" s="20">
        <f t="shared" si="143"/>
        <v>551000000</v>
      </c>
      <c r="L214" s="20">
        <f t="shared" si="147"/>
        <v>480000000</v>
      </c>
      <c r="M214" s="20">
        <f t="shared" si="148"/>
        <v>519000000</v>
      </c>
      <c r="N214" s="20">
        <f t="shared" si="149"/>
        <v>533000000</v>
      </c>
      <c r="O214" s="20">
        <f t="shared" si="150"/>
        <v>535000000</v>
      </c>
      <c r="P214" s="20">
        <f t="shared" si="151"/>
        <v>520000000</v>
      </c>
      <c r="Q214" s="20">
        <f>H207</f>
        <v>554000000</v>
      </c>
      <c r="R214" s="20">
        <f>H206</f>
        <v>554000000</v>
      </c>
      <c r="S214" s="20">
        <f>H205</f>
        <v>528000000</v>
      </c>
      <c r="T214" s="20">
        <f>H204</f>
        <v>472000000</v>
      </c>
      <c r="U214" s="20">
        <f>$F204/4</f>
        <v>453500000</v>
      </c>
      <c r="V214" s="20">
        <f>$F204/4</f>
        <v>453500000</v>
      </c>
      <c r="W214" s="20">
        <f>$F204/4</f>
        <v>453500000</v>
      </c>
      <c r="X214" s="20">
        <f>$F204/4</f>
        <v>453500000</v>
      </c>
      <c r="Y214" s="20">
        <f>$E204/4</f>
        <v>421500000</v>
      </c>
      <c r="Z214" s="20">
        <f>$E204/4</f>
        <v>421500000</v>
      </c>
      <c r="AA214" s="20">
        <f>$E204/4</f>
        <v>421500000</v>
      </c>
      <c r="AB214" s="20">
        <f>$E204/4</f>
        <v>421500000</v>
      </c>
      <c r="AC214" s="20">
        <f>$D204/4</f>
        <v>353750000</v>
      </c>
      <c r="AE214" s="21">
        <f t="shared" si="144"/>
        <v>482737500</v>
      </c>
      <c r="AF214" s="21">
        <f t="shared" si="145"/>
        <v>5355137500</v>
      </c>
      <c r="AG214" s="21">
        <f t="shared" si="142"/>
        <v>72262500</v>
      </c>
    </row>
    <row r="215" spans="2:33" x14ac:dyDescent="0.2">
      <c r="B215" t="s">
        <v>354</v>
      </c>
      <c r="C215" s="5" t="s">
        <v>93</v>
      </c>
      <c r="D215" s="22">
        <f>$D204</f>
        <v>1415000000</v>
      </c>
      <c r="E215" s="22">
        <f>$E204</f>
        <v>1686000000</v>
      </c>
      <c r="F215" s="22">
        <f>$F204</f>
        <v>1814000000</v>
      </c>
      <c r="G215" s="23">
        <f t="shared" si="146"/>
        <v>20</v>
      </c>
      <c r="H215" s="4">
        <v>562000000</v>
      </c>
      <c r="J215" s="20">
        <f t="shared" si="141"/>
        <v>562000000</v>
      </c>
      <c r="K215" s="20">
        <f t="shared" si="143"/>
        <v>555000000</v>
      </c>
      <c r="L215" s="20">
        <f t="shared" si="147"/>
        <v>551000000</v>
      </c>
      <c r="M215" s="20">
        <f t="shared" si="148"/>
        <v>480000000</v>
      </c>
      <c r="N215" s="20">
        <f t="shared" si="149"/>
        <v>519000000</v>
      </c>
      <c r="O215" s="20">
        <f t="shared" si="150"/>
        <v>533000000</v>
      </c>
      <c r="P215" s="20">
        <f t="shared" si="151"/>
        <v>535000000</v>
      </c>
      <c r="Q215" s="20">
        <f>H208</f>
        <v>520000000</v>
      </c>
      <c r="R215" s="20">
        <f>H207</f>
        <v>554000000</v>
      </c>
      <c r="S215" s="20">
        <f>H206</f>
        <v>554000000</v>
      </c>
      <c r="T215" s="20">
        <f>H205</f>
        <v>528000000</v>
      </c>
      <c r="U215" s="20">
        <f>H204</f>
        <v>472000000</v>
      </c>
      <c r="V215" s="20">
        <f>$F204/4</f>
        <v>453500000</v>
      </c>
      <c r="W215" s="20">
        <f>$F204/4</f>
        <v>453500000</v>
      </c>
      <c r="X215" s="20">
        <f>$F204/4</f>
        <v>453500000</v>
      </c>
      <c r="Y215" s="20">
        <f>$F204/4</f>
        <v>453500000</v>
      </c>
      <c r="Z215" s="20">
        <f>$E204/4</f>
        <v>421500000</v>
      </c>
      <c r="AA215" s="20">
        <f>$E204/4</f>
        <v>421500000</v>
      </c>
      <c r="AB215" s="20">
        <f>$E204/4</f>
        <v>421500000</v>
      </c>
      <c r="AC215" s="20">
        <f>$E204/4</f>
        <v>421500000</v>
      </c>
      <c r="AE215" s="21">
        <f t="shared" si="144"/>
        <v>493150000</v>
      </c>
      <c r="AF215" s="21">
        <f t="shared" si="145"/>
        <v>5434400000</v>
      </c>
      <c r="AG215" s="21">
        <f t="shared" si="142"/>
        <v>68850000</v>
      </c>
    </row>
    <row r="218" spans="2:33" x14ac:dyDescent="0.2">
      <c r="C218" t="s">
        <v>386</v>
      </c>
    </row>
    <row r="219" spans="2:33" x14ac:dyDescent="0.2">
      <c r="C219" s="6" t="s">
        <v>107</v>
      </c>
      <c r="D219" s="6" t="s">
        <v>438</v>
      </c>
      <c r="E219" s="6" t="s">
        <v>439</v>
      </c>
      <c r="F219" s="6" t="s">
        <v>440</v>
      </c>
      <c r="G219" s="6" t="s">
        <v>441</v>
      </c>
      <c r="H219" s="6" t="s">
        <v>442</v>
      </c>
      <c r="I219" s="15"/>
      <c r="J219" s="6" t="s">
        <v>443</v>
      </c>
      <c r="K219" s="6" t="s">
        <v>444</v>
      </c>
      <c r="L219" s="6" t="s">
        <v>445</v>
      </c>
      <c r="M219" s="6" t="s">
        <v>446</v>
      </c>
      <c r="N219" s="6" t="s">
        <v>447</v>
      </c>
      <c r="O219" s="6" t="s">
        <v>448</v>
      </c>
      <c r="P219" s="6" t="s">
        <v>449</v>
      </c>
      <c r="Q219" s="6" t="s">
        <v>450</v>
      </c>
      <c r="R219" s="6" t="s">
        <v>451</v>
      </c>
      <c r="S219" s="6" t="s">
        <v>452</v>
      </c>
      <c r="T219" s="6" t="s">
        <v>453</v>
      </c>
      <c r="U219" s="6" t="s">
        <v>454</v>
      </c>
      <c r="V219" s="6" t="s">
        <v>455</v>
      </c>
      <c r="W219" s="6" t="s">
        <v>456</v>
      </c>
      <c r="X219" s="6" t="s">
        <v>457</v>
      </c>
      <c r="Y219" s="6" t="s">
        <v>458</v>
      </c>
      <c r="Z219" s="6" t="s">
        <v>459</v>
      </c>
      <c r="AA219" s="6" t="s">
        <v>460</v>
      </c>
      <c r="AB219" s="6" t="s">
        <v>461</v>
      </c>
      <c r="AC219" s="6" t="s">
        <v>462</v>
      </c>
      <c r="AD219" s="15"/>
      <c r="AE219" s="6" t="s">
        <v>106</v>
      </c>
      <c r="AF219" s="6" t="s">
        <v>105</v>
      </c>
      <c r="AG219" s="6" t="s">
        <v>463</v>
      </c>
    </row>
    <row r="220" spans="2:33" x14ac:dyDescent="0.2">
      <c r="C220" s="16" t="s">
        <v>464</v>
      </c>
      <c r="J220" s="17">
        <v>20</v>
      </c>
      <c r="K220" s="17">
        <v>19</v>
      </c>
      <c r="L220" s="17">
        <v>18</v>
      </c>
      <c r="M220" s="17">
        <v>17</v>
      </c>
      <c r="N220" s="17">
        <v>16</v>
      </c>
      <c r="O220" s="17">
        <v>15</v>
      </c>
      <c r="P220" s="17">
        <v>14</v>
      </c>
      <c r="Q220" s="17">
        <v>13</v>
      </c>
      <c r="R220" s="17">
        <v>12</v>
      </c>
      <c r="S220" s="17">
        <v>11</v>
      </c>
      <c r="T220" s="17">
        <v>10</v>
      </c>
      <c r="U220" s="17">
        <v>9</v>
      </c>
      <c r="V220" s="17">
        <v>8</v>
      </c>
      <c r="W220" s="17">
        <v>7</v>
      </c>
      <c r="X220" s="17">
        <v>6</v>
      </c>
      <c r="Y220" s="17">
        <v>5</v>
      </c>
      <c r="Z220" s="17">
        <v>4</v>
      </c>
      <c r="AA220" s="17">
        <v>3</v>
      </c>
      <c r="AB220" s="17">
        <v>2</v>
      </c>
      <c r="AC220" s="17">
        <v>1</v>
      </c>
    </row>
    <row r="221" spans="2:33" x14ac:dyDescent="0.2">
      <c r="B221" t="s">
        <v>386</v>
      </c>
      <c r="C221" s="5" t="s">
        <v>104</v>
      </c>
      <c r="D221" s="4">
        <v>27573000000</v>
      </c>
      <c r="E221" s="4">
        <v>31562000000</v>
      </c>
      <c r="F221" s="4">
        <v>39500000000</v>
      </c>
      <c r="G221" s="19">
        <v>20</v>
      </c>
      <c r="H221" s="4">
        <v>11468000000</v>
      </c>
      <c r="J221" s="20">
        <f t="shared" ref="J221:J232" si="152">H221</f>
        <v>11468000000</v>
      </c>
      <c r="K221" s="20">
        <f>$F221/4</f>
        <v>9875000000</v>
      </c>
      <c r="L221" s="20">
        <f>$F221/4</f>
        <v>9875000000</v>
      </c>
      <c r="M221" s="20">
        <f>$F221/4</f>
        <v>9875000000</v>
      </c>
      <c r="N221" s="20">
        <f>$F221/4</f>
        <v>9875000000</v>
      </c>
      <c r="O221" s="20">
        <f>$E221/4</f>
        <v>7890500000</v>
      </c>
      <c r="P221" s="20">
        <f>$E221/4</f>
        <v>7890500000</v>
      </c>
      <c r="Q221" s="20">
        <f>$E221/4</f>
        <v>7890500000</v>
      </c>
      <c r="R221" s="20">
        <f>$E221/4</f>
        <v>7890500000</v>
      </c>
      <c r="S221" s="20">
        <f>$D221/4</f>
        <v>6893250000</v>
      </c>
      <c r="T221" s="20">
        <f>$D221/4</f>
        <v>6893250000</v>
      </c>
      <c r="U221" s="20">
        <f>$D221/4</f>
        <v>6893250000</v>
      </c>
      <c r="V221" s="20">
        <f>$D221/4</f>
        <v>6893250000</v>
      </c>
      <c r="W221" s="20">
        <v>0</v>
      </c>
      <c r="X221" s="20">
        <v>0</v>
      </c>
      <c r="Y221" s="20">
        <v>0</v>
      </c>
      <c r="Z221" s="20">
        <v>0</v>
      </c>
      <c r="AA221" s="20">
        <v>0</v>
      </c>
      <c r="AB221" s="20">
        <v>0</v>
      </c>
      <c r="AC221" s="20">
        <v>0</v>
      </c>
      <c r="AE221" s="21">
        <f>SUM(J221:AC221)/$G221</f>
        <v>5505150000</v>
      </c>
      <c r="AF221" s="21">
        <f>SUMPRODUCT($J$220:$AC$220,J221:AC221)/$G221</f>
        <v>80432025000</v>
      </c>
      <c r="AG221" s="21">
        <f t="shared" ref="AG221:AG232" si="153">H221-AE221</f>
        <v>5962850000</v>
      </c>
    </row>
    <row r="222" spans="2:33" x14ac:dyDescent="0.2">
      <c r="B222" t="s">
        <v>386</v>
      </c>
      <c r="C222" s="5" t="s">
        <v>103</v>
      </c>
      <c r="D222" s="22">
        <f>$D221</f>
        <v>27573000000</v>
      </c>
      <c r="E222" s="22">
        <f>$E221</f>
        <v>31562000000</v>
      </c>
      <c r="F222" s="22">
        <f>$F221</f>
        <v>39500000000</v>
      </c>
      <c r="G222" s="23">
        <f>$G$221</f>
        <v>20</v>
      </c>
      <c r="H222" s="4">
        <v>10588000000</v>
      </c>
      <c r="J222" s="20">
        <f t="shared" si="152"/>
        <v>10588000000</v>
      </c>
      <c r="K222" s="20">
        <f t="shared" ref="K222:K232" si="154">H221</f>
        <v>11468000000</v>
      </c>
      <c r="L222" s="20">
        <f>$F221/4</f>
        <v>9875000000</v>
      </c>
      <c r="M222" s="20">
        <f>$F221/4</f>
        <v>9875000000</v>
      </c>
      <c r="N222" s="20">
        <f>$F221/4</f>
        <v>9875000000</v>
      </c>
      <c r="O222" s="20">
        <f>$F221/4</f>
        <v>9875000000</v>
      </c>
      <c r="P222" s="20">
        <f>$E221/4</f>
        <v>7890500000</v>
      </c>
      <c r="Q222" s="20">
        <f>$E221/4</f>
        <v>7890500000</v>
      </c>
      <c r="R222" s="20">
        <f>$E221/4</f>
        <v>7890500000</v>
      </c>
      <c r="S222" s="20">
        <f>$E221/4</f>
        <v>7890500000</v>
      </c>
      <c r="T222" s="20">
        <f>$D221/4</f>
        <v>6893250000</v>
      </c>
      <c r="U222" s="20">
        <f>$D221/4</f>
        <v>6893250000</v>
      </c>
      <c r="V222" s="20">
        <f>$D221/4</f>
        <v>6893250000</v>
      </c>
      <c r="W222" s="20">
        <f>$D221/4</f>
        <v>6893250000</v>
      </c>
      <c r="X222" s="20">
        <v>0</v>
      </c>
      <c r="Y222" s="20">
        <v>0</v>
      </c>
      <c r="Z222" s="20">
        <v>0</v>
      </c>
      <c r="AA222" s="20">
        <v>0</v>
      </c>
      <c r="AB222" s="20">
        <v>0</v>
      </c>
      <c r="AC222" s="20">
        <v>0</v>
      </c>
      <c r="AE222" s="21">
        <f t="shared" ref="AE222:AE232" si="155">SUM(J222:AC222)/$G222</f>
        <v>6034550000</v>
      </c>
      <c r="AF222" s="21">
        <f t="shared" ref="AF222:AF232" si="156">SUMPRODUCT($J$220:$AC$220,J222:AC222)/$G222</f>
        <v>85514875000</v>
      </c>
      <c r="AG222" s="21">
        <f t="shared" si="153"/>
        <v>4553450000</v>
      </c>
    </row>
    <row r="223" spans="2:33" x14ac:dyDescent="0.2">
      <c r="B223" t="s">
        <v>386</v>
      </c>
      <c r="C223" s="5" t="s">
        <v>102</v>
      </c>
      <c r="D223" s="22">
        <f>$D221</f>
        <v>27573000000</v>
      </c>
      <c r="E223" s="22">
        <f>$E221</f>
        <v>31562000000</v>
      </c>
      <c r="F223" s="22">
        <f>$F221</f>
        <v>39500000000</v>
      </c>
      <c r="G223" s="23">
        <f t="shared" ref="G223:G232" si="157">$G$221</f>
        <v>20</v>
      </c>
      <c r="H223" s="4">
        <v>11258000000</v>
      </c>
      <c r="J223" s="20">
        <f t="shared" si="152"/>
        <v>11258000000</v>
      </c>
      <c r="K223" s="20">
        <f t="shared" si="154"/>
        <v>10588000000</v>
      </c>
      <c r="L223" s="20">
        <f t="shared" ref="L223:L232" si="158">H221</f>
        <v>11468000000</v>
      </c>
      <c r="M223" s="20">
        <f>$F221/4</f>
        <v>9875000000</v>
      </c>
      <c r="N223" s="20">
        <f>$F221/4</f>
        <v>9875000000</v>
      </c>
      <c r="O223" s="20">
        <f>$F221/4</f>
        <v>9875000000</v>
      </c>
      <c r="P223" s="20">
        <f>$F221/4</f>
        <v>9875000000</v>
      </c>
      <c r="Q223" s="20">
        <f>$E221/4</f>
        <v>7890500000</v>
      </c>
      <c r="R223" s="20">
        <f>$E221/4</f>
        <v>7890500000</v>
      </c>
      <c r="S223" s="20">
        <f>$E221/4</f>
        <v>7890500000</v>
      </c>
      <c r="T223" s="20">
        <f>$E221/4</f>
        <v>7890500000</v>
      </c>
      <c r="U223" s="20">
        <f>$D221/4</f>
        <v>6893250000</v>
      </c>
      <c r="V223" s="20">
        <f>$D221/4</f>
        <v>6893250000</v>
      </c>
      <c r="W223" s="20">
        <f>$D221/4</f>
        <v>6893250000</v>
      </c>
      <c r="X223" s="20">
        <f>$D221/4</f>
        <v>6893250000</v>
      </c>
      <c r="Y223" s="20">
        <v>0</v>
      </c>
      <c r="Z223" s="20">
        <v>0</v>
      </c>
      <c r="AA223" s="20">
        <v>0</v>
      </c>
      <c r="AB223" s="20">
        <v>0</v>
      </c>
      <c r="AC223" s="20">
        <v>0</v>
      </c>
      <c r="AE223" s="21">
        <f t="shared" si="155"/>
        <v>6597450000</v>
      </c>
      <c r="AF223" s="21">
        <f t="shared" si="156"/>
        <v>90738325000</v>
      </c>
      <c r="AG223" s="21">
        <f t="shared" si="153"/>
        <v>4660550000</v>
      </c>
    </row>
    <row r="224" spans="2:33" x14ac:dyDescent="0.2">
      <c r="B224" t="s">
        <v>386</v>
      </c>
      <c r="C224" s="5" t="s">
        <v>101</v>
      </c>
      <c r="D224" s="22">
        <f>$D221</f>
        <v>27573000000</v>
      </c>
      <c r="E224" s="22">
        <f>$E221</f>
        <v>31562000000</v>
      </c>
      <c r="F224" s="22">
        <f>$F221</f>
        <v>39500000000</v>
      </c>
      <c r="G224" s="23">
        <f t="shared" si="157"/>
        <v>20</v>
      </c>
      <c r="H224" s="4">
        <v>12113000000</v>
      </c>
      <c r="J224" s="20">
        <f t="shared" si="152"/>
        <v>12113000000</v>
      </c>
      <c r="K224" s="20">
        <f t="shared" si="154"/>
        <v>11258000000</v>
      </c>
      <c r="L224" s="20">
        <f t="shared" si="158"/>
        <v>10588000000</v>
      </c>
      <c r="M224" s="20">
        <f t="shared" ref="M224:M232" si="159">H221</f>
        <v>11468000000</v>
      </c>
      <c r="N224" s="20">
        <f>$F221/4</f>
        <v>9875000000</v>
      </c>
      <c r="O224" s="20">
        <f>$F221/4</f>
        <v>9875000000</v>
      </c>
      <c r="P224" s="20">
        <f>$F221/4</f>
        <v>9875000000</v>
      </c>
      <c r="Q224" s="20">
        <f>$F221/4</f>
        <v>9875000000</v>
      </c>
      <c r="R224" s="20">
        <f>$E221/4</f>
        <v>7890500000</v>
      </c>
      <c r="S224" s="20">
        <f>$E221/4</f>
        <v>7890500000</v>
      </c>
      <c r="T224" s="20">
        <f>$E221/4</f>
        <v>7890500000</v>
      </c>
      <c r="U224" s="20">
        <f>$E221/4</f>
        <v>7890500000</v>
      </c>
      <c r="V224" s="20">
        <f>$D221/4</f>
        <v>6893250000</v>
      </c>
      <c r="W224" s="20">
        <f>$D221/4</f>
        <v>6893250000</v>
      </c>
      <c r="X224" s="20">
        <f>$D221/4</f>
        <v>6893250000</v>
      </c>
      <c r="Y224" s="20">
        <f>$D221/4</f>
        <v>6893250000</v>
      </c>
      <c r="Z224" s="20">
        <v>0</v>
      </c>
      <c r="AA224" s="20">
        <v>0</v>
      </c>
      <c r="AB224" s="20">
        <v>0</v>
      </c>
      <c r="AC224" s="20">
        <v>0</v>
      </c>
      <c r="AE224" s="21">
        <f t="shared" si="155"/>
        <v>7203100000</v>
      </c>
      <c r="AF224" s="21">
        <f t="shared" si="156"/>
        <v>96253875000</v>
      </c>
      <c r="AG224" s="21">
        <f t="shared" si="153"/>
        <v>4909900000</v>
      </c>
    </row>
    <row r="225" spans="2:33" x14ac:dyDescent="0.2">
      <c r="B225" t="s">
        <v>386</v>
      </c>
      <c r="C225" s="5" t="s">
        <v>100</v>
      </c>
      <c r="D225" s="22">
        <f>$D221</f>
        <v>27573000000</v>
      </c>
      <c r="E225" s="22">
        <f>$E221</f>
        <v>31562000000</v>
      </c>
      <c r="F225" s="22">
        <f>$F221</f>
        <v>39500000000</v>
      </c>
      <c r="G225" s="23">
        <f t="shared" si="157"/>
        <v>20</v>
      </c>
      <c r="H225" s="4">
        <v>11903000000</v>
      </c>
      <c r="J225" s="20">
        <f t="shared" si="152"/>
        <v>11903000000</v>
      </c>
      <c r="K225" s="20">
        <f t="shared" si="154"/>
        <v>12113000000</v>
      </c>
      <c r="L225" s="20">
        <f t="shared" si="158"/>
        <v>11258000000</v>
      </c>
      <c r="M225" s="20">
        <f t="shared" si="159"/>
        <v>10588000000</v>
      </c>
      <c r="N225" s="20">
        <f t="shared" ref="N225:N232" si="160">H221</f>
        <v>11468000000</v>
      </c>
      <c r="O225" s="20">
        <f>$F221/4</f>
        <v>9875000000</v>
      </c>
      <c r="P225" s="20">
        <f>$F221/4</f>
        <v>9875000000</v>
      </c>
      <c r="Q225" s="20">
        <f>$F221/4</f>
        <v>9875000000</v>
      </c>
      <c r="R225" s="20">
        <f>$F221/4</f>
        <v>9875000000</v>
      </c>
      <c r="S225" s="20">
        <f>$E221/4</f>
        <v>7890500000</v>
      </c>
      <c r="T225" s="20">
        <f>$E221/4</f>
        <v>7890500000</v>
      </c>
      <c r="U225" s="20">
        <f>$E221/4</f>
        <v>7890500000</v>
      </c>
      <c r="V225" s="20">
        <f>$E221/4</f>
        <v>7890500000</v>
      </c>
      <c r="W225" s="20">
        <f>$D221/4</f>
        <v>6893250000</v>
      </c>
      <c r="X225" s="20">
        <f>$D221/4</f>
        <v>6893250000</v>
      </c>
      <c r="Y225" s="20">
        <f>$D221/4</f>
        <v>6893250000</v>
      </c>
      <c r="Z225" s="20">
        <f>$D221/4</f>
        <v>6893250000</v>
      </c>
      <c r="AA225" s="20">
        <v>0</v>
      </c>
      <c r="AB225" s="20">
        <v>0</v>
      </c>
      <c r="AC225" s="20">
        <v>0</v>
      </c>
      <c r="AE225" s="21">
        <f t="shared" si="155"/>
        <v>7798250000</v>
      </c>
      <c r="AF225" s="21">
        <f t="shared" si="156"/>
        <v>100953775000</v>
      </c>
      <c r="AG225" s="21">
        <f t="shared" si="153"/>
        <v>4104750000</v>
      </c>
    </row>
    <row r="226" spans="2:33" x14ac:dyDescent="0.2">
      <c r="B226" t="s">
        <v>386</v>
      </c>
      <c r="C226" s="5" t="s">
        <v>99</v>
      </c>
      <c r="D226" s="22">
        <f>$D221</f>
        <v>27573000000</v>
      </c>
      <c r="E226" s="22">
        <f>$E221</f>
        <v>31562000000</v>
      </c>
      <c r="F226" s="22">
        <f>$F221</f>
        <v>39500000000</v>
      </c>
      <c r="G226" s="23">
        <f t="shared" si="157"/>
        <v>20</v>
      </c>
      <c r="H226" s="4">
        <v>11860000000</v>
      </c>
      <c r="J226" s="20">
        <f t="shared" si="152"/>
        <v>11860000000</v>
      </c>
      <c r="K226" s="20">
        <f t="shared" si="154"/>
        <v>11903000000</v>
      </c>
      <c r="L226" s="20">
        <f t="shared" si="158"/>
        <v>12113000000</v>
      </c>
      <c r="M226" s="20">
        <f t="shared" si="159"/>
        <v>11258000000</v>
      </c>
      <c r="N226" s="20">
        <f t="shared" si="160"/>
        <v>10588000000</v>
      </c>
      <c r="O226" s="20">
        <f t="shared" ref="O226:O232" si="161">H221</f>
        <v>11468000000</v>
      </c>
      <c r="P226" s="20">
        <f>$F221/4</f>
        <v>9875000000</v>
      </c>
      <c r="Q226" s="20">
        <f>$F221/4</f>
        <v>9875000000</v>
      </c>
      <c r="R226" s="20">
        <f>$F221/4</f>
        <v>9875000000</v>
      </c>
      <c r="S226" s="20">
        <f>$F221/4</f>
        <v>9875000000</v>
      </c>
      <c r="T226" s="20">
        <f>$E221/4</f>
        <v>7890500000</v>
      </c>
      <c r="U226" s="20">
        <f>$E221/4</f>
        <v>7890500000</v>
      </c>
      <c r="V226" s="20">
        <f>$E221/4</f>
        <v>7890500000</v>
      </c>
      <c r="W226" s="20">
        <f>$E221/4</f>
        <v>7890500000</v>
      </c>
      <c r="X226" s="20">
        <f>$D221/4</f>
        <v>6893250000</v>
      </c>
      <c r="Y226" s="20">
        <f>$D221/4</f>
        <v>6893250000</v>
      </c>
      <c r="Z226" s="20">
        <f>$D221/4</f>
        <v>6893250000</v>
      </c>
      <c r="AA226" s="20">
        <f>$D221/4</f>
        <v>6893250000</v>
      </c>
      <c r="AB226" s="20">
        <v>0</v>
      </c>
      <c r="AC226" s="20">
        <v>0</v>
      </c>
      <c r="AE226" s="21">
        <f t="shared" si="155"/>
        <v>8391250000</v>
      </c>
      <c r="AF226" s="21">
        <f t="shared" si="156"/>
        <v>105015525000</v>
      </c>
      <c r="AG226" s="21">
        <f t="shared" si="153"/>
        <v>3468750000</v>
      </c>
    </row>
    <row r="227" spans="2:33" x14ac:dyDescent="0.2">
      <c r="B227" t="s">
        <v>386</v>
      </c>
      <c r="C227" s="5" t="s">
        <v>98</v>
      </c>
      <c r="D227" s="22">
        <f>$D221</f>
        <v>27573000000</v>
      </c>
      <c r="E227" s="22">
        <f>$E221</f>
        <v>31562000000</v>
      </c>
      <c r="F227" s="22">
        <f>$F221</f>
        <v>39500000000</v>
      </c>
      <c r="G227" s="23">
        <f t="shared" si="157"/>
        <v>20</v>
      </c>
      <c r="H227" s="4">
        <v>12447000000</v>
      </c>
      <c r="J227" s="20">
        <f t="shared" si="152"/>
        <v>12447000000</v>
      </c>
      <c r="K227" s="20">
        <f t="shared" si="154"/>
        <v>11860000000</v>
      </c>
      <c r="L227" s="20">
        <f t="shared" si="158"/>
        <v>11903000000</v>
      </c>
      <c r="M227" s="20">
        <f t="shared" si="159"/>
        <v>12113000000</v>
      </c>
      <c r="N227" s="20">
        <f t="shared" si="160"/>
        <v>11258000000</v>
      </c>
      <c r="O227" s="20">
        <f t="shared" si="161"/>
        <v>10588000000</v>
      </c>
      <c r="P227" s="20">
        <f t="shared" ref="P227:P232" si="162">H221</f>
        <v>11468000000</v>
      </c>
      <c r="Q227" s="20">
        <f>$F221/4</f>
        <v>9875000000</v>
      </c>
      <c r="R227" s="20">
        <f>$F221/4</f>
        <v>9875000000</v>
      </c>
      <c r="S227" s="20">
        <f>$F221/4</f>
        <v>9875000000</v>
      </c>
      <c r="T227" s="20">
        <f>$F221/4</f>
        <v>9875000000</v>
      </c>
      <c r="U227" s="20">
        <f>$E221/4</f>
        <v>7890500000</v>
      </c>
      <c r="V227" s="20">
        <f>$E221/4</f>
        <v>7890500000</v>
      </c>
      <c r="W227" s="20">
        <f>$E221/4</f>
        <v>7890500000</v>
      </c>
      <c r="X227" s="20">
        <f>$E221/4</f>
        <v>7890500000</v>
      </c>
      <c r="Y227" s="20">
        <f>$D221/4</f>
        <v>6893250000</v>
      </c>
      <c r="Z227" s="20">
        <f>$D221/4</f>
        <v>6893250000</v>
      </c>
      <c r="AA227" s="20">
        <f>$D221/4</f>
        <v>6893250000</v>
      </c>
      <c r="AB227" s="20">
        <f>$D221/4</f>
        <v>6893250000</v>
      </c>
      <c r="AC227" s="20">
        <v>0</v>
      </c>
      <c r="AE227" s="21">
        <f t="shared" si="155"/>
        <v>9013600000</v>
      </c>
      <c r="AF227" s="21">
        <f t="shared" si="156"/>
        <v>109071275000</v>
      </c>
      <c r="AG227" s="21">
        <f t="shared" si="153"/>
        <v>3433400000</v>
      </c>
    </row>
    <row r="228" spans="2:33" x14ac:dyDescent="0.2">
      <c r="B228" t="s">
        <v>386</v>
      </c>
      <c r="C228" s="5" t="s">
        <v>97</v>
      </c>
      <c r="D228" s="22">
        <f>$D221</f>
        <v>27573000000</v>
      </c>
      <c r="E228" s="22">
        <f>$E221</f>
        <v>31562000000</v>
      </c>
      <c r="F228" s="22">
        <f>$F221</f>
        <v>39500000000</v>
      </c>
      <c r="G228" s="23">
        <f t="shared" si="157"/>
        <v>20</v>
      </c>
      <c r="H228" s="4">
        <v>13116000000</v>
      </c>
      <c r="J228" s="20">
        <f t="shared" si="152"/>
        <v>13116000000</v>
      </c>
      <c r="K228" s="20">
        <f t="shared" si="154"/>
        <v>12447000000</v>
      </c>
      <c r="L228" s="20">
        <f t="shared" si="158"/>
        <v>11860000000</v>
      </c>
      <c r="M228" s="20">
        <f t="shared" si="159"/>
        <v>11903000000</v>
      </c>
      <c r="N228" s="20">
        <f t="shared" si="160"/>
        <v>12113000000</v>
      </c>
      <c r="O228" s="20">
        <f t="shared" si="161"/>
        <v>11258000000</v>
      </c>
      <c r="P228" s="20">
        <f t="shared" si="162"/>
        <v>10588000000</v>
      </c>
      <c r="Q228" s="20">
        <f>H221</f>
        <v>11468000000</v>
      </c>
      <c r="R228" s="20">
        <f>$F221/4</f>
        <v>9875000000</v>
      </c>
      <c r="S228" s="20">
        <f>$F221/4</f>
        <v>9875000000</v>
      </c>
      <c r="T228" s="20">
        <f>$F221/4</f>
        <v>9875000000</v>
      </c>
      <c r="U228" s="20">
        <f>$F221/4</f>
        <v>9875000000</v>
      </c>
      <c r="V228" s="20">
        <f>$E221/4</f>
        <v>7890500000</v>
      </c>
      <c r="W228" s="20">
        <f>$E221/4</f>
        <v>7890500000</v>
      </c>
      <c r="X228" s="20">
        <f>$E221/4</f>
        <v>7890500000</v>
      </c>
      <c r="Y228" s="20">
        <f>$E221/4</f>
        <v>7890500000</v>
      </c>
      <c r="Z228" s="20">
        <f>$D221/4</f>
        <v>6893250000</v>
      </c>
      <c r="AA228" s="20">
        <f>$D221/4</f>
        <v>6893250000</v>
      </c>
      <c r="AB228" s="20">
        <f>$D221/4</f>
        <v>6893250000</v>
      </c>
      <c r="AC228" s="20">
        <f>$D221/4</f>
        <v>6893250000</v>
      </c>
      <c r="AE228" s="21">
        <f t="shared" si="155"/>
        <v>9669400000</v>
      </c>
      <c r="AF228" s="21">
        <f t="shared" si="156"/>
        <v>113173675000</v>
      </c>
      <c r="AG228" s="21">
        <f t="shared" si="153"/>
        <v>3446600000</v>
      </c>
    </row>
    <row r="229" spans="2:33" x14ac:dyDescent="0.2">
      <c r="B229" t="s">
        <v>386</v>
      </c>
      <c r="C229" s="5" t="s">
        <v>96</v>
      </c>
      <c r="D229" s="22">
        <f>$D221</f>
        <v>27573000000</v>
      </c>
      <c r="E229" s="22">
        <f>$E221</f>
        <v>31562000000</v>
      </c>
      <c r="F229" s="22">
        <f>$F221</f>
        <v>39500000000</v>
      </c>
      <c r="G229" s="23">
        <f t="shared" si="157"/>
        <v>20</v>
      </c>
      <c r="H229" s="4">
        <v>13556000000</v>
      </c>
      <c r="J229" s="20">
        <f t="shared" si="152"/>
        <v>13556000000</v>
      </c>
      <c r="K229" s="20">
        <f t="shared" si="154"/>
        <v>13116000000</v>
      </c>
      <c r="L229" s="20">
        <f t="shared" si="158"/>
        <v>12447000000</v>
      </c>
      <c r="M229" s="20">
        <f t="shared" si="159"/>
        <v>11860000000</v>
      </c>
      <c r="N229" s="20">
        <f t="shared" si="160"/>
        <v>11903000000</v>
      </c>
      <c r="O229" s="20">
        <f t="shared" si="161"/>
        <v>12113000000</v>
      </c>
      <c r="P229" s="20">
        <f t="shared" si="162"/>
        <v>11258000000</v>
      </c>
      <c r="Q229" s="20">
        <f>H222</f>
        <v>10588000000</v>
      </c>
      <c r="R229" s="20">
        <f>H221</f>
        <v>11468000000</v>
      </c>
      <c r="S229" s="20">
        <f>$F221/4</f>
        <v>9875000000</v>
      </c>
      <c r="T229" s="20">
        <f>$F221/4</f>
        <v>9875000000</v>
      </c>
      <c r="U229" s="20">
        <f>$F221/4</f>
        <v>9875000000</v>
      </c>
      <c r="V229" s="20">
        <f>$F221/4</f>
        <v>9875000000</v>
      </c>
      <c r="W229" s="20">
        <f>$E221/4</f>
        <v>7890500000</v>
      </c>
      <c r="X229" s="20">
        <f>$E221/4</f>
        <v>7890500000</v>
      </c>
      <c r="Y229" s="20">
        <f>$E221/4</f>
        <v>7890500000</v>
      </c>
      <c r="Z229" s="20">
        <f>$E221/4</f>
        <v>7890500000</v>
      </c>
      <c r="AA229" s="20">
        <f>$D221/4</f>
        <v>6893250000</v>
      </c>
      <c r="AB229" s="20">
        <f>$D221/4</f>
        <v>6893250000</v>
      </c>
      <c r="AC229" s="20">
        <f>$D221/4</f>
        <v>6893250000</v>
      </c>
      <c r="AE229" s="21">
        <f t="shared" si="155"/>
        <v>10002537500</v>
      </c>
      <c r="AF229" s="21">
        <f t="shared" si="156"/>
        <v>117060275000</v>
      </c>
      <c r="AG229" s="21">
        <f t="shared" si="153"/>
        <v>3553462500</v>
      </c>
    </row>
    <row r="230" spans="2:33" x14ac:dyDescent="0.2">
      <c r="B230" t="s">
        <v>386</v>
      </c>
      <c r="C230" s="5" t="s">
        <v>95</v>
      </c>
      <c r="D230" s="22">
        <f>$D221</f>
        <v>27573000000</v>
      </c>
      <c r="E230" s="22">
        <f>$E221</f>
        <v>31562000000</v>
      </c>
      <c r="F230" s="22">
        <f>$F221</f>
        <v>39500000000</v>
      </c>
      <c r="G230" s="23">
        <f t="shared" si="157"/>
        <v>20</v>
      </c>
      <c r="H230" s="4">
        <v>13808000000</v>
      </c>
      <c r="J230" s="20">
        <f t="shared" si="152"/>
        <v>13808000000</v>
      </c>
      <c r="K230" s="20">
        <f t="shared" si="154"/>
        <v>13556000000</v>
      </c>
      <c r="L230" s="20">
        <f t="shared" si="158"/>
        <v>13116000000</v>
      </c>
      <c r="M230" s="20">
        <f t="shared" si="159"/>
        <v>12447000000</v>
      </c>
      <c r="N230" s="20">
        <f t="shared" si="160"/>
        <v>11860000000</v>
      </c>
      <c r="O230" s="20">
        <f t="shared" si="161"/>
        <v>11903000000</v>
      </c>
      <c r="P230" s="20">
        <f t="shared" si="162"/>
        <v>12113000000</v>
      </c>
      <c r="Q230" s="20">
        <f>H223</f>
        <v>11258000000</v>
      </c>
      <c r="R230" s="20">
        <f>H222</f>
        <v>10588000000</v>
      </c>
      <c r="S230" s="20">
        <f>H221</f>
        <v>11468000000</v>
      </c>
      <c r="T230" s="20">
        <f>$F221/4</f>
        <v>9875000000</v>
      </c>
      <c r="U230" s="20">
        <f>$F221/4</f>
        <v>9875000000</v>
      </c>
      <c r="V230" s="20">
        <f>$F221/4</f>
        <v>9875000000</v>
      </c>
      <c r="W230" s="20">
        <f>$F221/4</f>
        <v>9875000000</v>
      </c>
      <c r="X230" s="20">
        <f>$E221/4</f>
        <v>7890500000</v>
      </c>
      <c r="Y230" s="20">
        <f>$E221/4</f>
        <v>7890500000</v>
      </c>
      <c r="Z230" s="20">
        <f>$E221/4</f>
        <v>7890500000</v>
      </c>
      <c r="AA230" s="20">
        <f>$E221/4</f>
        <v>7890500000</v>
      </c>
      <c r="AB230" s="20">
        <f>$D221/4</f>
        <v>6893250000</v>
      </c>
      <c r="AC230" s="20">
        <f>$D221/4</f>
        <v>6893250000</v>
      </c>
      <c r="AE230" s="21">
        <f t="shared" si="155"/>
        <v>10348275000</v>
      </c>
      <c r="AF230" s="21">
        <f t="shared" si="156"/>
        <v>120865737500</v>
      </c>
      <c r="AG230" s="21">
        <f t="shared" si="153"/>
        <v>3459725000</v>
      </c>
    </row>
    <row r="231" spans="2:33" x14ac:dyDescent="0.2">
      <c r="B231" t="s">
        <v>386</v>
      </c>
      <c r="C231" s="5" t="s">
        <v>94</v>
      </c>
      <c r="D231" s="22">
        <f>$D221</f>
        <v>27573000000</v>
      </c>
      <c r="E231" s="22">
        <f>$E221</f>
        <v>31562000000</v>
      </c>
      <c r="F231" s="22">
        <f>$F221</f>
        <v>39500000000</v>
      </c>
      <c r="G231" s="23">
        <f t="shared" si="157"/>
        <v>20</v>
      </c>
      <c r="H231" s="4">
        <v>15151000000</v>
      </c>
      <c r="J231" s="20">
        <f t="shared" si="152"/>
        <v>15151000000</v>
      </c>
      <c r="K231" s="20">
        <f t="shared" si="154"/>
        <v>13808000000</v>
      </c>
      <c r="L231" s="20">
        <f t="shared" si="158"/>
        <v>13556000000</v>
      </c>
      <c r="M231" s="20">
        <f t="shared" si="159"/>
        <v>13116000000</v>
      </c>
      <c r="N231" s="20">
        <f t="shared" si="160"/>
        <v>12447000000</v>
      </c>
      <c r="O231" s="20">
        <f t="shared" si="161"/>
        <v>11860000000</v>
      </c>
      <c r="P231" s="20">
        <f t="shared" si="162"/>
        <v>11903000000</v>
      </c>
      <c r="Q231" s="20">
        <f>H224</f>
        <v>12113000000</v>
      </c>
      <c r="R231" s="20">
        <f>H223</f>
        <v>11258000000</v>
      </c>
      <c r="S231" s="20">
        <f>H222</f>
        <v>10588000000</v>
      </c>
      <c r="T231" s="20">
        <f>H221</f>
        <v>11468000000</v>
      </c>
      <c r="U231" s="20">
        <f>$F221/4</f>
        <v>9875000000</v>
      </c>
      <c r="V231" s="20">
        <f>$F221/4</f>
        <v>9875000000</v>
      </c>
      <c r="W231" s="20">
        <f>$F221/4</f>
        <v>9875000000</v>
      </c>
      <c r="X231" s="20">
        <f>$F221/4</f>
        <v>9875000000</v>
      </c>
      <c r="Y231" s="20">
        <f>$E221/4</f>
        <v>7890500000</v>
      </c>
      <c r="Z231" s="20">
        <f>$E221/4</f>
        <v>7890500000</v>
      </c>
      <c r="AA231" s="20">
        <f>$E221/4</f>
        <v>7890500000</v>
      </c>
      <c r="AB231" s="20">
        <f>$E221/4</f>
        <v>7890500000</v>
      </c>
      <c r="AC231" s="20">
        <f>$D221/4</f>
        <v>6893250000</v>
      </c>
      <c r="AE231" s="21">
        <f t="shared" si="155"/>
        <v>10761162500</v>
      </c>
      <c r="AF231" s="21">
        <f t="shared" si="156"/>
        <v>125668462500</v>
      </c>
      <c r="AG231" s="21">
        <f t="shared" si="153"/>
        <v>4389837500</v>
      </c>
    </row>
    <row r="232" spans="2:33" x14ac:dyDescent="0.2">
      <c r="B232" t="s">
        <v>386</v>
      </c>
      <c r="C232" s="5" t="s">
        <v>93</v>
      </c>
      <c r="D232" s="22">
        <f>$D221</f>
        <v>27573000000</v>
      </c>
      <c r="E232" s="22">
        <f>$E221</f>
        <v>31562000000</v>
      </c>
      <c r="F232" s="22">
        <f>$F221</f>
        <v>39500000000</v>
      </c>
      <c r="G232" s="23">
        <f t="shared" si="157"/>
        <v>20</v>
      </c>
      <c r="H232" s="4">
        <v>18572000000</v>
      </c>
      <c r="J232" s="20">
        <f t="shared" si="152"/>
        <v>18572000000</v>
      </c>
      <c r="K232" s="20">
        <f t="shared" si="154"/>
        <v>15151000000</v>
      </c>
      <c r="L232" s="20">
        <f t="shared" si="158"/>
        <v>13808000000</v>
      </c>
      <c r="M232" s="20">
        <f t="shared" si="159"/>
        <v>13556000000</v>
      </c>
      <c r="N232" s="20">
        <f t="shared" si="160"/>
        <v>13116000000</v>
      </c>
      <c r="O232" s="20">
        <f t="shared" si="161"/>
        <v>12447000000</v>
      </c>
      <c r="P232" s="20">
        <f t="shared" si="162"/>
        <v>11860000000</v>
      </c>
      <c r="Q232" s="20">
        <f>H225</f>
        <v>11903000000</v>
      </c>
      <c r="R232" s="20">
        <f>H224</f>
        <v>12113000000</v>
      </c>
      <c r="S232" s="20">
        <f>H223</f>
        <v>11258000000</v>
      </c>
      <c r="T232" s="20">
        <f>H222</f>
        <v>10588000000</v>
      </c>
      <c r="U232" s="20">
        <f>H221</f>
        <v>11468000000</v>
      </c>
      <c r="V232" s="20">
        <f>$F221/4</f>
        <v>9875000000</v>
      </c>
      <c r="W232" s="20">
        <f>$F221/4</f>
        <v>9875000000</v>
      </c>
      <c r="X232" s="20">
        <f>$F221/4</f>
        <v>9875000000</v>
      </c>
      <c r="Y232" s="20">
        <f>$F221/4</f>
        <v>9875000000</v>
      </c>
      <c r="Z232" s="20">
        <f>$E221/4</f>
        <v>7890500000</v>
      </c>
      <c r="AA232" s="20">
        <f>$E221/4</f>
        <v>7890500000</v>
      </c>
      <c r="AB232" s="20">
        <f>$E221/4</f>
        <v>7890500000</v>
      </c>
      <c r="AC232" s="20">
        <f>$E221/4</f>
        <v>7890500000</v>
      </c>
      <c r="AE232" s="21">
        <f t="shared" si="155"/>
        <v>11345100000</v>
      </c>
      <c r="AF232" s="21">
        <f t="shared" si="156"/>
        <v>133479300000</v>
      </c>
      <c r="AG232" s="21">
        <f t="shared" si="153"/>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2026-04-11T16:59:54Z</dcterms:modified>
</cp:coreProperties>
</file>