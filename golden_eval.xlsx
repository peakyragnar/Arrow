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17190E1A-C705-0648-9BC0-406F7CBD4327}" xr6:coauthVersionLast="47" xr6:coauthVersionMax="47" xr10:uidLastSave="{00000000-0000-0000-0000-000000000000}"/>
  <bookViews>
    <workbookView xWindow="60" yWindow="600" windowWidth="37280" windowHeight="190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I48" i="2" l="1"/>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S37" i="2"/>
  <c r="T37" i="2" s="1"/>
  <c r="U37" i="2" s="1"/>
  <c r="V37" i="2" s="1"/>
  <c r="W37" i="2" s="1"/>
  <c r="X37" i="2" s="1"/>
  <c r="Y37" i="2" s="1"/>
  <c r="Z37" i="2" s="1"/>
  <c r="AA37" i="2" s="1"/>
  <c r="AB37" i="2" s="1"/>
  <c r="AC37" i="2" s="1"/>
  <c r="R37" i="2"/>
  <c r="I37" i="2"/>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52" i="2"/>
  <c r="AC152" i="2" s="1"/>
  <c r="G152" i="2"/>
  <c r="F152" i="2"/>
  <c r="E152" i="2"/>
  <c r="D152" i="2"/>
  <c r="I151" i="2"/>
  <c r="AB151" i="2" s="1"/>
  <c r="AC151" i="2" s="1"/>
  <c r="G151" i="2"/>
  <c r="F151" i="2"/>
  <c r="E151" i="2"/>
  <c r="D151" i="2"/>
  <c r="I150" i="2"/>
  <c r="AA150" i="2" s="1"/>
  <c r="AB150" i="2" s="1"/>
  <c r="AC150" i="2" s="1"/>
  <c r="G150" i="2"/>
  <c r="F150" i="2"/>
  <c r="E150" i="2"/>
  <c r="D150" i="2"/>
  <c r="I149" i="2"/>
  <c r="Z149" i="2" s="1"/>
  <c r="AA149" i="2" s="1"/>
  <c r="AB149" i="2" s="1"/>
  <c r="AC149" i="2" s="1"/>
  <c r="G149" i="2"/>
  <c r="F149" i="2"/>
  <c r="E149" i="2"/>
  <c r="D149" i="2"/>
  <c r="I148" i="2"/>
  <c r="Y148" i="2" s="1"/>
  <c r="Z148" i="2" s="1"/>
  <c r="AA148" i="2" s="1"/>
  <c r="AB148" i="2" s="1"/>
  <c r="AC148" i="2" s="1"/>
  <c r="G148" i="2"/>
  <c r="F148" i="2"/>
  <c r="E148" i="2"/>
  <c r="D148" i="2"/>
  <c r="I147" i="2"/>
  <c r="X147" i="2" s="1"/>
  <c r="Y147" i="2" s="1"/>
  <c r="Z147" i="2" s="1"/>
  <c r="AA147" i="2" s="1"/>
  <c r="AB147" i="2" s="1"/>
  <c r="AC147" i="2" s="1"/>
  <c r="G147" i="2"/>
  <c r="F147" i="2"/>
  <c r="E147" i="2"/>
  <c r="D147" i="2"/>
  <c r="I146" i="2"/>
  <c r="W146" i="2" s="1"/>
  <c r="X146" i="2" s="1"/>
  <c r="Y146" i="2" s="1"/>
  <c r="Z146" i="2" s="1"/>
  <c r="AA146" i="2" s="1"/>
  <c r="AB146" i="2" s="1"/>
  <c r="AC146" i="2" s="1"/>
  <c r="G146" i="2"/>
  <c r="F146" i="2"/>
  <c r="E146" i="2"/>
  <c r="D146" i="2"/>
  <c r="I145" i="2"/>
  <c r="V145" i="2" s="1"/>
  <c r="W145" i="2" s="1"/>
  <c r="X145" i="2" s="1"/>
  <c r="Y145" i="2" s="1"/>
  <c r="Z145" i="2" s="1"/>
  <c r="AA145" i="2" s="1"/>
  <c r="AB145" i="2" s="1"/>
  <c r="AC145" i="2" s="1"/>
  <c r="G145" i="2"/>
  <c r="F145" i="2"/>
  <c r="E145" i="2"/>
  <c r="D145" i="2"/>
  <c r="I144" i="2"/>
  <c r="U144" i="2" s="1"/>
  <c r="V144" i="2" s="1"/>
  <c r="W144" i="2" s="1"/>
  <c r="X144" i="2" s="1"/>
  <c r="Y144" i="2" s="1"/>
  <c r="Z144" i="2" s="1"/>
  <c r="AA144" i="2" s="1"/>
  <c r="AB144" i="2" s="1"/>
  <c r="AC144" i="2" s="1"/>
  <c r="G144" i="2"/>
  <c r="F144" i="2"/>
  <c r="E144" i="2"/>
  <c r="D144" i="2"/>
  <c r="I143" i="2"/>
  <c r="T143" i="2" s="1"/>
  <c r="U143" i="2" s="1"/>
  <c r="V143" i="2" s="1"/>
  <c r="W143" i="2" s="1"/>
  <c r="X143" i="2" s="1"/>
  <c r="Y143" i="2" s="1"/>
  <c r="Z143" i="2" s="1"/>
  <c r="AA143" i="2" s="1"/>
  <c r="AB143" i="2" s="1"/>
  <c r="AC143" i="2" s="1"/>
  <c r="G143" i="2"/>
  <c r="F143" i="2"/>
  <c r="E143" i="2"/>
  <c r="D143" i="2"/>
  <c r="I142" i="2"/>
  <c r="S142" i="2" s="1"/>
  <c r="T142" i="2" s="1"/>
  <c r="U142" i="2" s="1"/>
  <c r="V142" i="2" s="1"/>
  <c r="W142" i="2" s="1"/>
  <c r="X142" i="2" s="1"/>
  <c r="Y142" i="2" s="1"/>
  <c r="Z142" i="2" s="1"/>
  <c r="AA142" i="2" s="1"/>
  <c r="AB142" i="2" s="1"/>
  <c r="AC142" i="2" s="1"/>
  <c r="G142" i="2"/>
  <c r="F142" i="2"/>
  <c r="E142" i="2"/>
  <c r="D142" i="2"/>
  <c r="I141" i="2"/>
  <c r="R141" i="2" s="1"/>
  <c r="S141" i="2" s="1"/>
  <c r="T141" i="2" s="1"/>
  <c r="U141" i="2" s="1"/>
  <c r="V141" i="2" s="1"/>
  <c r="W141" i="2" s="1"/>
  <c r="X141" i="2" s="1"/>
  <c r="Y141" i="2" s="1"/>
  <c r="Z141" i="2" s="1"/>
  <c r="AA141" i="2" s="1"/>
  <c r="AB141" i="2" s="1"/>
  <c r="AC141" i="2" s="1"/>
  <c r="I140" i="2"/>
  <c r="Q140" i="2" s="1"/>
  <c r="R140" i="2" s="1"/>
  <c r="S140" i="2" s="1"/>
  <c r="T140" i="2" s="1"/>
  <c r="U140" i="2" s="1"/>
  <c r="V140" i="2" s="1"/>
  <c r="W140" i="2" s="1"/>
  <c r="X140" i="2" s="1"/>
  <c r="Y140" i="2" s="1"/>
  <c r="Z140" i="2" s="1"/>
  <c r="AA140" i="2" s="1"/>
  <c r="AB140" i="2" s="1"/>
  <c r="AC140" i="2" s="1"/>
  <c r="G140" i="2"/>
  <c r="I139" i="2"/>
  <c r="P139" i="2" s="1"/>
  <c r="Q139" i="2" s="1"/>
  <c r="R139" i="2" s="1"/>
  <c r="S139" i="2" s="1"/>
  <c r="T139" i="2" s="1"/>
  <c r="U139" i="2" s="1"/>
  <c r="V139" i="2" s="1"/>
  <c r="W139" i="2" s="1"/>
  <c r="X139" i="2" s="1"/>
  <c r="Y139" i="2" s="1"/>
  <c r="Z139" i="2" s="1"/>
  <c r="AA139" i="2" s="1"/>
  <c r="AB139" i="2" s="1"/>
  <c r="AC139" i="2" s="1"/>
  <c r="G139" i="2"/>
  <c r="I138" i="2"/>
  <c r="O138" i="2" s="1"/>
  <c r="P138" i="2" s="1"/>
  <c r="Q138" i="2" s="1"/>
  <c r="R138" i="2" s="1"/>
  <c r="S138" i="2" s="1"/>
  <c r="T138" i="2" s="1"/>
  <c r="U138" i="2" s="1"/>
  <c r="V138" i="2" s="1"/>
  <c r="W138" i="2" s="1"/>
  <c r="X138" i="2" s="1"/>
  <c r="Y138" i="2" s="1"/>
  <c r="Z138" i="2" s="1"/>
  <c r="AA138" i="2" s="1"/>
  <c r="AB138" i="2" s="1"/>
  <c r="AC138" i="2" s="1"/>
  <c r="G138" i="2"/>
  <c r="I137" i="2"/>
  <c r="G137" i="2"/>
  <c r="I136" i="2"/>
  <c r="M136" i="2" s="1"/>
  <c r="N136" i="2" s="1"/>
  <c r="O136" i="2" s="1"/>
  <c r="P136" i="2" s="1"/>
  <c r="Q136" i="2" s="1"/>
  <c r="R136" i="2" s="1"/>
  <c r="S136" i="2" s="1"/>
  <c r="T136" i="2" s="1"/>
  <c r="U136" i="2" s="1"/>
  <c r="V136" i="2" s="1"/>
  <c r="W136" i="2" s="1"/>
  <c r="X136" i="2" s="1"/>
  <c r="Y136" i="2" s="1"/>
  <c r="Z136" i="2" s="1"/>
  <c r="AA136" i="2" s="1"/>
  <c r="AB136" i="2" s="1"/>
  <c r="AC136" i="2" s="1"/>
  <c r="G136" i="2"/>
  <c r="I135" i="2"/>
  <c r="L135" i="2" s="1"/>
  <c r="M135" i="2" s="1"/>
  <c r="N135" i="2" s="1"/>
  <c r="O135" i="2" s="1"/>
  <c r="P135" i="2" s="1"/>
  <c r="Q135" i="2" s="1"/>
  <c r="R135" i="2" s="1"/>
  <c r="S135" i="2" s="1"/>
  <c r="T135" i="2" s="1"/>
  <c r="U135" i="2" s="1"/>
  <c r="V135" i="2" s="1"/>
  <c r="W135" i="2" s="1"/>
  <c r="X135" i="2" s="1"/>
  <c r="Y135" i="2" s="1"/>
  <c r="Z135" i="2" s="1"/>
  <c r="AA135" i="2" s="1"/>
  <c r="AB135" i="2" s="1"/>
  <c r="AC135" i="2" s="1"/>
  <c r="G135" i="2"/>
  <c r="I134" i="2"/>
  <c r="K134" i="2" s="1"/>
  <c r="L134" i="2" s="1"/>
  <c r="M134" i="2" s="1"/>
  <c r="N134" i="2" s="1"/>
  <c r="O134" i="2" s="1"/>
  <c r="P134" i="2" s="1"/>
  <c r="Q134" i="2" s="1"/>
  <c r="R134" i="2" s="1"/>
  <c r="S134" i="2" s="1"/>
  <c r="T134" i="2" s="1"/>
  <c r="U134" i="2" s="1"/>
  <c r="V134" i="2" s="1"/>
  <c r="W134" i="2" s="1"/>
  <c r="X134" i="2" s="1"/>
  <c r="Y134" i="2" s="1"/>
  <c r="Z134" i="2" s="1"/>
  <c r="AA134" i="2" s="1"/>
  <c r="AB134" i="2" s="1"/>
  <c r="AC134" i="2" s="1"/>
  <c r="G134" i="2"/>
  <c r="I133" i="2"/>
  <c r="AE133" i="2" s="1"/>
  <c r="AG133" i="2" s="1"/>
  <c r="G133" i="2"/>
  <c r="I211" i="2"/>
  <c r="AC211" i="2" s="1"/>
  <c r="G211" i="2"/>
  <c r="F211" i="2"/>
  <c r="E211" i="2"/>
  <c r="D211" i="2"/>
  <c r="I210" i="2"/>
  <c r="AB210" i="2" s="1"/>
  <c r="AC210" i="2" s="1"/>
  <c r="G210" i="2"/>
  <c r="F210" i="2"/>
  <c r="E210" i="2"/>
  <c r="D210" i="2"/>
  <c r="I209" i="2"/>
  <c r="AA209" i="2" s="1"/>
  <c r="AB209" i="2" s="1"/>
  <c r="AC209" i="2" s="1"/>
  <c r="G209" i="2"/>
  <c r="F209" i="2"/>
  <c r="E209" i="2"/>
  <c r="D209" i="2"/>
  <c r="I208" i="2"/>
  <c r="Z208" i="2" s="1"/>
  <c r="AA208" i="2" s="1"/>
  <c r="AB208" i="2" s="1"/>
  <c r="AC208" i="2" s="1"/>
  <c r="G208" i="2"/>
  <c r="F208" i="2"/>
  <c r="E208" i="2"/>
  <c r="D208" i="2"/>
  <c r="I207" i="2"/>
  <c r="Y207" i="2" s="1"/>
  <c r="Z207" i="2" s="1"/>
  <c r="AA207" i="2" s="1"/>
  <c r="AB207" i="2" s="1"/>
  <c r="AC207" i="2" s="1"/>
  <c r="G207" i="2"/>
  <c r="F207" i="2"/>
  <c r="E207" i="2"/>
  <c r="D207" i="2"/>
  <c r="I206" i="2"/>
  <c r="X206" i="2" s="1"/>
  <c r="Y206" i="2" s="1"/>
  <c r="Z206" i="2" s="1"/>
  <c r="AA206" i="2" s="1"/>
  <c r="AB206" i="2" s="1"/>
  <c r="AC206" i="2" s="1"/>
  <c r="G206" i="2"/>
  <c r="F206" i="2"/>
  <c r="E206" i="2"/>
  <c r="D206" i="2"/>
  <c r="I205" i="2"/>
  <c r="W205" i="2" s="1"/>
  <c r="X205" i="2" s="1"/>
  <c r="Y205" i="2" s="1"/>
  <c r="Z205" i="2" s="1"/>
  <c r="AA205" i="2" s="1"/>
  <c r="AB205" i="2" s="1"/>
  <c r="AC205" i="2" s="1"/>
  <c r="G205" i="2"/>
  <c r="F205" i="2"/>
  <c r="E205" i="2"/>
  <c r="D205" i="2"/>
  <c r="I204" i="2"/>
  <c r="V204" i="2" s="1"/>
  <c r="W204" i="2" s="1"/>
  <c r="X204" i="2" s="1"/>
  <c r="Y204" i="2" s="1"/>
  <c r="Z204" i="2" s="1"/>
  <c r="AA204" i="2" s="1"/>
  <c r="AB204" i="2" s="1"/>
  <c r="AC204" i="2" s="1"/>
  <c r="G204" i="2"/>
  <c r="F204" i="2"/>
  <c r="E204" i="2"/>
  <c r="D204" i="2"/>
  <c r="I203" i="2"/>
  <c r="U203" i="2" s="1"/>
  <c r="V203" i="2" s="1"/>
  <c r="W203" i="2" s="1"/>
  <c r="X203" i="2" s="1"/>
  <c r="Y203" i="2" s="1"/>
  <c r="Z203" i="2" s="1"/>
  <c r="AA203" i="2" s="1"/>
  <c r="AB203" i="2" s="1"/>
  <c r="AC203" i="2" s="1"/>
  <c r="G203" i="2"/>
  <c r="F203" i="2"/>
  <c r="E203" i="2"/>
  <c r="D203" i="2"/>
  <c r="I202" i="2"/>
  <c r="T202" i="2" s="1"/>
  <c r="U202" i="2" s="1"/>
  <c r="V202" i="2" s="1"/>
  <c r="W202" i="2" s="1"/>
  <c r="X202" i="2" s="1"/>
  <c r="Y202" i="2" s="1"/>
  <c r="Z202" i="2" s="1"/>
  <c r="AA202" i="2" s="1"/>
  <c r="AB202" i="2" s="1"/>
  <c r="AC202" i="2" s="1"/>
  <c r="G202" i="2"/>
  <c r="F202" i="2"/>
  <c r="E202" i="2"/>
  <c r="D202" i="2"/>
  <c r="I201" i="2"/>
  <c r="S201" i="2" s="1"/>
  <c r="T201" i="2" s="1"/>
  <c r="U201" i="2" s="1"/>
  <c r="V201" i="2" s="1"/>
  <c r="W201" i="2" s="1"/>
  <c r="X201" i="2" s="1"/>
  <c r="Y201" i="2" s="1"/>
  <c r="Z201" i="2" s="1"/>
  <c r="AA201" i="2" s="1"/>
  <c r="AB201" i="2" s="1"/>
  <c r="AC201" i="2" s="1"/>
  <c r="G201" i="2"/>
  <c r="F201" i="2"/>
  <c r="E201" i="2"/>
  <c r="D201" i="2"/>
  <c r="I200" i="2"/>
  <c r="R200" i="2" s="1"/>
  <c r="S200" i="2" s="1"/>
  <c r="T200" i="2" s="1"/>
  <c r="U200" i="2" s="1"/>
  <c r="V200" i="2" s="1"/>
  <c r="W200" i="2" s="1"/>
  <c r="X200" i="2" s="1"/>
  <c r="Y200" i="2" s="1"/>
  <c r="Z200" i="2" s="1"/>
  <c r="AA200" i="2" s="1"/>
  <c r="AB200" i="2" s="1"/>
  <c r="AC200" i="2" s="1"/>
  <c r="I199" i="2"/>
  <c r="Q199" i="2" s="1"/>
  <c r="R199" i="2" s="1"/>
  <c r="S199" i="2" s="1"/>
  <c r="T199" i="2" s="1"/>
  <c r="U199" i="2" s="1"/>
  <c r="V199" i="2" s="1"/>
  <c r="W199" i="2" s="1"/>
  <c r="X199" i="2" s="1"/>
  <c r="Y199" i="2" s="1"/>
  <c r="Z199" i="2" s="1"/>
  <c r="AA199" i="2" s="1"/>
  <c r="AB199" i="2" s="1"/>
  <c r="AC199" i="2" s="1"/>
  <c r="G199" i="2"/>
  <c r="I198" i="2"/>
  <c r="P198" i="2" s="1"/>
  <c r="Q198" i="2" s="1"/>
  <c r="R198" i="2" s="1"/>
  <c r="S198" i="2" s="1"/>
  <c r="T198" i="2" s="1"/>
  <c r="U198" i="2" s="1"/>
  <c r="V198" i="2" s="1"/>
  <c r="W198" i="2" s="1"/>
  <c r="X198" i="2" s="1"/>
  <c r="Y198" i="2" s="1"/>
  <c r="Z198" i="2" s="1"/>
  <c r="AA198" i="2" s="1"/>
  <c r="AB198" i="2" s="1"/>
  <c r="AC198" i="2" s="1"/>
  <c r="G198" i="2"/>
  <c r="I197" i="2"/>
  <c r="O197" i="2" s="1"/>
  <c r="P197" i="2" s="1"/>
  <c r="Q197" i="2" s="1"/>
  <c r="R197" i="2" s="1"/>
  <c r="S197" i="2" s="1"/>
  <c r="T197" i="2" s="1"/>
  <c r="U197" i="2" s="1"/>
  <c r="V197" i="2" s="1"/>
  <c r="W197" i="2" s="1"/>
  <c r="X197" i="2" s="1"/>
  <c r="Y197" i="2" s="1"/>
  <c r="Z197" i="2" s="1"/>
  <c r="AA197" i="2" s="1"/>
  <c r="AB197" i="2" s="1"/>
  <c r="AC197" i="2" s="1"/>
  <c r="G197" i="2"/>
  <c r="I196" i="2"/>
  <c r="N196" i="2" s="1"/>
  <c r="O196" i="2" s="1"/>
  <c r="P196" i="2" s="1"/>
  <c r="Q196" i="2" s="1"/>
  <c r="R196" i="2" s="1"/>
  <c r="S196" i="2" s="1"/>
  <c r="T196" i="2" s="1"/>
  <c r="U196" i="2" s="1"/>
  <c r="V196" i="2" s="1"/>
  <c r="W196" i="2" s="1"/>
  <c r="X196" i="2" s="1"/>
  <c r="Y196" i="2" s="1"/>
  <c r="Z196" i="2" s="1"/>
  <c r="AA196" i="2" s="1"/>
  <c r="AB196" i="2" s="1"/>
  <c r="AC196" i="2" s="1"/>
  <c r="G196" i="2"/>
  <c r="I195" i="2"/>
  <c r="M195" i="2" s="1"/>
  <c r="N195" i="2" s="1"/>
  <c r="O195" i="2" s="1"/>
  <c r="P195" i="2" s="1"/>
  <c r="Q195" i="2" s="1"/>
  <c r="R195" i="2" s="1"/>
  <c r="S195" i="2" s="1"/>
  <c r="T195" i="2" s="1"/>
  <c r="U195" i="2" s="1"/>
  <c r="V195" i="2" s="1"/>
  <c r="W195" i="2" s="1"/>
  <c r="X195" i="2" s="1"/>
  <c r="Y195" i="2" s="1"/>
  <c r="Z195" i="2" s="1"/>
  <c r="AA195" i="2" s="1"/>
  <c r="AB195" i="2" s="1"/>
  <c r="AC195" i="2" s="1"/>
  <c r="G195" i="2"/>
  <c r="I194" i="2"/>
  <c r="L194" i="2" s="1"/>
  <c r="M194" i="2" s="1"/>
  <c r="N194" i="2" s="1"/>
  <c r="O194" i="2" s="1"/>
  <c r="P194" i="2" s="1"/>
  <c r="Q194" i="2" s="1"/>
  <c r="R194" i="2" s="1"/>
  <c r="S194" i="2" s="1"/>
  <c r="T194" i="2" s="1"/>
  <c r="U194" i="2" s="1"/>
  <c r="V194" i="2" s="1"/>
  <c r="W194" i="2" s="1"/>
  <c r="X194" i="2" s="1"/>
  <c r="Y194" i="2" s="1"/>
  <c r="Z194" i="2" s="1"/>
  <c r="AA194" i="2" s="1"/>
  <c r="AB194" i="2" s="1"/>
  <c r="AC194" i="2" s="1"/>
  <c r="G194" i="2"/>
  <c r="I193" i="2"/>
  <c r="K193" i="2" s="1"/>
  <c r="L193" i="2" s="1"/>
  <c r="M193" i="2" s="1"/>
  <c r="N193" i="2" s="1"/>
  <c r="O193" i="2" s="1"/>
  <c r="P193" i="2" s="1"/>
  <c r="Q193" i="2" s="1"/>
  <c r="R193" i="2" s="1"/>
  <c r="S193" i="2" s="1"/>
  <c r="T193" i="2" s="1"/>
  <c r="U193" i="2" s="1"/>
  <c r="V193" i="2" s="1"/>
  <c r="W193" i="2" s="1"/>
  <c r="X193" i="2" s="1"/>
  <c r="Y193" i="2" s="1"/>
  <c r="Z193" i="2" s="1"/>
  <c r="AA193" i="2" s="1"/>
  <c r="AB193" i="2" s="1"/>
  <c r="AC193" i="2" s="1"/>
  <c r="G193" i="2"/>
  <c r="I192" i="2"/>
  <c r="G192" i="2"/>
  <c r="I111" i="2"/>
  <c r="AC111" i="2" s="1"/>
  <c r="G111" i="2"/>
  <c r="F111" i="2"/>
  <c r="E111" i="2"/>
  <c r="D111" i="2"/>
  <c r="I110" i="2"/>
  <c r="AB110" i="2" s="1"/>
  <c r="AC110" i="2" s="1"/>
  <c r="G110" i="2"/>
  <c r="F110" i="2"/>
  <c r="E110" i="2"/>
  <c r="D110" i="2"/>
  <c r="I109" i="2"/>
  <c r="AA109" i="2" s="1"/>
  <c r="AB109" i="2" s="1"/>
  <c r="AC109" i="2" s="1"/>
  <c r="G109" i="2"/>
  <c r="F109" i="2"/>
  <c r="E109" i="2"/>
  <c r="D109" i="2"/>
  <c r="I108" i="2"/>
  <c r="Z108" i="2" s="1"/>
  <c r="AA108" i="2" s="1"/>
  <c r="AB108" i="2" s="1"/>
  <c r="AC108" i="2" s="1"/>
  <c r="G108" i="2"/>
  <c r="F108" i="2"/>
  <c r="E108" i="2"/>
  <c r="D108" i="2"/>
  <c r="I107" i="2"/>
  <c r="Y107" i="2" s="1"/>
  <c r="Z107" i="2" s="1"/>
  <c r="AA107" i="2" s="1"/>
  <c r="AB107" i="2" s="1"/>
  <c r="AC107" i="2" s="1"/>
  <c r="G107" i="2"/>
  <c r="F107" i="2"/>
  <c r="E107" i="2"/>
  <c r="D107" i="2"/>
  <c r="I106" i="2"/>
  <c r="X106" i="2" s="1"/>
  <c r="Y106" i="2" s="1"/>
  <c r="Z106" i="2" s="1"/>
  <c r="AA106" i="2" s="1"/>
  <c r="AB106" i="2" s="1"/>
  <c r="AC106" i="2" s="1"/>
  <c r="G106" i="2"/>
  <c r="F106" i="2"/>
  <c r="E106" i="2"/>
  <c r="D106" i="2"/>
  <c r="I105" i="2"/>
  <c r="W105" i="2" s="1"/>
  <c r="X105" i="2" s="1"/>
  <c r="Y105" i="2" s="1"/>
  <c r="Z105" i="2" s="1"/>
  <c r="AA105" i="2" s="1"/>
  <c r="AB105" i="2" s="1"/>
  <c r="AC105" i="2" s="1"/>
  <c r="G105" i="2"/>
  <c r="F105" i="2"/>
  <c r="E105" i="2"/>
  <c r="D105" i="2"/>
  <c r="I104" i="2"/>
  <c r="V104" i="2" s="1"/>
  <c r="W104" i="2" s="1"/>
  <c r="X104" i="2" s="1"/>
  <c r="Y104" i="2" s="1"/>
  <c r="Z104" i="2" s="1"/>
  <c r="AA104" i="2" s="1"/>
  <c r="AB104" i="2" s="1"/>
  <c r="AC104" i="2" s="1"/>
  <c r="G104" i="2"/>
  <c r="F104" i="2"/>
  <c r="E104" i="2"/>
  <c r="D104" i="2"/>
  <c r="I103" i="2"/>
  <c r="U103" i="2" s="1"/>
  <c r="V103" i="2" s="1"/>
  <c r="W103" i="2" s="1"/>
  <c r="X103" i="2" s="1"/>
  <c r="Y103" i="2" s="1"/>
  <c r="Z103" i="2" s="1"/>
  <c r="AA103" i="2" s="1"/>
  <c r="AB103" i="2" s="1"/>
  <c r="AC103" i="2" s="1"/>
  <c r="G103" i="2"/>
  <c r="F103" i="2"/>
  <c r="E103" i="2"/>
  <c r="D103" i="2"/>
  <c r="I102" i="2"/>
  <c r="T102" i="2" s="1"/>
  <c r="U102" i="2" s="1"/>
  <c r="V102" i="2" s="1"/>
  <c r="W102" i="2" s="1"/>
  <c r="X102" i="2" s="1"/>
  <c r="Y102" i="2" s="1"/>
  <c r="Z102" i="2" s="1"/>
  <c r="AA102" i="2" s="1"/>
  <c r="AB102" i="2" s="1"/>
  <c r="AC102" i="2" s="1"/>
  <c r="G102" i="2"/>
  <c r="F102" i="2"/>
  <c r="E102" i="2"/>
  <c r="D102" i="2"/>
  <c r="I101" i="2"/>
  <c r="S101" i="2" s="1"/>
  <c r="T101" i="2" s="1"/>
  <c r="U101" i="2" s="1"/>
  <c r="V101" i="2" s="1"/>
  <c r="W101" i="2" s="1"/>
  <c r="X101" i="2" s="1"/>
  <c r="Y101" i="2" s="1"/>
  <c r="Z101" i="2" s="1"/>
  <c r="AA101" i="2" s="1"/>
  <c r="AB101" i="2" s="1"/>
  <c r="AC101" i="2" s="1"/>
  <c r="G101" i="2"/>
  <c r="F101" i="2"/>
  <c r="E101" i="2"/>
  <c r="D101" i="2"/>
  <c r="I100" i="2"/>
  <c r="R100" i="2" s="1"/>
  <c r="S100" i="2" s="1"/>
  <c r="T100" i="2" s="1"/>
  <c r="U100" i="2" s="1"/>
  <c r="V100" i="2" s="1"/>
  <c r="W100" i="2" s="1"/>
  <c r="X100" i="2" s="1"/>
  <c r="Y100" i="2" s="1"/>
  <c r="Z100" i="2" s="1"/>
  <c r="AA100" i="2" s="1"/>
  <c r="AB100" i="2" s="1"/>
  <c r="AC100" i="2" s="1"/>
  <c r="I99" i="2"/>
  <c r="Q99" i="2" s="1"/>
  <c r="R99" i="2" s="1"/>
  <c r="S99" i="2" s="1"/>
  <c r="T99" i="2" s="1"/>
  <c r="U99" i="2" s="1"/>
  <c r="V99" i="2" s="1"/>
  <c r="W99" i="2" s="1"/>
  <c r="X99" i="2" s="1"/>
  <c r="Y99" i="2" s="1"/>
  <c r="Z99" i="2" s="1"/>
  <c r="AA99" i="2" s="1"/>
  <c r="AB99" i="2" s="1"/>
  <c r="AC99" i="2" s="1"/>
  <c r="G99" i="2"/>
  <c r="I98" i="2"/>
  <c r="P98" i="2" s="1"/>
  <c r="Q98" i="2" s="1"/>
  <c r="R98" i="2" s="1"/>
  <c r="S98" i="2" s="1"/>
  <c r="T98" i="2" s="1"/>
  <c r="U98" i="2" s="1"/>
  <c r="V98" i="2" s="1"/>
  <c r="W98" i="2" s="1"/>
  <c r="X98" i="2" s="1"/>
  <c r="Y98" i="2" s="1"/>
  <c r="Z98" i="2" s="1"/>
  <c r="AA98" i="2" s="1"/>
  <c r="AB98" i="2" s="1"/>
  <c r="AC98" i="2" s="1"/>
  <c r="G98" i="2"/>
  <c r="I97" i="2"/>
  <c r="O97" i="2" s="1"/>
  <c r="P97" i="2" s="1"/>
  <c r="Q97" i="2" s="1"/>
  <c r="R97" i="2" s="1"/>
  <c r="S97" i="2" s="1"/>
  <c r="T97" i="2" s="1"/>
  <c r="U97" i="2" s="1"/>
  <c r="V97" i="2" s="1"/>
  <c r="W97" i="2" s="1"/>
  <c r="X97" i="2" s="1"/>
  <c r="Y97" i="2" s="1"/>
  <c r="Z97" i="2" s="1"/>
  <c r="AA97" i="2" s="1"/>
  <c r="AB97" i="2" s="1"/>
  <c r="AC97" i="2" s="1"/>
  <c r="G97" i="2"/>
  <c r="I96" i="2"/>
  <c r="N96" i="2" s="1"/>
  <c r="O96" i="2" s="1"/>
  <c r="P96" i="2" s="1"/>
  <c r="Q96" i="2" s="1"/>
  <c r="R96" i="2" s="1"/>
  <c r="S96" i="2" s="1"/>
  <c r="T96" i="2" s="1"/>
  <c r="U96" i="2" s="1"/>
  <c r="V96" i="2" s="1"/>
  <c r="W96" i="2" s="1"/>
  <c r="X96" i="2" s="1"/>
  <c r="Y96" i="2" s="1"/>
  <c r="Z96" i="2" s="1"/>
  <c r="AA96" i="2" s="1"/>
  <c r="AB96" i="2" s="1"/>
  <c r="AC96" i="2" s="1"/>
  <c r="G96" i="2"/>
  <c r="I95" i="2"/>
  <c r="M95" i="2" s="1"/>
  <c r="N95" i="2" s="1"/>
  <c r="O95" i="2" s="1"/>
  <c r="P95" i="2" s="1"/>
  <c r="Q95" i="2" s="1"/>
  <c r="R95" i="2" s="1"/>
  <c r="S95" i="2" s="1"/>
  <c r="T95" i="2" s="1"/>
  <c r="U95" i="2" s="1"/>
  <c r="V95" i="2" s="1"/>
  <c r="W95" i="2" s="1"/>
  <c r="X95" i="2" s="1"/>
  <c r="Y95" i="2" s="1"/>
  <c r="Z95" i="2" s="1"/>
  <c r="AA95" i="2" s="1"/>
  <c r="AB95" i="2" s="1"/>
  <c r="AC95" i="2" s="1"/>
  <c r="G95" i="2"/>
  <c r="I94" i="2"/>
  <c r="L94" i="2" s="1"/>
  <c r="M94" i="2" s="1"/>
  <c r="N94" i="2" s="1"/>
  <c r="O94" i="2" s="1"/>
  <c r="P94" i="2" s="1"/>
  <c r="Q94" i="2" s="1"/>
  <c r="R94" i="2" s="1"/>
  <c r="S94" i="2" s="1"/>
  <c r="T94" i="2" s="1"/>
  <c r="U94" i="2" s="1"/>
  <c r="V94" i="2" s="1"/>
  <c r="W94" i="2" s="1"/>
  <c r="X94" i="2" s="1"/>
  <c r="Y94" i="2" s="1"/>
  <c r="Z94" i="2" s="1"/>
  <c r="AA94" i="2" s="1"/>
  <c r="AB94" i="2" s="1"/>
  <c r="AC94" i="2" s="1"/>
  <c r="G94" i="2"/>
  <c r="I93" i="2"/>
  <c r="K93" i="2" s="1"/>
  <c r="L93" i="2" s="1"/>
  <c r="M93" i="2" s="1"/>
  <c r="N93" i="2" s="1"/>
  <c r="O93" i="2" s="1"/>
  <c r="P93" i="2" s="1"/>
  <c r="Q93" i="2" s="1"/>
  <c r="R93" i="2" s="1"/>
  <c r="S93" i="2" s="1"/>
  <c r="T93" i="2" s="1"/>
  <c r="U93" i="2" s="1"/>
  <c r="V93" i="2" s="1"/>
  <c r="W93" i="2" s="1"/>
  <c r="X93" i="2" s="1"/>
  <c r="Y93" i="2" s="1"/>
  <c r="Z93" i="2" s="1"/>
  <c r="AA93" i="2" s="1"/>
  <c r="AB93" i="2" s="1"/>
  <c r="AC93" i="2" s="1"/>
  <c r="G93" i="2"/>
  <c r="I92" i="2"/>
  <c r="G92"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53" i="2"/>
  <c r="G254" i="2"/>
  <c r="G255" i="2"/>
  <c r="G256" i="2"/>
  <c r="G257" i="2"/>
  <c r="G258" i="2"/>
  <c r="G259" i="2"/>
  <c r="G260" i="2"/>
  <c r="G261" i="2"/>
  <c r="G262" i="2"/>
  <c r="G252" i="2"/>
  <c r="G236" i="2"/>
  <c r="G237" i="2"/>
  <c r="G238" i="2"/>
  <c r="G239" i="2"/>
  <c r="G240" i="2"/>
  <c r="G241" i="2"/>
  <c r="G242" i="2"/>
  <c r="G243" i="2"/>
  <c r="G244" i="2"/>
  <c r="G245" i="2"/>
  <c r="G235" i="2"/>
  <c r="G219" i="2"/>
  <c r="G220" i="2"/>
  <c r="G221" i="2"/>
  <c r="G222" i="2"/>
  <c r="G223" i="2"/>
  <c r="G224" i="2"/>
  <c r="G225" i="2"/>
  <c r="G226" i="2"/>
  <c r="G227" i="2"/>
  <c r="G228" i="2"/>
  <c r="G218" i="2"/>
  <c r="G178" i="2"/>
  <c r="G179" i="2"/>
  <c r="G180" i="2"/>
  <c r="G181" i="2"/>
  <c r="G182" i="2"/>
  <c r="G183" i="2"/>
  <c r="G184" i="2"/>
  <c r="G185" i="2"/>
  <c r="G186" i="2"/>
  <c r="G187" i="2"/>
  <c r="G177" i="2"/>
  <c r="G161" i="2"/>
  <c r="G162" i="2"/>
  <c r="G163" i="2"/>
  <c r="G164" i="2"/>
  <c r="G165" i="2"/>
  <c r="G166" i="2"/>
  <c r="G167" i="2"/>
  <c r="G168" i="2"/>
  <c r="G169" i="2"/>
  <c r="G170" i="2"/>
  <c r="G160" i="2"/>
  <c r="G119" i="2"/>
  <c r="G120" i="2"/>
  <c r="G121" i="2"/>
  <c r="G122" i="2"/>
  <c r="G123" i="2"/>
  <c r="G124" i="2"/>
  <c r="G125" i="2"/>
  <c r="G126" i="2"/>
  <c r="G127" i="2"/>
  <c r="G128" i="2"/>
  <c r="G118" i="2"/>
  <c r="G61" i="2"/>
  <c r="G62" i="2"/>
  <c r="G63" i="2"/>
  <c r="G64" i="2"/>
  <c r="G65" i="2"/>
  <c r="G66" i="2"/>
  <c r="G67" i="2"/>
  <c r="G68" i="2"/>
  <c r="G69" i="2"/>
  <c r="G70" i="2"/>
  <c r="G60"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C260" i="2"/>
  <c r="AB260" i="2"/>
  <c r="AA260" i="2"/>
  <c r="Z260" i="2"/>
  <c r="Y260" i="2"/>
  <c r="X260" i="2"/>
  <c r="W260" i="2"/>
  <c r="V260" i="2"/>
  <c r="U260" i="2"/>
  <c r="T260" i="2"/>
  <c r="S260" i="2"/>
  <c r="R260" i="2"/>
  <c r="Q260" i="2"/>
  <c r="P260" i="2"/>
  <c r="O260" i="2"/>
  <c r="N260" i="2"/>
  <c r="M260" i="2"/>
  <c r="L260" i="2"/>
  <c r="K260" i="2"/>
  <c r="J260" i="2"/>
  <c r="F260" i="2"/>
  <c r="E260" i="2"/>
  <c r="D260" i="2"/>
  <c r="AC259" i="2"/>
  <c r="AB259" i="2"/>
  <c r="AA259" i="2"/>
  <c r="Z259" i="2"/>
  <c r="Y259" i="2"/>
  <c r="X259" i="2"/>
  <c r="W259" i="2"/>
  <c r="V259" i="2"/>
  <c r="U259" i="2"/>
  <c r="T259" i="2"/>
  <c r="S259" i="2"/>
  <c r="R259" i="2"/>
  <c r="Q259" i="2"/>
  <c r="P259" i="2"/>
  <c r="O259" i="2"/>
  <c r="N259" i="2"/>
  <c r="M259" i="2"/>
  <c r="L259" i="2"/>
  <c r="K259" i="2"/>
  <c r="J259" i="2"/>
  <c r="F259" i="2"/>
  <c r="E259" i="2"/>
  <c r="D259" i="2"/>
  <c r="AC258" i="2"/>
  <c r="AB258" i="2"/>
  <c r="AA258" i="2"/>
  <c r="Z258" i="2"/>
  <c r="Y258" i="2"/>
  <c r="X258" i="2"/>
  <c r="W258" i="2"/>
  <c r="V258" i="2"/>
  <c r="U258" i="2"/>
  <c r="T258" i="2"/>
  <c r="S258" i="2"/>
  <c r="R258" i="2"/>
  <c r="Q258" i="2"/>
  <c r="P258" i="2"/>
  <c r="O258" i="2"/>
  <c r="N258" i="2"/>
  <c r="M258" i="2"/>
  <c r="L258" i="2"/>
  <c r="K258" i="2"/>
  <c r="J258" i="2"/>
  <c r="F258" i="2"/>
  <c r="E258" i="2"/>
  <c r="D258" i="2"/>
  <c r="AB257" i="2"/>
  <c r="AA257" i="2"/>
  <c r="Z257" i="2"/>
  <c r="Y257" i="2"/>
  <c r="X257" i="2"/>
  <c r="W257" i="2"/>
  <c r="V257" i="2"/>
  <c r="U257" i="2"/>
  <c r="T257" i="2"/>
  <c r="S257" i="2"/>
  <c r="R257" i="2"/>
  <c r="Q257" i="2"/>
  <c r="P257" i="2"/>
  <c r="O257" i="2"/>
  <c r="N257" i="2"/>
  <c r="M257" i="2"/>
  <c r="L257" i="2"/>
  <c r="K257" i="2"/>
  <c r="J257" i="2"/>
  <c r="F257" i="2"/>
  <c r="E257" i="2"/>
  <c r="D257" i="2"/>
  <c r="AA256" i="2"/>
  <c r="Z256" i="2"/>
  <c r="Y256" i="2"/>
  <c r="X256" i="2"/>
  <c r="W256" i="2"/>
  <c r="V256" i="2"/>
  <c r="U256" i="2"/>
  <c r="T256" i="2"/>
  <c r="S256" i="2"/>
  <c r="R256" i="2"/>
  <c r="Q256" i="2"/>
  <c r="P256" i="2"/>
  <c r="O256" i="2"/>
  <c r="N256" i="2"/>
  <c r="M256" i="2"/>
  <c r="L256" i="2"/>
  <c r="K256" i="2"/>
  <c r="J256" i="2"/>
  <c r="F256" i="2"/>
  <c r="E256" i="2"/>
  <c r="D256" i="2"/>
  <c r="Z255" i="2"/>
  <c r="Y255" i="2"/>
  <c r="X255" i="2"/>
  <c r="W255" i="2"/>
  <c r="V255" i="2"/>
  <c r="U255" i="2"/>
  <c r="T255" i="2"/>
  <c r="S255" i="2"/>
  <c r="R255" i="2"/>
  <c r="Q255" i="2"/>
  <c r="P255" i="2"/>
  <c r="O255" i="2"/>
  <c r="N255" i="2"/>
  <c r="M255" i="2"/>
  <c r="L255" i="2"/>
  <c r="K255" i="2"/>
  <c r="J255" i="2"/>
  <c r="F255" i="2"/>
  <c r="E255" i="2"/>
  <c r="D255" i="2"/>
  <c r="Y254" i="2"/>
  <c r="X254" i="2"/>
  <c r="W254" i="2"/>
  <c r="V254" i="2"/>
  <c r="U254" i="2"/>
  <c r="T254" i="2"/>
  <c r="S254" i="2"/>
  <c r="R254" i="2"/>
  <c r="Q254" i="2"/>
  <c r="P254" i="2"/>
  <c r="O254" i="2"/>
  <c r="N254" i="2"/>
  <c r="M254" i="2"/>
  <c r="L254" i="2"/>
  <c r="K254" i="2"/>
  <c r="J254" i="2"/>
  <c r="F254" i="2"/>
  <c r="E254" i="2"/>
  <c r="D254" i="2"/>
  <c r="X253" i="2"/>
  <c r="W253" i="2"/>
  <c r="V253" i="2"/>
  <c r="U253" i="2"/>
  <c r="T253" i="2"/>
  <c r="S253" i="2"/>
  <c r="R253" i="2"/>
  <c r="Q253" i="2"/>
  <c r="P253" i="2"/>
  <c r="O253" i="2"/>
  <c r="N253" i="2"/>
  <c r="M253" i="2"/>
  <c r="L253" i="2"/>
  <c r="K253" i="2"/>
  <c r="J253" i="2"/>
  <c r="F253" i="2"/>
  <c r="E253" i="2"/>
  <c r="D253" i="2"/>
  <c r="W252" i="2"/>
  <c r="V252" i="2"/>
  <c r="U252" i="2"/>
  <c r="T252" i="2"/>
  <c r="S252" i="2"/>
  <c r="R252" i="2"/>
  <c r="Q252" i="2"/>
  <c r="P252" i="2"/>
  <c r="O252" i="2"/>
  <c r="N252" i="2"/>
  <c r="M252" i="2"/>
  <c r="L252" i="2"/>
  <c r="K252" i="2"/>
  <c r="J252" i="2"/>
  <c r="F252" i="2"/>
  <c r="E252" i="2"/>
  <c r="D252" i="2"/>
  <c r="V251" i="2"/>
  <c r="U251" i="2"/>
  <c r="T251" i="2"/>
  <c r="S251" i="2"/>
  <c r="R251" i="2"/>
  <c r="Q251" i="2"/>
  <c r="P251" i="2"/>
  <c r="O251" i="2"/>
  <c r="N251" i="2"/>
  <c r="M251" i="2"/>
  <c r="L251" i="2"/>
  <c r="K251" i="2"/>
  <c r="J251"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C243" i="2"/>
  <c r="AB243" i="2"/>
  <c r="AA243" i="2"/>
  <c r="Z243" i="2"/>
  <c r="Y243" i="2"/>
  <c r="X243" i="2"/>
  <c r="W243" i="2"/>
  <c r="V243" i="2"/>
  <c r="U243" i="2"/>
  <c r="T243" i="2"/>
  <c r="S243" i="2"/>
  <c r="R243" i="2"/>
  <c r="Q243" i="2"/>
  <c r="P243" i="2"/>
  <c r="O243" i="2"/>
  <c r="N243" i="2"/>
  <c r="M243" i="2"/>
  <c r="L243" i="2"/>
  <c r="K243" i="2"/>
  <c r="J243" i="2"/>
  <c r="F243" i="2"/>
  <c r="E243" i="2"/>
  <c r="D243" i="2"/>
  <c r="AC242" i="2"/>
  <c r="AB242" i="2"/>
  <c r="AA242" i="2"/>
  <c r="Z242" i="2"/>
  <c r="Y242" i="2"/>
  <c r="X242" i="2"/>
  <c r="W242" i="2"/>
  <c r="V242" i="2"/>
  <c r="U242" i="2"/>
  <c r="T242" i="2"/>
  <c r="S242" i="2"/>
  <c r="R242" i="2"/>
  <c r="Q242" i="2"/>
  <c r="P242" i="2"/>
  <c r="O242" i="2"/>
  <c r="N242" i="2"/>
  <c r="M242" i="2"/>
  <c r="L242" i="2"/>
  <c r="K242" i="2"/>
  <c r="J242" i="2"/>
  <c r="F242" i="2"/>
  <c r="E242" i="2"/>
  <c r="D242" i="2"/>
  <c r="AC241" i="2"/>
  <c r="AB241" i="2"/>
  <c r="AA241" i="2"/>
  <c r="Z241" i="2"/>
  <c r="Y241" i="2"/>
  <c r="X241" i="2"/>
  <c r="W241" i="2"/>
  <c r="V241" i="2"/>
  <c r="U241" i="2"/>
  <c r="T241" i="2"/>
  <c r="S241" i="2"/>
  <c r="R241" i="2"/>
  <c r="Q241" i="2"/>
  <c r="P241" i="2"/>
  <c r="O241" i="2"/>
  <c r="N241" i="2"/>
  <c r="M241" i="2"/>
  <c r="L241" i="2"/>
  <c r="K241" i="2"/>
  <c r="J241" i="2"/>
  <c r="F241" i="2"/>
  <c r="E241" i="2"/>
  <c r="D241" i="2"/>
  <c r="AB240" i="2"/>
  <c r="AA240" i="2"/>
  <c r="Z240" i="2"/>
  <c r="Y240" i="2"/>
  <c r="X240" i="2"/>
  <c r="W240" i="2"/>
  <c r="V240" i="2"/>
  <c r="U240" i="2"/>
  <c r="T240" i="2"/>
  <c r="S240" i="2"/>
  <c r="R240" i="2"/>
  <c r="Q240" i="2"/>
  <c r="P240" i="2"/>
  <c r="O240" i="2"/>
  <c r="N240" i="2"/>
  <c r="M240" i="2"/>
  <c r="L240" i="2"/>
  <c r="K240" i="2"/>
  <c r="J240" i="2"/>
  <c r="F240" i="2"/>
  <c r="E240" i="2"/>
  <c r="D240" i="2"/>
  <c r="AA239" i="2"/>
  <c r="Z239" i="2"/>
  <c r="Y239" i="2"/>
  <c r="X239" i="2"/>
  <c r="W239" i="2"/>
  <c r="V239" i="2"/>
  <c r="U239" i="2"/>
  <c r="T239" i="2"/>
  <c r="S239" i="2"/>
  <c r="R239" i="2"/>
  <c r="Q239" i="2"/>
  <c r="P239" i="2"/>
  <c r="O239" i="2"/>
  <c r="N239" i="2"/>
  <c r="M239" i="2"/>
  <c r="L239" i="2"/>
  <c r="K239" i="2"/>
  <c r="J239" i="2"/>
  <c r="F239" i="2"/>
  <c r="E239" i="2"/>
  <c r="D239" i="2"/>
  <c r="Z238" i="2"/>
  <c r="Y238" i="2"/>
  <c r="X238" i="2"/>
  <c r="W238" i="2"/>
  <c r="V238" i="2"/>
  <c r="U238" i="2"/>
  <c r="T238" i="2"/>
  <c r="S238" i="2"/>
  <c r="R238" i="2"/>
  <c r="Q238" i="2"/>
  <c r="P238" i="2"/>
  <c r="O238" i="2"/>
  <c r="N238" i="2"/>
  <c r="M238" i="2"/>
  <c r="L238" i="2"/>
  <c r="K238" i="2"/>
  <c r="J238" i="2"/>
  <c r="F238" i="2"/>
  <c r="E238" i="2"/>
  <c r="D238" i="2"/>
  <c r="Y237" i="2"/>
  <c r="X237" i="2"/>
  <c r="W237" i="2"/>
  <c r="V237" i="2"/>
  <c r="U237" i="2"/>
  <c r="T237" i="2"/>
  <c r="S237" i="2"/>
  <c r="R237" i="2"/>
  <c r="Q237" i="2"/>
  <c r="P237" i="2"/>
  <c r="O237" i="2"/>
  <c r="N237" i="2"/>
  <c r="M237" i="2"/>
  <c r="L237" i="2"/>
  <c r="K237" i="2"/>
  <c r="J237" i="2"/>
  <c r="F237" i="2"/>
  <c r="E237" i="2"/>
  <c r="D237" i="2"/>
  <c r="X236" i="2"/>
  <c r="W236" i="2"/>
  <c r="V236" i="2"/>
  <c r="U236" i="2"/>
  <c r="T236" i="2"/>
  <c r="S236" i="2"/>
  <c r="R236" i="2"/>
  <c r="Q236" i="2"/>
  <c r="P236" i="2"/>
  <c r="O236" i="2"/>
  <c r="N236" i="2"/>
  <c r="M236" i="2"/>
  <c r="L236" i="2"/>
  <c r="K236" i="2"/>
  <c r="J236" i="2"/>
  <c r="F236" i="2"/>
  <c r="E236" i="2"/>
  <c r="D236" i="2"/>
  <c r="W235" i="2"/>
  <c r="V235" i="2"/>
  <c r="U235" i="2"/>
  <c r="T235" i="2"/>
  <c r="S235" i="2"/>
  <c r="R235" i="2"/>
  <c r="Q235" i="2"/>
  <c r="P235" i="2"/>
  <c r="O235" i="2"/>
  <c r="N235" i="2"/>
  <c r="M235" i="2"/>
  <c r="L235" i="2"/>
  <c r="K235" i="2"/>
  <c r="J235" i="2"/>
  <c r="F235" i="2"/>
  <c r="E235" i="2"/>
  <c r="D235" i="2"/>
  <c r="V234" i="2"/>
  <c r="U234" i="2"/>
  <c r="T234" i="2"/>
  <c r="S234" i="2"/>
  <c r="R234" i="2"/>
  <c r="Q234" i="2"/>
  <c r="P234" i="2"/>
  <c r="O234" i="2"/>
  <c r="N234" i="2"/>
  <c r="M234" i="2"/>
  <c r="L234" i="2"/>
  <c r="K234" i="2"/>
  <c r="J234" i="2"/>
  <c r="AC228" i="2"/>
  <c r="AB228" i="2"/>
  <c r="AA228" i="2"/>
  <c r="Z228" i="2"/>
  <c r="Y228" i="2"/>
  <c r="X228" i="2"/>
  <c r="W228" i="2"/>
  <c r="V228" i="2"/>
  <c r="U228" i="2"/>
  <c r="T228" i="2"/>
  <c r="S228" i="2"/>
  <c r="R228" i="2"/>
  <c r="Q228" i="2"/>
  <c r="P228" i="2"/>
  <c r="O228" i="2"/>
  <c r="N228" i="2"/>
  <c r="M228" i="2"/>
  <c r="L228" i="2"/>
  <c r="K228" i="2"/>
  <c r="J228" i="2"/>
  <c r="F228" i="2"/>
  <c r="E228" i="2"/>
  <c r="D228" i="2"/>
  <c r="AC227" i="2"/>
  <c r="AB227" i="2"/>
  <c r="AA227" i="2"/>
  <c r="Z227" i="2"/>
  <c r="Y227" i="2"/>
  <c r="X227" i="2"/>
  <c r="W227" i="2"/>
  <c r="V227" i="2"/>
  <c r="U227" i="2"/>
  <c r="T227" i="2"/>
  <c r="S227" i="2"/>
  <c r="R227" i="2"/>
  <c r="Q227" i="2"/>
  <c r="P227" i="2"/>
  <c r="O227" i="2"/>
  <c r="N227" i="2"/>
  <c r="M227" i="2"/>
  <c r="L227" i="2"/>
  <c r="K227" i="2"/>
  <c r="J227" i="2"/>
  <c r="F227" i="2"/>
  <c r="E227" i="2"/>
  <c r="D227" i="2"/>
  <c r="AC226" i="2"/>
  <c r="AB226" i="2"/>
  <c r="AA226" i="2"/>
  <c r="Z226" i="2"/>
  <c r="Y226" i="2"/>
  <c r="X226" i="2"/>
  <c r="W226" i="2"/>
  <c r="V226" i="2"/>
  <c r="U226" i="2"/>
  <c r="T226" i="2"/>
  <c r="S226" i="2"/>
  <c r="R226" i="2"/>
  <c r="Q226" i="2"/>
  <c r="P226" i="2"/>
  <c r="O226" i="2"/>
  <c r="N226" i="2"/>
  <c r="M226" i="2"/>
  <c r="L226" i="2"/>
  <c r="K226" i="2"/>
  <c r="J226" i="2"/>
  <c r="F226" i="2"/>
  <c r="E226" i="2"/>
  <c r="D226" i="2"/>
  <c r="AC225" i="2"/>
  <c r="AB225" i="2"/>
  <c r="AA225" i="2"/>
  <c r="Z225" i="2"/>
  <c r="Y225" i="2"/>
  <c r="X225" i="2"/>
  <c r="W225" i="2"/>
  <c r="V225" i="2"/>
  <c r="U225" i="2"/>
  <c r="T225" i="2"/>
  <c r="S225" i="2"/>
  <c r="R225" i="2"/>
  <c r="Q225" i="2"/>
  <c r="P225" i="2"/>
  <c r="O225" i="2"/>
  <c r="N225" i="2"/>
  <c r="M225" i="2"/>
  <c r="L225" i="2"/>
  <c r="K225" i="2"/>
  <c r="J225" i="2"/>
  <c r="F225" i="2"/>
  <c r="E225" i="2"/>
  <c r="D225" i="2"/>
  <c r="AC224" i="2"/>
  <c r="AB224" i="2"/>
  <c r="AA224" i="2"/>
  <c r="Z224" i="2"/>
  <c r="Y224" i="2"/>
  <c r="X224" i="2"/>
  <c r="W224" i="2"/>
  <c r="V224" i="2"/>
  <c r="U224" i="2"/>
  <c r="T224" i="2"/>
  <c r="S224" i="2"/>
  <c r="R224" i="2"/>
  <c r="Q224" i="2"/>
  <c r="P224" i="2"/>
  <c r="O224" i="2"/>
  <c r="N224" i="2"/>
  <c r="M224" i="2"/>
  <c r="L224" i="2"/>
  <c r="K224" i="2"/>
  <c r="J224" i="2"/>
  <c r="F224" i="2"/>
  <c r="E224" i="2"/>
  <c r="D224" i="2"/>
  <c r="AB223" i="2"/>
  <c r="AA223" i="2"/>
  <c r="Z223" i="2"/>
  <c r="Y223" i="2"/>
  <c r="X223" i="2"/>
  <c r="W223" i="2"/>
  <c r="V223" i="2"/>
  <c r="U223" i="2"/>
  <c r="T223" i="2"/>
  <c r="S223" i="2"/>
  <c r="R223" i="2"/>
  <c r="Q223" i="2"/>
  <c r="P223" i="2"/>
  <c r="O223" i="2"/>
  <c r="N223" i="2"/>
  <c r="M223" i="2"/>
  <c r="L223" i="2"/>
  <c r="K223" i="2"/>
  <c r="J223" i="2"/>
  <c r="F223" i="2"/>
  <c r="E223" i="2"/>
  <c r="D223" i="2"/>
  <c r="AA222" i="2"/>
  <c r="Z222" i="2"/>
  <c r="Y222" i="2"/>
  <c r="X222" i="2"/>
  <c r="W222" i="2"/>
  <c r="V222" i="2"/>
  <c r="U222" i="2"/>
  <c r="T222" i="2"/>
  <c r="S222" i="2"/>
  <c r="R222" i="2"/>
  <c r="Q222" i="2"/>
  <c r="P222" i="2"/>
  <c r="O222" i="2"/>
  <c r="N222" i="2"/>
  <c r="M222" i="2"/>
  <c r="L222" i="2"/>
  <c r="K222" i="2"/>
  <c r="J222" i="2"/>
  <c r="F222" i="2"/>
  <c r="E222" i="2"/>
  <c r="D222" i="2"/>
  <c r="Z221" i="2"/>
  <c r="Y221" i="2"/>
  <c r="X221" i="2"/>
  <c r="W221" i="2"/>
  <c r="V221" i="2"/>
  <c r="U221" i="2"/>
  <c r="T221" i="2"/>
  <c r="S221" i="2"/>
  <c r="R221" i="2"/>
  <c r="Q221" i="2"/>
  <c r="P221" i="2"/>
  <c r="O221" i="2"/>
  <c r="N221" i="2"/>
  <c r="M221" i="2"/>
  <c r="L221" i="2"/>
  <c r="K221" i="2"/>
  <c r="J221" i="2"/>
  <c r="F221" i="2"/>
  <c r="E221" i="2"/>
  <c r="D221" i="2"/>
  <c r="Y220" i="2"/>
  <c r="X220" i="2"/>
  <c r="W220" i="2"/>
  <c r="V220" i="2"/>
  <c r="U220" i="2"/>
  <c r="T220" i="2"/>
  <c r="S220" i="2"/>
  <c r="R220" i="2"/>
  <c r="Q220" i="2"/>
  <c r="P220" i="2"/>
  <c r="O220" i="2"/>
  <c r="N220" i="2"/>
  <c r="M220" i="2"/>
  <c r="L220" i="2"/>
  <c r="K220" i="2"/>
  <c r="J220" i="2"/>
  <c r="F220" i="2"/>
  <c r="E220" i="2"/>
  <c r="D220" i="2"/>
  <c r="X219" i="2"/>
  <c r="W219" i="2"/>
  <c r="V219" i="2"/>
  <c r="U219" i="2"/>
  <c r="T219" i="2"/>
  <c r="S219" i="2"/>
  <c r="R219" i="2"/>
  <c r="Q219" i="2"/>
  <c r="P219" i="2"/>
  <c r="O219" i="2"/>
  <c r="N219" i="2"/>
  <c r="M219" i="2"/>
  <c r="L219" i="2"/>
  <c r="K219" i="2"/>
  <c r="J219" i="2"/>
  <c r="F219" i="2"/>
  <c r="E219" i="2"/>
  <c r="D219" i="2"/>
  <c r="W218" i="2"/>
  <c r="V218" i="2"/>
  <c r="U218" i="2"/>
  <c r="T218" i="2"/>
  <c r="S218" i="2"/>
  <c r="R218" i="2"/>
  <c r="Q218" i="2"/>
  <c r="P218" i="2"/>
  <c r="O218" i="2"/>
  <c r="N218" i="2"/>
  <c r="M218" i="2"/>
  <c r="L218" i="2"/>
  <c r="K218" i="2"/>
  <c r="J218" i="2"/>
  <c r="F218" i="2"/>
  <c r="E218" i="2"/>
  <c r="D218" i="2"/>
  <c r="V217" i="2"/>
  <c r="U217" i="2"/>
  <c r="T217" i="2"/>
  <c r="S217" i="2"/>
  <c r="R217" i="2"/>
  <c r="Q217" i="2"/>
  <c r="P217" i="2"/>
  <c r="O217" i="2"/>
  <c r="N217" i="2"/>
  <c r="M217" i="2"/>
  <c r="L217" i="2"/>
  <c r="K217" i="2"/>
  <c r="J217"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C185" i="2"/>
  <c r="AB185" i="2"/>
  <c r="AA185" i="2"/>
  <c r="Z185" i="2"/>
  <c r="Y185" i="2"/>
  <c r="X185" i="2"/>
  <c r="W185" i="2"/>
  <c r="V185" i="2"/>
  <c r="U185" i="2"/>
  <c r="T185" i="2"/>
  <c r="S185" i="2"/>
  <c r="R185" i="2"/>
  <c r="Q185" i="2"/>
  <c r="P185" i="2"/>
  <c r="O185" i="2"/>
  <c r="N185" i="2"/>
  <c r="M185" i="2"/>
  <c r="L185" i="2"/>
  <c r="K185" i="2"/>
  <c r="J185" i="2"/>
  <c r="F185" i="2"/>
  <c r="E185" i="2"/>
  <c r="D185" i="2"/>
  <c r="AC184" i="2"/>
  <c r="AB184" i="2"/>
  <c r="AA184" i="2"/>
  <c r="Z184" i="2"/>
  <c r="Y184" i="2"/>
  <c r="X184" i="2"/>
  <c r="W184" i="2"/>
  <c r="V184" i="2"/>
  <c r="U184" i="2"/>
  <c r="T184" i="2"/>
  <c r="S184" i="2"/>
  <c r="R184" i="2"/>
  <c r="Q184" i="2"/>
  <c r="P184" i="2"/>
  <c r="O184" i="2"/>
  <c r="N184" i="2"/>
  <c r="M184" i="2"/>
  <c r="L184" i="2"/>
  <c r="K184" i="2"/>
  <c r="J184" i="2"/>
  <c r="F184" i="2"/>
  <c r="E184" i="2"/>
  <c r="D184" i="2"/>
  <c r="AC183" i="2"/>
  <c r="AB183" i="2"/>
  <c r="AA183" i="2"/>
  <c r="Z183" i="2"/>
  <c r="Y183" i="2"/>
  <c r="X183" i="2"/>
  <c r="W183" i="2"/>
  <c r="V183" i="2"/>
  <c r="U183" i="2"/>
  <c r="T183" i="2"/>
  <c r="S183" i="2"/>
  <c r="R183" i="2"/>
  <c r="Q183" i="2"/>
  <c r="P183" i="2"/>
  <c r="O183" i="2"/>
  <c r="N183" i="2"/>
  <c r="M183" i="2"/>
  <c r="L183" i="2"/>
  <c r="K183" i="2"/>
  <c r="J183" i="2"/>
  <c r="F183" i="2"/>
  <c r="E183" i="2"/>
  <c r="D183" i="2"/>
  <c r="AB182" i="2"/>
  <c r="AA182" i="2"/>
  <c r="Z182" i="2"/>
  <c r="Y182" i="2"/>
  <c r="X182" i="2"/>
  <c r="W182" i="2"/>
  <c r="V182" i="2"/>
  <c r="U182" i="2"/>
  <c r="T182" i="2"/>
  <c r="S182" i="2"/>
  <c r="R182" i="2"/>
  <c r="Q182" i="2"/>
  <c r="P182" i="2"/>
  <c r="O182" i="2"/>
  <c r="N182" i="2"/>
  <c r="M182" i="2"/>
  <c r="L182" i="2"/>
  <c r="K182" i="2"/>
  <c r="J182" i="2"/>
  <c r="F182" i="2"/>
  <c r="E182" i="2"/>
  <c r="D182" i="2"/>
  <c r="AA181" i="2"/>
  <c r="Z181" i="2"/>
  <c r="Y181" i="2"/>
  <c r="X181" i="2"/>
  <c r="W181" i="2"/>
  <c r="V181" i="2"/>
  <c r="U181" i="2"/>
  <c r="T181" i="2"/>
  <c r="S181" i="2"/>
  <c r="R181" i="2"/>
  <c r="Q181" i="2"/>
  <c r="P181" i="2"/>
  <c r="O181" i="2"/>
  <c r="N181" i="2"/>
  <c r="M181" i="2"/>
  <c r="L181" i="2"/>
  <c r="K181" i="2"/>
  <c r="J181" i="2"/>
  <c r="F181" i="2"/>
  <c r="E181" i="2"/>
  <c r="D181" i="2"/>
  <c r="Z180" i="2"/>
  <c r="Y180" i="2"/>
  <c r="X180" i="2"/>
  <c r="W180" i="2"/>
  <c r="V180" i="2"/>
  <c r="U180" i="2"/>
  <c r="T180" i="2"/>
  <c r="S180" i="2"/>
  <c r="R180" i="2"/>
  <c r="Q180" i="2"/>
  <c r="P180" i="2"/>
  <c r="O180" i="2"/>
  <c r="N180" i="2"/>
  <c r="M180" i="2"/>
  <c r="L180" i="2"/>
  <c r="K180" i="2"/>
  <c r="J180" i="2"/>
  <c r="F180" i="2"/>
  <c r="E180" i="2"/>
  <c r="D180" i="2"/>
  <c r="Y179" i="2"/>
  <c r="X179" i="2"/>
  <c r="W179" i="2"/>
  <c r="V179" i="2"/>
  <c r="U179" i="2"/>
  <c r="T179" i="2"/>
  <c r="S179" i="2"/>
  <c r="R179" i="2"/>
  <c r="Q179" i="2"/>
  <c r="P179" i="2"/>
  <c r="O179" i="2"/>
  <c r="N179" i="2"/>
  <c r="M179" i="2"/>
  <c r="L179" i="2"/>
  <c r="K179" i="2"/>
  <c r="J179" i="2"/>
  <c r="F179" i="2"/>
  <c r="E179" i="2"/>
  <c r="D179" i="2"/>
  <c r="X178" i="2"/>
  <c r="W178" i="2"/>
  <c r="V178" i="2"/>
  <c r="U178" i="2"/>
  <c r="T178" i="2"/>
  <c r="S178" i="2"/>
  <c r="R178" i="2"/>
  <c r="Q178" i="2"/>
  <c r="P178" i="2"/>
  <c r="O178" i="2"/>
  <c r="N178" i="2"/>
  <c r="M178" i="2"/>
  <c r="L178" i="2"/>
  <c r="K178" i="2"/>
  <c r="J178" i="2"/>
  <c r="F178" i="2"/>
  <c r="E178" i="2"/>
  <c r="D178" i="2"/>
  <c r="W177" i="2"/>
  <c r="V177" i="2"/>
  <c r="U177" i="2"/>
  <c r="T177" i="2"/>
  <c r="S177" i="2"/>
  <c r="R177" i="2"/>
  <c r="Q177" i="2"/>
  <c r="P177" i="2"/>
  <c r="O177" i="2"/>
  <c r="N177" i="2"/>
  <c r="M177" i="2"/>
  <c r="L177" i="2"/>
  <c r="K177" i="2"/>
  <c r="J177" i="2"/>
  <c r="F177" i="2"/>
  <c r="E177" i="2"/>
  <c r="D177" i="2"/>
  <c r="V176" i="2"/>
  <c r="U176" i="2"/>
  <c r="T176" i="2"/>
  <c r="S176" i="2"/>
  <c r="R176" i="2"/>
  <c r="Q176" i="2"/>
  <c r="P176" i="2"/>
  <c r="O176" i="2"/>
  <c r="N176" i="2"/>
  <c r="M176" i="2"/>
  <c r="L176" i="2"/>
  <c r="K176" i="2"/>
  <c r="J176" i="2"/>
  <c r="AC170" i="2"/>
  <c r="AB170" i="2"/>
  <c r="AA170" i="2"/>
  <c r="Z170" i="2"/>
  <c r="Y170" i="2"/>
  <c r="X170" i="2"/>
  <c r="W170" i="2"/>
  <c r="V170" i="2"/>
  <c r="U170" i="2"/>
  <c r="T170" i="2"/>
  <c r="S170" i="2"/>
  <c r="R170" i="2"/>
  <c r="Q170" i="2"/>
  <c r="P170" i="2"/>
  <c r="O170" i="2"/>
  <c r="N170" i="2"/>
  <c r="M170" i="2"/>
  <c r="L170" i="2"/>
  <c r="K170" i="2"/>
  <c r="J170" i="2"/>
  <c r="F170" i="2"/>
  <c r="E170" i="2"/>
  <c r="D170" i="2"/>
  <c r="AC169" i="2"/>
  <c r="AB169" i="2"/>
  <c r="AA169" i="2"/>
  <c r="Z169" i="2"/>
  <c r="Y169" i="2"/>
  <c r="X169" i="2"/>
  <c r="W169" i="2"/>
  <c r="V169" i="2"/>
  <c r="U169" i="2"/>
  <c r="T169" i="2"/>
  <c r="S169" i="2"/>
  <c r="R169" i="2"/>
  <c r="Q169" i="2"/>
  <c r="P169" i="2"/>
  <c r="O169" i="2"/>
  <c r="N169" i="2"/>
  <c r="M169" i="2"/>
  <c r="L169" i="2"/>
  <c r="K169" i="2"/>
  <c r="J169" i="2"/>
  <c r="F169" i="2"/>
  <c r="E169" i="2"/>
  <c r="D169" i="2"/>
  <c r="AC168" i="2"/>
  <c r="AB168" i="2"/>
  <c r="AA168" i="2"/>
  <c r="Z168" i="2"/>
  <c r="Y168" i="2"/>
  <c r="X168" i="2"/>
  <c r="W168" i="2"/>
  <c r="V168" i="2"/>
  <c r="U168" i="2"/>
  <c r="T168" i="2"/>
  <c r="S168" i="2"/>
  <c r="R168" i="2"/>
  <c r="Q168" i="2"/>
  <c r="P168" i="2"/>
  <c r="O168" i="2"/>
  <c r="N168" i="2"/>
  <c r="M168" i="2"/>
  <c r="L168" i="2"/>
  <c r="K168" i="2"/>
  <c r="J168" i="2"/>
  <c r="F168" i="2"/>
  <c r="E168" i="2"/>
  <c r="D168" i="2"/>
  <c r="AC167" i="2"/>
  <c r="AB167" i="2"/>
  <c r="AA167" i="2"/>
  <c r="Z167" i="2"/>
  <c r="Y167" i="2"/>
  <c r="X167" i="2"/>
  <c r="W167" i="2"/>
  <c r="V167" i="2"/>
  <c r="U167" i="2"/>
  <c r="T167" i="2"/>
  <c r="S167" i="2"/>
  <c r="R167" i="2"/>
  <c r="Q167" i="2"/>
  <c r="P167" i="2"/>
  <c r="O167" i="2"/>
  <c r="N167" i="2"/>
  <c r="M167" i="2"/>
  <c r="L167" i="2"/>
  <c r="K167" i="2"/>
  <c r="J167" i="2"/>
  <c r="F167" i="2"/>
  <c r="E167" i="2"/>
  <c r="D167" i="2"/>
  <c r="AC166" i="2"/>
  <c r="AB166" i="2"/>
  <c r="AA166" i="2"/>
  <c r="Z166" i="2"/>
  <c r="Y166" i="2"/>
  <c r="X166" i="2"/>
  <c r="W166" i="2"/>
  <c r="V166" i="2"/>
  <c r="U166" i="2"/>
  <c r="T166" i="2"/>
  <c r="S166" i="2"/>
  <c r="R166" i="2"/>
  <c r="Q166" i="2"/>
  <c r="P166" i="2"/>
  <c r="O166" i="2"/>
  <c r="N166" i="2"/>
  <c r="M166" i="2"/>
  <c r="L166" i="2"/>
  <c r="K166" i="2"/>
  <c r="J166" i="2"/>
  <c r="F166" i="2"/>
  <c r="E166" i="2"/>
  <c r="D166" i="2"/>
  <c r="AB165" i="2"/>
  <c r="AA165" i="2"/>
  <c r="Z165" i="2"/>
  <c r="Y165" i="2"/>
  <c r="X165" i="2"/>
  <c r="W165" i="2"/>
  <c r="V165" i="2"/>
  <c r="U165" i="2"/>
  <c r="T165" i="2"/>
  <c r="S165" i="2"/>
  <c r="R165" i="2"/>
  <c r="Q165" i="2"/>
  <c r="P165" i="2"/>
  <c r="O165" i="2"/>
  <c r="N165" i="2"/>
  <c r="M165" i="2"/>
  <c r="L165" i="2"/>
  <c r="K165" i="2"/>
  <c r="J165" i="2"/>
  <c r="F165" i="2"/>
  <c r="E165" i="2"/>
  <c r="D165" i="2"/>
  <c r="AA164" i="2"/>
  <c r="Z164" i="2"/>
  <c r="Y164" i="2"/>
  <c r="X164" i="2"/>
  <c r="W164" i="2"/>
  <c r="V164" i="2"/>
  <c r="U164" i="2"/>
  <c r="T164" i="2"/>
  <c r="S164" i="2"/>
  <c r="R164" i="2"/>
  <c r="Q164" i="2"/>
  <c r="P164" i="2"/>
  <c r="O164" i="2"/>
  <c r="N164" i="2"/>
  <c r="M164" i="2"/>
  <c r="L164" i="2"/>
  <c r="K164" i="2"/>
  <c r="J164" i="2"/>
  <c r="F164" i="2"/>
  <c r="E164" i="2"/>
  <c r="D164" i="2"/>
  <c r="Z163" i="2"/>
  <c r="Y163" i="2"/>
  <c r="X163" i="2"/>
  <c r="W163" i="2"/>
  <c r="V163" i="2"/>
  <c r="U163" i="2"/>
  <c r="T163" i="2"/>
  <c r="S163" i="2"/>
  <c r="R163" i="2"/>
  <c r="Q163" i="2"/>
  <c r="P163" i="2"/>
  <c r="O163" i="2"/>
  <c r="N163" i="2"/>
  <c r="M163" i="2"/>
  <c r="L163" i="2"/>
  <c r="K163" i="2"/>
  <c r="J163" i="2"/>
  <c r="F163" i="2"/>
  <c r="E163" i="2"/>
  <c r="D163" i="2"/>
  <c r="Y162" i="2"/>
  <c r="X162" i="2"/>
  <c r="W162" i="2"/>
  <c r="V162" i="2"/>
  <c r="U162" i="2"/>
  <c r="T162" i="2"/>
  <c r="S162" i="2"/>
  <c r="R162" i="2"/>
  <c r="Q162" i="2"/>
  <c r="P162" i="2"/>
  <c r="O162" i="2"/>
  <c r="N162" i="2"/>
  <c r="M162" i="2"/>
  <c r="L162" i="2"/>
  <c r="K162" i="2"/>
  <c r="J162" i="2"/>
  <c r="F162" i="2"/>
  <c r="E162" i="2"/>
  <c r="D162" i="2"/>
  <c r="X161" i="2"/>
  <c r="W161" i="2"/>
  <c r="V161" i="2"/>
  <c r="U161" i="2"/>
  <c r="T161" i="2"/>
  <c r="S161" i="2"/>
  <c r="R161" i="2"/>
  <c r="Q161" i="2"/>
  <c r="P161" i="2"/>
  <c r="O161" i="2"/>
  <c r="N161" i="2"/>
  <c r="M161" i="2"/>
  <c r="L161" i="2"/>
  <c r="K161" i="2"/>
  <c r="J161" i="2"/>
  <c r="F161" i="2"/>
  <c r="E161" i="2"/>
  <c r="D161" i="2"/>
  <c r="W160" i="2"/>
  <c r="V160" i="2"/>
  <c r="U160" i="2"/>
  <c r="T160" i="2"/>
  <c r="S160" i="2"/>
  <c r="R160" i="2"/>
  <c r="Q160" i="2"/>
  <c r="P160" i="2"/>
  <c r="O160" i="2"/>
  <c r="N160" i="2"/>
  <c r="M160" i="2"/>
  <c r="L160" i="2"/>
  <c r="K160" i="2"/>
  <c r="J160" i="2"/>
  <c r="F160" i="2"/>
  <c r="E160" i="2"/>
  <c r="D160" i="2"/>
  <c r="V159" i="2"/>
  <c r="U159" i="2"/>
  <c r="T159" i="2"/>
  <c r="S159" i="2"/>
  <c r="R159" i="2"/>
  <c r="Q159" i="2"/>
  <c r="P159" i="2"/>
  <c r="O159" i="2"/>
  <c r="N159" i="2"/>
  <c r="M159" i="2"/>
  <c r="L159" i="2"/>
  <c r="K159" i="2"/>
  <c r="J159" i="2"/>
  <c r="AC128" i="2"/>
  <c r="AB128" i="2"/>
  <c r="AA128" i="2"/>
  <c r="Z128" i="2"/>
  <c r="Y128" i="2"/>
  <c r="X128" i="2"/>
  <c r="W128" i="2"/>
  <c r="V128" i="2"/>
  <c r="U128" i="2"/>
  <c r="T128" i="2"/>
  <c r="S128" i="2"/>
  <c r="R128" i="2"/>
  <c r="Q128" i="2"/>
  <c r="P128" i="2"/>
  <c r="O128" i="2"/>
  <c r="N128" i="2"/>
  <c r="M128" i="2"/>
  <c r="L128" i="2"/>
  <c r="K128" i="2"/>
  <c r="J128" i="2"/>
  <c r="F128" i="2"/>
  <c r="E128" i="2"/>
  <c r="D128" i="2"/>
  <c r="AC127" i="2"/>
  <c r="AB127" i="2"/>
  <c r="AA127" i="2"/>
  <c r="Z127" i="2"/>
  <c r="Y127" i="2"/>
  <c r="X127" i="2"/>
  <c r="W127" i="2"/>
  <c r="V127" i="2"/>
  <c r="U127" i="2"/>
  <c r="T127" i="2"/>
  <c r="S127" i="2"/>
  <c r="R127" i="2"/>
  <c r="Q127" i="2"/>
  <c r="P127" i="2"/>
  <c r="O127" i="2"/>
  <c r="N127" i="2"/>
  <c r="M127" i="2"/>
  <c r="L127" i="2"/>
  <c r="K127" i="2"/>
  <c r="J127" i="2"/>
  <c r="F127" i="2"/>
  <c r="E127" i="2"/>
  <c r="D127" i="2"/>
  <c r="AC126" i="2"/>
  <c r="AB126" i="2"/>
  <c r="AA126" i="2"/>
  <c r="Z126" i="2"/>
  <c r="Y126" i="2"/>
  <c r="X126" i="2"/>
  <c r="W126" i="2"/>
  <c r="V126" i="2"/>
  <c r="U126" i="2"/>
  <c r="T126" i="2"/>
  <c r="S126" i="2"/>
  <c r="R126" i="2"/>
  <c r="Q126" i="2"/>
  <c r="P126" i="2"/>
  <c r="O126" i="2"/>
  <c r="N126" i="2"/>
  <c r="M126" i="2"/>
  <c r="L126" i="2"/>
  <c r="K126" i="2"/>
  <c r="J126" i="2"/>
  <c r="F126" i="2"/>
  <c r="E126" i="2"/>
  <c r="D126" i="2"/>
  <c r="AC125" i="2"/>
  <c r="AB125" i="2"/>
  <c r="AA125" i="2"/>
  <c r="Z125" i="2"/>
  <c r="Y125" i="2"/>
  <c r="X125" i="2"/>
  <c r="W125" i="2"/>
  <c r="V125" i="2"/>
  <c r="U125" i="2"/>
  <c r="T125" i="2"/>
  <c r="S125" i="2"/>
  <c r="R125" i="2"/>
  <c r="Q125" i="2"/>
  <c r="P125" i="2"/>
  <c r="O125" i="2"/>
  <c r="N125" i="2"/>
  <c r="M125" i="2"/>
  <c r="L125" i="2"/>
  <c r="K125" i="2"/>
  <c r="J125" i="2"/>
  <c r="F125" i="2"/>
  <c r="E125" i="2"/>
  <c r="D125" i="2"/>
  <c r="AC124" i="2"/>
  <c r="AB124" i="2"/>
  <c r="AA124" i="2"/>
  <c r="Z124" i="2"/>
  <c r="Y124" i="2"/>
  <c r="X124" i="2"/>
  <c r="W124" i="2"/>
  <c r="V124" i="2"/>
  <c r="U124" i="2"/>
  <c r="T124" i="2"/>
  <c r="S124" i="2"/>
  <c r="R124" i="2"/>
  <c r="Q124" i="2"/>
  <c r="P124" i="2"/>
  <c r="O124" i="2"/>
  <c r="N124" i="2"/>
  <c r="M124" i="2"/>
  <c r="L124" i="2"/>
  <c r="K124" i="2"/>
  <c r="J124" i="2"/>
  <c r="F124" i="2"/>
  <c r="E124" i="2"/>
  <c r="D124" i="2"/>
  <c r="AB123" i="2"/>
  <c r="AA123" i="2"/>
  <c r="Z123" i="2"/>
  <c r="Y123" i="2"/>
  <c r="X123" i="2"/>
  <c r="W123" i="2"/>
  <c r="V123" i="2"/>
  <c r="U123" i="2"/>
  <c r="T123" i="2"/>
  <c r="S123" i="2"/>
  <c r="R123" i="2"/>
  <c r="Q123" i="2"/>
  <c r="P123" i="2"/>
  <c r="O123" i="2"/>
  <c r="N123" i="2"/>
  <c r="M123" i="2"/>
  <c r="L123" i="2"/>
  <c r="K123" i="2"/>
  <c r="J123" i="2"/>
  <c r="F123" i="2"/>
  <c r="E123" i="2"/>
  <c r="D123" i="2"/>
  <c r="AA122" i="2"/>
  <c r="Z122" i="2"/>
  <c r="Y122" i="2"/>
  <c r="X122" i="2"/>
  <c r="W122" i="2"/>
  <c r="V122" i="2"/>
  <c r="U122" i="2"/>
  <c r="T122" i="2"/>
  <c r="S122" i="2"/>
  <c r="R122" i="2"/>
  <c r="Q122" i="2"/>
  <c r="P122" i="2"/>
  <c r="O122" i="2"/>
  <c r="N122" i="2"/>
  <c r="M122" i="2"/>
  <c r="L122" i="2"/>
  <c r="K122" i="2"/>
  <c r="J122" i="2"/>
  <c r="F122" i="2"/>
  <c r="E122" i="2"/>
  <c r="D122" i="2"/>
  <c r="Z121" i="2"/>
  <c r="Y121" i="2"/>
  <c r="X121" i="2"/>
  <c r="W121" i="2"/>
  <c r="V121" i="2"/>
  <c r="U121" i="2"/>
  <c r="T121" i="2"/>
  <c r="S121" i="2"/>
  <c r="R121" i="2"/>
  <c r="Q121" i="2"/>
  <c r="P121" i="2"/>
  <c r="O121" i="2"/>
  <c r="N121" i="2"/>
  <c r="M121" i="2"/>
  <c r="L121" i="2"/>
  <c r="K121" i="2"/>
  <c r="J121" i="2"/>
  <c r="F121" i="2"/>
  <c r="E121" i="2"/>
  <c r="D121" i="2"/>
  <c r="Y120" i="2"/>
  <c r="X120" i="2"/>
  <c r="W120" i="2"/>
  <c r="V120" i="2"/>
  <c r="U120" i="2"/>
  <c r="T120" i="2"/>
  <c r="S120" i="2"/>
  <c r="R120" i="2"/>
  <c r="Q120" i="2"/>
  <c r="P120" i="2"/>
  <c r="O120" i="2"/>
  <c r="N120" i="2"/>
  <c r="M120" i="2"/>
  <c r="L120" i="2"/>
  <c r="K120" i="2"/>
  <c r="J120" i="2"/>
  <c r="F120" i="2"/>
  <c r="E120" i="2"/>
  <c r="D120" i="2"/>
  <c r="X119" i="2"/>
  <c r="W119" i="2"/>
  <c r="V119" i="2"/>
  <c r="U119" i="2"/>
  <c r="T119" i="2"/>
  <c r="S119" i="2"/>
  <c r="R119" i="2"/>
  <c r="Q119" i="2"/>
  <c r="P119" i="2"/>
  <c r="O119" i="2"/>
  <c r="N119" i="2"/>
  <c r="M119" i="2"/>
  <c r="L119" i="2"/>
  <c r="K119" i="2"/>
  <c r="J119" i="2"/>
  <c r="F119" i="2"/>
  <c r="E119" i="2"/>
  <c r="D119" i="2"/>
  <c r="W118" i="2"/>
  <c r="V118" i="2"/>
  <c r="U118" i="2"/>
  <c r="T118" i="2"/>
  <c r="S118" i="2"/>
  <c r="R118" i="2"/>
  <c r="Q118" i="2"/>
  <c r="P118" i="2"/>
  <c r="O118" i="2"/>
  <c r="N118" i="2"/>
  <c r="M118" i="2"/>
  <c r="L118" i="2"/>
  <c r="K118" i="2"/>
  <c r="J118" i="2"/>
  <c r="F118" i="2"/>
  <c r="E118" i="2"/>
  <c r="D118" i="2"/>
  <c r="V117" i="2"/>
  <c r="U117" i="2"/>
  <c r="T117" i="2"/>
  <c r="S117" i="2"/>
  <c r="R117" i="2"/>
  <c r="Q117" i="2"/>
  <c r="P117" i="2"/>
  <c r="O117" i="2"/>
  <c r="N117" i="2"/>
  <c r="M117" i="2"/>
  <c r="L117" i="2"/>
  <c r="K117" i="2"/>
  <c r="J117" i="2"/>
  <c r="AC70" i="2"/>
  <c r="AB70" i="2"/>
  <c r="AA70" i="2"/>
  <c r="Z70" i="2"/>
  <c r="Y70" i="2"/>
  <c r="X70" i="2"/>
  <c r="W70" i="2"/>
  <c r="V70" i="2"/>
  <c r="U70" i="2"/>
  <c r="T70" i="2"/>
  <c r="S70" i="2"/>
  <c r="R70" i="2"/>
  <c r="Q70" i="2"/>
  <c r="P70" i="2"/>
  <c r="O70" i="2"/>
  <c r="N70" i="2"/>
  <c r="M70" i="2"/>
  <c r="L70" i="2"/>
  <c r="K70" i="2"/>
  <c r="J70" i="2"/>
  <c r="F70" i="2"/>
  <c r="E70" i="2"/>
  <c r="D70" i="2"/>
  <c r="AC69" i="2"/>
  <c r="AB69" i="2"/>
  <c r="AA69" i="2"/>
  <c r="Z69" i="2"/>
  <c r="Y69" i="2"/>
  <c r="X69" i="2"/>
  <c r="W69" i="2"/>
  <c r="V69" i="2"/>
  <c r="U69" i="2"/>
  <c r="T69" i="2"/>
  <c r="S69" i="2"/>
  <c r="R69" i="2"/>
  <c r="Q69" i="2"/>
  <c r="P69" i="2"/>
  <c r="O69" i="2"/>
  <c r="N69" i="2"/>
  <c r="M69" i="2"/>
  <c r="L69" i="2"/>
  <c r="K69" i="2"/>
  <c r="J69" i="2"/>
  <c r="F69" i="2"/>
  <c r="E69" i="2"/>
  <c r="D69" i="2"/>
  <c r="AC68" i="2"/>
  <c r="AB68" i="2"/>
  <c r="AA68" i="2"/>
  <c r="Z68" i="2"/>
  <c r="Y68" i="2"/>
  <c r="X68" i="2"/>
  <c r="W68" i="2"/>
  <c r="V68" i="2"/>
  <c r="U68" i="2"/>
  <c r="T68" i="2"/>
  <c r="S68" i="2"/>
  <c r="R68" i="2"/>
  <c r="Q68" i="2"/>
  <c r="P68" i="2"/>
  <c r="O68" i="2"/>
  <c r="N68" i="2"/>
  <c r="M68" i="2"/>
  <c r="L68" i="2"/>
  <c r="K68" i="2"/>
  <c r="J68" i="2"/>
  <c r="F68" i="2"/>
  <c r="E68" i="2"/>
  <c r="D68" i="2"/>
  <c r="AC67" i="2"/>
  <c r="AB67" i="2"/>
  <c r="AA67" i="2"/>
  <c r="Z67" i="2"/>
  <c r="Y67" i="2"/>
  <c r="X67" i="2"/>
  <c r="W67" i="2"/>
  <c r="V67" i="2"/>
  <c r="U67" i="2"/>
  <c r="T67" i="2"/>
  <c r="S67" i="2"/>
  <c r="R67" i="2"/>
  <c r="Q67" i="2"/>
  <c r="P67" i="2"/>
  <c r="O67" i="2"/>
  <c r="N67" i="2"/>
  <c r="M67" i="2"/>
  <c r="L67" i="2"/>
  <c r="K67" i="2"/>
  <c r="J67" i="2"/>
  <c r="F67" i="2"/>
  <c r="E67" i="2"/>
  <c r="D67" i="2"/>
  <c r="AC66" i="2"/>
  <c r="AB66" i="2"/>
  <c r="AA66" i="2"/>
  <c r="Z66" i="2"/>
  <c r="Y66" i="2"/>
  <c r="X66" i="2"/>
  <c r="W66" i="2"/>
  <c r="V66" i="2"/>
  <c r="U66" i="2"/>
  <c r="T66" i="2"/>
  <c r="S66" i="2"/>
  <c r="R66" i="2"/>
  <c r="Q66" i="2"/>
  <c r="P66" i="2"/>
  <c r="O66" i="2"/>
  <c r="N66" i="2"/>
  <c r="M66" i="2"/>
  <c r="L66" i="2"/>
  <c r="K66" i="2"/>
  <c r="J66" i="2"/>
  <c r="F66" i="2"/>
  <c r="E66" i="2"/>
  <c r="D66" i="2"/>
  <c r="AB65" i="2"/>
  <c r="AA65" i="2"/>
  <c r="Z65" i="2"/>
  <c r="Y65" i="2"/>
  <c r="X65" i="2"/>
  <c r="W65" i="2"/>
  <c r="V65" i="2"/>
  <c r="U65" i="2"/>
  <c r="T65" i="2"/>
  <c r="S65" i="2"/>
  <c r="R65" i="2"/>
  <c r="Q65" i="2"/>
  <c r="P65" i="2"/>
  <c r="O65" i="2"/>
  <c r="N65" i="2"/>
  <c r="M65" i="2"/>
  <c r="L65" i="2"/>
  <c r="K65" i="2"/>
  <c r="J65" i="2"/>
  <c r="F65" i="2"/>
  <c r="E65" i="2"/>
  <c r="D65" i="2"/>
  <c r="AA64" i="2"/>
  <c r="Z64" i="2"/>
  <c r="Y64" i="2"/>
  <c r="X64" i="2"/>
  <c r="W64" i="2"/>
  <c r="V64" i="2"/>
  <c r="U64" i="2"/>
  <c r="T64" i="2"/>
  <c r="S64" i="2"/>
  <c r="R64" i="2"/>
  <c r="Q64" i="2"/>
  <c r="P64" i="2"/>
  <c r="O64" i="2"/>
  <c r="N64" i="2"/>
  <c r="M64" i="2"/>
  <c r="L64" i="2"/>
  <c r="K64" i="2"/>
  <c r="J64" i="2"/>
  <c r="F64" i="2"/>
  <c r="E64" i="2"/>
  <c r="D64" i="2"/>
  <c r="Z63" i="2"/>
  <c r="Y63" i="2"/>
  <c r="X63" i="2"/>
  <c r="W63" i="2"/>
  <c r="V63" i="2"/>
  <c r="U63" i="2"/>
  <c r="T63" i="2"/>
  <c r="S63" i="2"/>
  <c r="R63" i="2"/>
  <c r="Q63" i="2"/>
  <c r="P63" i="2"/>
  <c r="O63" i="2"/>
  <c r="N63" i="2"/>
  <c r="M63" i="2"/>
  <c r="L63" i="2"/>
  <c r="K63" i="2"/>
  <c r="J63" i="2"/>
  <c r="F63" i="2"/>
  <c r="E63" i="2"/>
  <c r="D63" i="2"/>
  <c r="Y62" i="2"/>
  <c r="X62" i="2"/>
  <c r="W62" i="2"/>
  <c r="V62" i="2"/>
  <c r="U62" i="2"/>
  <c r="T62" i="2"/>
  <c r="S62" i="2"/>
  <c r="R62" i="2"/>
  <c r="Q62" i="2"/>
  <c r="P62" i="2"/>
  <c r="O62" i="2"/>
  <c r="N62" i="2"/>
  <c r="M62" i="2"/>
  <c r="L62" i="2"/>
  <c r="K62" i="2"/>
  <c r="J62" i="2"/>
  <c r="F62" i="2"/>
  <c r="E62" i="2"/>
  <c r="D62" i="2"/>
  <c r="X61" i="2"/>
  <c r="W61" i="2"/>
  <c r="V61" i="2"/>
  <c r="U61" i="2"/>
  <c r="T61" i="2"/>
  <c r="S61" i="2"/>
  <c r="R61" i="2"/>
  <c r="Q61" i="2"/>
  <c r="P61" i="2"/>
  <c r="O61" i="2"/>
  <c r="N61" i="2"/>
  <c r="M61" i="2"/>
  <c r="L61" i="2"/>
  <c r="K61" i="2"/>
  <c r="J61" i="2"/>
  <c r="F61" i="2"/>
  <c r="E61" i="2"/>
  <c r="D61" i="2"/>
  <c r="W60" i="2"/>
  <c r="V60" i="2"/>
  <c r="U60" i="2"/>
  <c r="T60" i="2"/>
  <c r="S60" i="2"/>
  <c r="R60" i="2"/>
  <c r="Q60" i="2"/>
  <c r="P60" i="2"/>
  <c r="O60" i="2"/>
  <c r="N60" i="2"/>
  <c r="M60" i="2"/>
  <c r="L60" i="2"/>
  <c r="K60" i="2"/>
  <c r="J60" i="2"/>
  <c r="F60" i="2"/>
  <c r="E60" i="2"/>
  <c r="D60" i="2"/>
  <c r="V59" i="2"/>
  <c r="U59" i="2"/>
  <c r="T59" i="2"/>
  <c r="S59" i="2"/>
  <c r="R59" i="2"/>
  <c r="Q59" i="2"/>
  <c r="P59" i="2"/>
  <c r="O59" i="2"/>
  <c r="N59" i="2"/>
  <c r="M59" i="2"/>
  <c r="L59" i="2"/>
  <c r="K59" i="2"/>
  <c r="J59"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86" i="2"/>
  <c r="F85" i="2"/>
  <c r="F84" i="2"/>
  <c r="F83" i="2"/>
  <c r="F82" i="2"/>
  <c r="F81" i="2"/>
  <c r="F80" i="2"/>
  <c r="F79" i="2"/>
  <c r="F78" i="2"/>
  <c r="F77" i="2"/>
  <c r="F76" i="2"/>
  <c r="E86" i="2"/>
  <c r="E85" i="2"/>
  <c r="E84" i="2"/>
  <c r="E83" i="2"/>
  <c r="E82" i="2"/>
  <c r="E81" i="2"/>
  <c r="E80" i="2"/>
  <c r="E79" i="2"/>
  <c r="E78" i="2"/>
  <c r="E77" i="2"/>
  <c r="E76" i="2"/>
  <c r="D86" i="2"/>
  <c r="D85" i="2"/>
  <c r="D84" i="2"/>
  <c r="D83" i="2"/>
  <c r="D82" i="2"/>
  <c r="D81" i="2"/>
  <c r="D80" i="2"/>
  <c r="D79" i="2"/>
  <c r="D78" i="2"/>
  <c r="D77" i="2"/>
  <c r="D76" i="2"/>
  <c r="AC86" i="2"/>
  <c r="AC85" i="2"/>
  <c r="AC84" i="2"/>
  <c r="AC83" i="2"/>
  <c r="AC82" i="2"/>
  <c r="AB86" i="2"/>
  <c r="AB85" i="2"/>
  <c r="AB84" i="2"/>
  <c r="AB83" i="2"/>
  <c r="AB82" i="2"/>
  <c r="AB81" i="2"/>
  <c r="AA86" i="2"/>
  <c r="AA85" i="2"/>
  <c r="AA84" i="2"/>
  <c r="AA83" i="2"/>
  <c r="AA82" i="2"/>
  <c r="AA81" i="2"/>
  <c r="AA80" i="2"/>
  <c r="Z86" i="2"/>
  <c r="Z85" i="2"/>
  <c r="Z84" i="2"/>
  <c r="Z83" i="2"/>
  <c r="Z82" i="2"/>
  <c r="Z81" i="2"/>
  <c r="Z80" i="2"/>
  <c r="Z79" i="2"/>
  <c r="Y86" i="2"/>
  <c r="Y85" i="2"/>
  <c r="Y84" i="2"/>
  <c r="Y83" i="2"/>
  <c r="Y82" i="2"/>
  <c r="Y81" i="2"/>
  <c r="Y80" i="2"/>
  <c r="Y79" i="2"/>
  <c r="Y78" i="2"/>
  <c r="X86" i="2"/>
  <c r="X85" i="2"/>
  <c r="X84" i="2"/>
  <c r="X83" i="2"/>
  <c r="X82" i="2"/>
  <c r="X81" i="2"/>
  <c r="X80" i="2"/>
  <c r="X79" i="2"/>
  <c r="X78" i="2"/>
  <c r="X77" i="2"/>
  <c r="W86" i="2"/>
  <c r="W85" i="2"/>
  <c r="W84" i="2"/>
  <c r="W83" i="2"/>
  <c r="W82" i="2"/>
  <c r="W81" i="2"/>
  <c r="W80" i="2"/>
  <c r="W79" i="2"/>
  <c r="W78" i="2"/>
  <c r="W77" i="2"/>
  <c r="W76" i="2"/>
  <c r="V86" i="2"/>
  <c r="V85" i="2"/>
  <c r="V84" i="2"/>
  <c r="V83" i="2"/>
  <c r="V82" i="2"/>
  <c r="V81" i="2"/>
  <c r="V80" i="2"/>
  <c r="V79" i="2"/>
  <c r="V78" i="2"/>
  <c r="V77" i="2"/>
  <c r="V76" i="2"/>
  <c r="U85" i="2"/>
  <c r="U84" i="2"/>
  <c r="U83" i="2"/>
  <c r="U82" i="2"/>
  <c r="U81" i="2"/>
  <c r="U80" i="2"/>
  <c r="U79" i="2"/>
  <c r="U78" i="2"/>
  <c r="U77" i="2"/>
  <c r="U76" i="2"/>
  <c r="T84" i="2"/>
  <c r="T83" i="2"/>
  <c r="T82" i="2"/>
  <c r="T81" i="2"/>
  <c r="T80" i="2"/>
  <c r="T79" i="2"/>
  <c r="T78" i="2"/>
  <c r="T77" i="2"/>
  <c r="T76" i="2"/>
  <c r="S83" i="2"/>
  <c r="S82" i="2"/>
  <c r="S81" i="2"/>
  <c r="S80" i="2"/>
  <c r="S79" i="2"/>
  <c r="S78" i="2"/>
  <c r="S77" i="2"/>
  <c r="S76" i="2"/>
  <c r="R82" i="2"/>
  <c r="R81" i="2"/>
  <c r="R80" i="2"/>
  <c r="R79" i="2"/>
  <c r="R78" i="2"/>
  <c r="R77" i="2"/>
  <c r="R76" i="2"/>
  <c r="Q81" i="2"/>
  <c r="Q80" i="2"/>
  <c r="Q79" i="2"/>
  <c r="Q78" i="2"/>
  <c r="Q77" i="2"/>
  <c r="Q76" i="2"/>
  <c r="P80" i="2"/>
  <c r="P79" i="2"/>
  <c r="P78" i="2"/>
  <c r="P77" i="2"/>
  <c r="P76" i="2"/>
  <c r="O79" i="2"/>
  <c r="O78" i="2"/>
  <c r="O77" i="2"/>
  <c r="O76" i="2"/>
  <c r="N78" i="2"/>
  <c r="N77" i="2"/>
  <c r="N76" i="2"/>
  <c r="M77" i="2"/>
  <c r="M76" i="2"/>
  <c r="L76" i="2"/>
  <c r="V75" i="2"/>
  <c r="U75" i="2"/>
  <c r="T75" i="2"/>
  <c r="S75" i="2"/>
  <c r="R75" i="2"/>
  <c r="Q75" i="2"/>
  <c r="P75" i="2"/>
  <c r="O75" i="2"/>
  <c r="N75" i="2"/>
  <c r="M75" i="2"/>
  <c r="L75" i="2"/>
  <c r="K75" i="2"/>
  <c r="J75" i="2"/>
  <c r="G76" i="2"/>
  <c r="J76" i="2"/>
  <c r="K76" i="2"/>
  <c r="G77" i="2"/>
  <c r="J77" i="2"/>
  <c r="K77" i="2"/>
  <c r="L77" i="2"/>
  <c r="G78" i="2"/>
  <c r="J78" i="2"/>
  <c r="K78" i="2"/>
  <c r="L78" i="2"/>
  <c r="M78" i="2"/>
  <c r="G79" i="2"/>
  <c r="J79" i="2"/>
  <c r="K79" i="2"/>
  <c r="L79" i="2"/>
  <c r="M79" i="2"/>
  <c r="N79" i="2"/>
  <c r="G80" i="2"/>
  <c r="J80" i="2"/>
  <c r="K80" i="2"/>
  <c r="L80" i="2"/>
  <c r="M80" i="2"/>
  <c r="N80" i="2"/>
  <c r="O80" i="2"/>
  <c r="G81" i="2"/>
  <c r="J81" i="2"/>
  <c r="K81" i="2"/>
  <c r="L81" i="2"/>
  <c r="M81" i="2"/>
  <c r="N81" i="2"/>
  <c r="O81" i="2"/>
  <c r="P81" i="2"/>
  <c r="G82" i="2"/>
  <c r="J82" i="2"/>
  <c r="K82" i="2"/>
  <c r="L82" i="2"/>
  <c r="M82" i="2"/>
  <c r="N82" i="2"/>
  <c r="O82" i="2"/>
  <c r="P82" i="2"/>
  <c r="Q82" i="2"/>
  <c r="G83" i="2"/>
  <c r="J83" i="2"/>
  <c r="K83" i="2"/>
  <c r="L83" i="2"/>
  <c r="M83" i="2"/>
  <c r="N83" i="2"/>
  <c r="O83" i="2"/>
  <c r="P83" i="2"/>
  <c r="Q83" i="2"/>
  <c r="R83" i="2"/>
  <c r="G84" i="2"/>
  <c r="J84" i="2"/>
  <c r="K84" i="2"/>
  <c r="L84" i="2"/>
  <c r="M84" i="2"/>
  <c r="N84" i="2"/>
  <c r="O84" i="2"/>
  <c r="P84" i="2"/>
  <c r="Q84" i="2"/>
  <c r="R84" i="2"/>
  <c r="S84" i="2"/>
  <c r="G85" i="2"/>
  <c r="J85" i="2"/>
  <c r="K85" i="2"/>
  <c r="L85" i="2"/>
  <c r="M85" i="2"/>
  <c r="N85" i="2"/>
  <c r="O85" i="2"/>
  <c r="P85" i="2"/>
  <c r="Q85" i="2"/>
  <c r="R85" i="2"/>
  <c r="S85" i="2"/>
  <c r="T85" i="2"/>
  <c r="G86" i="2"/>
  <c r="J86" i="2"/>
  <c r="K86" i="2"/>
  <c r="L86" i="2"/>
  <c r="M86" i="2"/>
  <c r="N86" i="2"/>
  <c r="O86" i="2"/>
  <c r="P86" i="2"/>
  <c r="Q86" i="2"/>
  <c r="R86" i="2"/>
  <c r="S86" i="2"/>
  <c r="T86" i="2"/>
  <c r="U86" i="2"/>
  <c r="AE30" i="2" l="1"/>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42" i="2"/>
  <c r="AG142" i="2" s="1"/>
  <c r="AE141" i="2"/>
  <c r="AG141" i="2" s="1"/>
  <c r="AE134" i="2"/>
  <c r="AG134" i="2" s="1"/>
  <c r="J133" i="2"/>
  <c r="AE143" i="2"/>
  <c r="AG143" i="2" s="1"/>
  <c r="AE146" i="2"/>
  <c r="AG146" i="2" s="1"/>
  <c r="AE151" i="2"/>
  <c r="AG151" i="2" s="1"/>
  <c r="AE136" i="2"/>
  <c r="AG136" i="2" s="1"/>
  <c r="AE139" i="2"/>
  <c r="AG139" i="2" s="1"/>
  <c r="AE147" i="2"/>
  <c r="AG147" i="2" s="1"/>
  <c r="AE150" i="2"/>
  <c r="AG150" i="2" s="1"/>
  <c r="AE135" i="2"/>
  <c r="AG135" i="2" s="1"/>
  <c r="AE148" i="2"/>
  <c r="AG148" i="2" s="1"/>
  <c r="AE149" i="2"/>
  <c r="AG149" i="2" s="1"/>
  <c r="AE144" i="2"/>
  <c r="AG144" i="2" s="1"/>
  <c r="N137" i="2"/>
  <c r="O137" i="2" s="1"/>
  <c r="P137" i="2" s="1"/>
  <c r="Q137" i="2" s="1"/>
  <c r="R137" i="2" s="1"/>
  <c r="S137" i="2" s="1"/>
  <c r="T137" i="2" s="1"/>
  <c r="U137" i="2" s="1"/>
  <c r="V137" i="2" s="1"/>
  <c r="W137" i="2" s="1"/>
  <c r="X137" i="2" s="1"/>
  <c r="Y137" i="2" s="1"/>
  <c r="Z137" i="2" s="1"/>
  <c r="AA137" i="2" s="1"/>
  <c r="AB137" i="2" s="1"/>
  <c r="AC137" i="2" s="1"/>
  <c r="AE138" i="2"/>
  <c r="AG138" i="2" s="1"/>
  <c r="AE140" i="2"/>
  <c r="AG140" i="2" s="1"/>
  <c r="AE145" i="2"/>
  <c r="AG145" i="2" s="1"/>
  <c r="AE152" i="2"/>
  <c r="AG152" i="2" s="1"/>
  <c r="AE137" i="2"/>
  <c r="AG137" i="2" s="1"/>
  <c r="AE200" i="2"/>
  <c r="AG200" i="2" s="1"/>
  <c r="AE195" i="2"/>
  <c r="AG195" i="2" s="1"/>
  <c r="AE202" i="2"/>
  <c r="AG202" i="2" s="1"/>
  <c r="AE205" i="2"/>
  <c r="AG205" i="2" s="1"/>
  <c r="AE210" i="2"/>
  <c r="AG210" i="2" s="1"/>
  <c r="AE198" i="2"/>
  <c r="AG198" i="2" s="1"/>
  <c r="AE206" i="2"/>
  <c r="AG206" i="2" s="1"/>
  <c r="AE209" i="2"/>
  <c r="AG209" i="2" s="1"/>
  <c r="AE194" i="2"/>
  <c r="AG194" i="2" s="1"/>
  <c r="AE207" i="2"/>
  <c r="AG207" i="2" s="1"/>
  <c r="AE208" i="2"/>
  <c r="AG208" i="2" s="1"/>
  <c r="AE192" i="2"/>
  <c r="AG192" i="2" s="1"/>
  <c r="AE193" i="2"/>
  <c r="AG193" i="2" s="1"/>
  <c r="AE203" i="2"/>
  <c r="AG203" i="2" s="1"/>
  <c r="AE197" i="2"/>
  <c r="AG197" i="2" s="1"/>
  <c r="AE201" i="2"/>
  <c r="AG201" i="2" s="1"/>
  <c r="AE199" i="2"/>
  <c r="AG199" i="2" s="1"/>
  <c r="J192" i="2"/>
  <c r="AE204" i="2"/>
  <c r="AG204" i="2" s="1"/>
  <c r="AE211" i="2"/>
  <c r="AG211" i="2" s="1"/>
  <c r="AE196" i="2"/>
  <c r="AG196" i="2" s="1"/>
  <c r="AE100" i="2"/>
  <c r="AG100" i="2" s="1"/>
  <c r="AE99" i="2"/>
  <c r="AG99" i="2" s="1"/>
  <c r="AE102" i="2"/>
  <c r="AG102" i="2" s="1"/>
  <c r="AE105" i="2"/>
  <c r="AG105" i="2" s="1"/>
  <c r="AE110" i="2"/>
  <c r="AG110" i="2" s="1"/>
  <c r="AE95" i="2"/>
  <c r="AG95" i="2" s="1"/>
  <c r="AE98" i="2"/>
  <c r="AG98" i="2" s="1"/>
  <c r="AE106" i="2"/>
  <c r="AG106" i="2" s="1"/>
  <c r="AE109" i="2"/>
  <c r="AG109" i="2" s="1"/>
  <c r="AE94" i="2"/>
  <c r="AG94" i="2" s="1"/>
  <c r="AE107" i="2"/>
  <c r="AG107" i="2" s="1"/>
  <c r="AE108" i="2"/>
  <c r="AG108" i="2" s="1"/>
  <c r="AE92" i="2"/>
  <c r="AG92" i="2" s="1"/>
  <c r="AE93" i="2"/>
  <c r="AG93" i="2" s="1"/>
  <c r="AE103" i="2"/>
  <c r="AG103" i="2" s="1"/>
  <c r="AE97" i="2"/>
  <c r="AG97" i="2" s="1"/>
  <c r="AE101" i="2"/>
  <c r="AG101" i="2" s="1"/>
  <c r="AE104" i="2"/>
  <c r="AG104" i="2" s="1"/>
  <c r="AE111" i="2"/>
  <c r="AG111" i="2" s="1"/>
  <c r="AE96" i="2"/>
  <c r="AG96" i="2" s="1"/>
  <c r="J92"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81" i="2"/>
  <c r="AG81" i="2" s="1"/>
  <c r="AE161" i="2"/>
  <c r="AG161" i="2" s="1"/>
  <c r="AF163" i="2"/>
  <c r="AF242" i="2"/>
  <c r="AF256" i="2"/>
  <c r="AF218" i="2"/>
  <c r="AF59" i="2"/>
  <c r="AF67" i="2"/>
  <c r="AF161" i="2"/>
  <c r="AF239" i="2"/>
  <c r="AE258" i="2"/>
  <c r="AG258" i="2" s="1"/>
  <c r="AE66" i="2"/>
  <c r="AG66" i="2" s="1"/>
  <c r="AE178" i="2"/>
  <c r="AG178" i="2" s="1"/>
  <c r="AE235" i="2"/>
  <c r="AG235" i="2" s="1"/>
  <c r="AF217" i="2"/>
  <c r="AE225" i="2"/>
  <c r="AG225" i="2" s="1"/>
  <c r="AE226" i="2"/>
  <c r="AG226" i="2" s="1"/>
  <c r="AF65" i="2"/>
  <c r="AE121" i="2"/>
  <c r="AG121" i="2" s="1"/>
  <c r="AF80" i="2"/>
  <c r="AF79" i="2"/>
  <c r="AF76" i="2"/>
  <c r="AE128" i="2"/>
  <c r="AG128" i="2" s="1"/>
  <c r="AE181" i="2"/>
  <c r="AG181" i="2" s="1"/>
  <c r="AF224" i="2"/>
  <c r="AE254" i="2"/>
  <c r="AG254" i="2" s="1"/>
  <c r="AE257" i="2"/>
  <c r="AG257" i="2" s="1"/>
  <c r="AF64" i="2"/>
  <c r="AE120" i="2"/>
  <c r="AG120" i="2" s="1"/>
  <c r="AF177" i="2"/>
  <c r="AE260" i="2"/>
  <c r="AG260" i="2" s="1"/>
  <c r="AF121" i="2"/>
  <c r="AE127" i="2"/>
  <c r="AG127" i="2" s="1"/>
  <c r="AE159" i="2"/>
  <c r="AG159" i="2" s="1"/>
  <c r="AE236" i="2"/>
  <c r="AG236" i="2" s="1"/>
  <c r="AE252" i="2"/>
  <c r="AG252" i="2" s="1"/>
  <c r="AF63" i="2"/>
  <c r="AE119" i="2"/>
  <c r="AG119" i="2" s="1"/>
  <c r="AF160" i="2"/>
  <c r="AF75" i="2"/>
  <c r="AE220" i="2"/>
  <c r="AG220" i="2" s="1"/>
  <c r="AF62" i="2"/>
  <c r="AF61" i="2"/>
  <c r="AF118" i="2"/>
  <c r="AF257" i="2"/>
  <c r="AF128" i="2"/>
  <c r="AE224" i="2"/>
  <c r="AG224" i="2" s="1"/>
  <c r="AF240" i="2"/>
  <c r="AF234" i="2"/>
  <c r="AE218" i="2"/>
  <c r="AG218" i="2" s="1"/>
  <c r="AE83" i="2"/>
  <c r="AG83" i="2" s="1"/>
  <c r="AE123" i="2"/>
  <c r="AG123" i="2" s="1"/>
  <c r="AE166" i="2"/>
  <c r="AG166" i="2" s="1"/>
  <c r="AF176" i="2"/>
  <c r="AF222" i="2"/>
  <c r="AF182" i="2"/>
  <c r="AE222" i="2"/>
  <c r="AG222" i="2" s="1"/>
  <c r="AE78" i="2"/>
  <c r="AG78" i="2" s="1"/>
  <c r="AF84" i="2"/>
  <c r="AE180" i="2"/>
  <c r="AG180" i="2" s="1"/>
  <c r="AE76" i="2"/>
  <c r="AG76" i="2" s="1"/>
  <c r="AE60" i="2"/>
  <c r="AG60" i="2" s="1"/>
  <c r="AF69" i="2"/>
  <c r="AF70" i="2"/>
  <c r="AE117" i="2"/>
  <c r="AG117" i="2" s="1"/>
  <c r="AF125" i="2"/>
  <c r="AF127" i="2"/>
  <c r="AE160" i="2"/>
  <c r="AG160" i="2" s="1"/>
  <c r="AF162" i="2"/>
  <c r="AE164" i="2"/>
  <c r="AG164" i="2" s="1"/>
  <c r="AE176" i="2"/>
  <c r="AG176" i="2" s="1"/>
  <c r="AE177" i="2"/>
  <c r="AG177" i="2" s="1"/>
  <c r="AF178" i="2"/>
  <c r="AF179" i="2"/>
  <c r="AF219" i="2"/>
  <c r="AF223" i="2"/>
  <c r="AE234" i="2"/>
  <c r="AG234" i="2" s="1"/>
  <c r="AF237" i="2"/>
  <c r="AF238" i="2"/>
  <c r="AE240" i="2"/>
  <c r="AG240" i="2" s="1"/>
  <c r="AE245" i="2"/>
  <c r="AG245" i="2" s="1"/>
  <c r="AF252" i="2"/>
  <c r="AF253" i="2"/>
  <c r="AE255" i="2"/>
  <c r="AG255" i="2" s="1"/>
  <c r="AE256" i="2"/>
  <c r="AG256" i="2" s="1"/>
  <c r="AE259" i="2"/>
  <c r="AG259" i="2" s="1"/>
  <c r="AF260" i="2"/>
  <c r="AE261" i="2"/>
  <c r="AG261" i="2" s="1"/>
  <c r="AF82" i="2"/>
  <c r="AF83" i="2"/>
  <c r="AE165" i="2"/>
  <c r="AG165" i="2" s="1"/>
  <c r="AE223" i="2"/>
  <c r="AG223" i="2" s="1"/>
  <c r="AE84" i="2"/>
  <c r="AG84" i="2" s="1"/>
  <c r="AE82" i="2"/>
  <c r="AG82" i="2" s="1"/>
  <c r="AE86" i="2"/>
  <c r="AG86" i="2" s="1"/>
  <c r="AF85" i="2"/>
  <c r="AF77" i="2"/>
  <c r="AF68" i="2"/>
  <c r="AE179" i="2"/>
  <c r="AG179" i="2" s="1"/>
  <c r="AE221" i="2"/>
  <c r="AG221" i="2" s="1"/>
  <c r="AE227" i="2"/>
  <c r="AG227" i="2" s="1"/>
  <c r="AE251" i="2"/>
  <c r="AG251" i="2" s="1"/>
  <c r="AF259" i="2"/>
  <c r="AE80" i="2"/>
  <c r="AG80" i="2" s="1"/>
  <c r="AE238" i="2"/>
  <c r="AG238" i="2" s="1"/>
  <c r="AE62" i="2"/>
  <c r="AG62" i="2" s="1"/>
  <c r="AE77" i="2"/>
  <c r="AG77" i="2" s="1"/>
  <c r="AE118" i="2"/>
  <c r="AG118" i="2" s="1"/>
  <c r="AE219" i="2"/>
  <c r="AG219" i="2" s="1"/>
  <c r="AF181" i="2"/>
  <c r="AF258" i="2"/>
  <c r="AF122" i="2"/>
  <c r="AF262" i="2"/>
  <c r="AE61" i="2"/>
  <c r="AG61" i="2" s="1"/>
  <c r="AF180" i="2"/>
  <c r="AF245" i="2"/>
  <c r="AF261" i="2"/>
  <c r="AE59" i="2"/>
  <c r="AG59" i="2" s="1"/>
  <c r="AE75" i="2"/>
  <c r="AG75" i="2" s="1"/>
  <c r="AF81" i="2"/>
  <c r="AE163" i="2"/>
  <c r="AG163" i="2" s="1"/>
  <c r="AE217" i="2"/>
  <c r="AG217" i="2" s="1"/>
  <c r="AF117" i="2"/>
  <c r="AF255" i="2"/>
  <c r="AE187" i="2"/>
  <c r="AG187" i="2" s="1"/>
  <c r="AF227" i="2"/>
  <c r="AF243" i="2"/>
  <c r="AF244" i="2"/>
  <c r="AE70" i="2"/>
  <c r="AG70" i="2" s="1"/>
  <c r="AE162" i="2"/>
  <c r="AG162" i="2" s="1"/>
  <c r="AE244" i="2"/>
  <c r="AG244" i="2" s="1"/>
  <c r="AF159" i="2"/>
  <c r="AF254" i="2"/>
  <c r="AF170" i="2"/>
  <c r="AF186" i="2"/>
  <c r="AF226" i="2"/>
  <c r="AE242" i="2"/>
  <c r="AG242" i="2" s="1"/>
  <c r="AE69" i="2"/>
  <c r="AG69" i="2" s="1"/>
  <c r="AF86" i="2"/>
  <c r="AF164" i="2"/>
  <c r="AF169" i="2"/>
  <c r="AE185" i="2"/>
  <c r="AG185" i="2" s="1"/>
  <c r="AF225" i="2"/>
  <c r="AE241" i="2"/>
  <c r="AG241" i="2" s="1"/>
  <c r="AE237" i="2"/>
  <c r="AG237" i="2" s="1"/>
  <c r="AF236" i="2"/>
  <c r="AF167" i="2"/>
  <c r="AF183" i="2"/>
  <c r="AE239" i="2"/>
  <c r="AG239" i="2" s="1"/>
  <c r="AF168" i="2"/>
  <c r="AF60" i="2"/>
  <c r="AE68" i="2"/>
  <c r="AG68" i="2" s="1"/>
  <c r="AE67" i="2"/>
  <c r="AG67" i="2" s="1"/>
  <c r="AE85" i="2"/>
  <c r="AG85" i="2" s="1"/>
  <c r="AE183" i="2"/>
  <c r="AG183" i="2" s="1"/>
  <c r="AF235" i="2"/>
  <c r="AF126" i="2"/>
  <c r="AF166" i="2"/>
  <c r="AE65" i="2"/>
  <c r="AG65" i="2" s="1"/>
  <c r="AF78" i="2"/>
  <c r="AE169" i="2"/>
  <c r="AG169" i="2" s="1"/>
  <c r="AE182" i="2"/>
  <c r="AG182" i="2" s="1"/>
  <c r="AF119" i="2"/>
  <c r="AF221" i="2"/>
  <c r="AF251" i="2"/>
  <c r="AE125" i="2"/>
  <c r="AG125" i="2" s="1"/>
  <c r="AF165" i="2"/>
  <c r="AE253" i="2"/>
  <c r="AG253" i="2" s="1"/>
  <c r="AF228" i="2"/>
  <c r="AE184" i="2"/>
  <c r="AG184" i="2" s="1"/>
  <c r="AE79" i="2"/>
  <c r="AG79" i="2" s="1"/>
  <c r="AE170" i="2"/>
  <c r="AG170" i="2" s="1"/>
  <c r="AF66" i="2"/>
  <c r="AF120" i="2"/>
  <c r="AE64" i="2"/>
  <c r="AG64" i="2" s="1"/>
  <c r="AE168" i="2"/>
  <c r="AG168" i="2" s="1"/>
  <c r="AF220" i="2"/>
  <c r="AF124" i="2"/>
  <c r="AE63" i="2"/>
  <c r="AG63" i="2" s="1"/>
  <c r="AE167" i="2"/>
  <c r="AG167" i="2" s="1"/>
  <c r="AE262" i="2"/>
  <c r="AG262" i="2" s="1"/>
  <c r="AF123" i="2"/>
  <c r="AF241" i="2"/>
  <c r="AE243" i="2"/>
  <c r="AG243" i="2" s="1"/>
  <c r="AE228" i="2"/>
  <c r="AG228" i="2" s="1"/>
  <c r="AF187" i="2"/>
  <c r="AE186" i="2"/>
  <c r="AG186" i="2" s="1"/>
  <c r="AF185" i="2"/>
  <c r="AF184" i="2"/>
  <c r="AE126" i="2"/>
  <c r="AG126" i="2" s="1"/>
  <c r="AE124" i="2"/>
  <c r="AG124" i="2" s="1"/>
  <c r="AE122" i="2"/>
  <c r="AG122" i="2" s="1"/>
  <c r="K29" i="2" l="1"/>
  <c r="AF29" i="2"/>
  <c r="K133" i="2"/>
  <c r="AF133" i="2"/>
  <c r="K192" i="2"/>
  <c r="AF192" i="2"/>
  <c r="K92" i="2"/>
  <c r="AF92" i="2"/>
  <c r="M6" i="2"/>
  <c r="AF7" i="2"/>
  <c r="L29" i="2" l="1"/>
  <c r="AF30" i="2"/>
  <c r="L133" i="2"/>
  <c r="AF134" i="2"/>
  <c r="L192" i="2"/>
  <c r="AF193" i="2"/>
  <c r="L92" i="2"/>
  <c r="AF93" i="2"/>
  <c r="AF8" i="2"/>
  <c r="N6" i="2"/>
  <c r="M29" i="2" l="1"/>
  <c r="AF31" i="2"/>
  <c r="M133" i="2"/>
  <c r="AF135" i="2"/>
  <c r="M192" i="2"/>
  <c r="AF194" i="2"/>
  <c r="M92" i="2"/>
  <c r="AF94" i="2"/>
  <c r="AF9" i="2"/>
  <c r="O6" i="2"/>
  <c r="AF32" i="2" l="1"/>
  <c r="N29" i="2"/>
  <c r="AF136" i="2"/>
  <c r="N133" i="2"/>
  <c r="AF195" i="2"/>
  <c r="N192" i="2"/>
  <c r="AF95" i="2"/>
  <c r="N92" i="2"/>
  <c r="AF10" i="2"/>
  <c r="P6" i="2"/>
  <c r="AF33" i="2" l="1"/>
  <c r="O29" i="2"/>
  <c r="AF137" i="2"/>
  <c r="O133" i="2"/>
  <c r="AF196" i="2"/>
  <c r="O192" i="2"/>
  <c r="AF96" i="2"/>
  <c r="O92" i="2"/>
  <c r="AF11" i="2"/>
  <c r="Q6" i="2"/>
  <c r="AF34" i="2" l="1"/>
  <c r="P29" i="2"/>
  <c r="P133" i="2"/>
  <c r="AF138" i="2"/>
  <c r="AF197" i="2"/>
  <c r="P192" i="2"/>
  <c r="AF97" i="2"/>
  <c r="P92" i="2"/>
  <c r="AF12" i="2"/>
  <c r="R6" i="2"/>
  <c r="Q29" i="2" l="1"/>
  <c r="AF35" i="2"/>
  <c r="Q133" i="2"/>
  <c r="AF139" i="2"/>
  <c r="Q192" i="2"/>
  <c r="AF198" i="2"/>
  <c r="Q92" i="2"/>
  <c r="AF98" i="2"/>
  <c r="AF13" i="2"/>
  <c r="S6" i="2"/>
  <c r="AF36" i="2" l="1"/>
  <c r="R29" i="2"/>
  <c r="R133" i="2"/>
  <c r="AF140" i="2"/>
  <c r="AF199" i="2"/>
  <c r="R192" i="2"/>
  <c r="AF99" i="2"/>
  <c r="R92" i="2"/>
  <c r="AF14" i="2"/>
  <c r="T6" i="2"/>
  <c r="S29" i="2" l="1"/>
  <c r="AF37" i="2"/>
  <c r="S133" i="2"/>
  <c r="AF141" i="2"/>
  <c r="S192" i="2"/>
  <c r="AF200" i="2"/>
  <c r="S92" i="2"/>
  <c r="AF100" i="2"/>
  <c r="AF15" i="2"/>
  <c r="U6" i="2"/>
  <c r="T29" i="2" l="1"/>
  <c r="AF38" i="2"/>
  <c r="AF142" i="2"/>
  <c r="T133" i="2"/>
  <c r="AF201" i="2"/>
  <c r="T192" i="2"/>
  <c r="AF101" i="2"/>
  <c r="T92" i="2"/>
  <c r="AF16" i="2"/>
  <c r="V6" i="2"/>
  <c r="U29" i="2" l="1"/>
  <c r="AF39" i="2"/>
  <c r="U133" i="2"/>
  <c r="AF143" i="2"/>
  <c r="U192" i="2"/>
  <c r="AF202" i="2"/>
  <c r="AF102" i="2"/>
  <c r="U92" i="2"/>
  <c r="AF17" i="2"/>
  <c r="W6" i="2"/>
  <c r="V29" i="2" l="1"/>
  <c r="AF40" i="2"/>
  <c r="AF144" i="2"/>
  <c r="V133" i="2"/>
  <c r="V192" i="2"/>
  <c r="AF203" i="2"/>
  <c r="V92" i="2"/>
  <c r="AF103" i="2"/>
  <c r="AF18" i="2"/>
  <c r="X6" i="2"/>
  <c r="AF41" i="2" l="1"/>
  <c r="W29" i="2"/>
  <c r="AF145" i="2"/>
  <c r="W133" i="2"/>
  <c r="AF204" i="2"/>
  <c r="W192" i="2"/>
  <c r="AF104" i="2"/>
  <c r="W92" i="2"/>
  <c r="AF19" i="2"/>
  <c r="Y6" i="2"/>
  <c r="X29" i="2" l="1"/>
  <c r="AF42" i="2"/>
  <c r="X133" i="2"/>
  <c r="AF146" i="2"/>
  <c r="X192" i="2"/>
  <c r="AF205" i="2"/>
  <c r="X92" i="2"/>
  <c r="AF105" i="2"/>
  <c r="AF20" i="2"/>
  <c r="Z6" i="2"/>
  <c r="Y29" i="2" l="1"/>
  <c r="AF43" i="2"/>
  <c r="Y133" i="2"/>
  <c r="AF147" i="2"/>
  <c r="Y192" i="2"/>
  <c r="AF206" i="2"/>
  <c r="Y92" i="2"/>
  <c r="AF106" i="2"/>
  <c r="AF21" i="2"/>
  <c r="AA6" i="2"/>
  <c r="AF44" i="2" l="1"/>
  <c r="Z29" i="2"/>
  <c r="AF148" i="2"/>
  <c r="Z133" i="2"/>
  <c r="AF207" i="2"/>
  <c r="Z192" i="2"/>
  <c r="AF107" i="2"/>
  <c r="Z92" i="2"/>
  <c r="AF22" i="2"/>
  <c r="AB6" i="2"/>
  <c r="AF45" i="2" l="1"/>
  <c r="AA29" i="2"/>
  <c r="AF149" i="2"/>
  <c r="AA133" i="2"/>
  <c r="AF208" i="2"/>
  <c r="AA192" i="2"/>
  <c r="AF108" i="2"/>
  <c r="AA92" i="2"/>
  <c r="AF23" i="2"/>
  <c r="AC6" i="2"/>
  <c r="AF24" i="2" s="1"/>
  <c r="AF46" i="2" l="1"/>
  <c r="AB29" i="2"/>
  <c r="AF150" i="2"/>
  <c r="AB133" i="2"/>
  <c r="AF209" i="2"/>
  <c r="AB192" i="2"/>
  <c r="AF109" i="2"/>
  <c r="AB92" i="2"/>
  <c r="AC29" i="2" l="1"/>
  <c r="AF48" i="2" s="1"/>
  <c r="AF47" i="2"/>
  <c r="AC133" i="2"/>
  <c r="AF152" i="2" s="1"/>
  <c r="AF151" i="2"/>
  <c r="AC192" i="2"/>
  <c r="AF211" i="2" s="1"/>
  <c r="AF210" i="2"/>
  <c r="AC92" i="2"/>
  <c r="AF111" i="2" s="1"/>
  <c r="AF110" i="2"/>
</calcChain>
</file>

<file path=xl/sharedStrings.xml><?xml version="1.0" encoding="utf-8"?>
<sst xmlns="http://purl.oclc.org/ooxml/spreadsheetml/main" count="4159" uniqueCount="493">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</sst>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AI1" workbookViewId="0">
      <pane ySplit="1" topLeftCell="A2" activePane="bottomLeft" state="frozen"/>
      <selection pane="bottomLeft" activeCell="AS14" sqref="AS14:AU25"/>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22150000</v>
      </c>
      <c r="AT19" s="3">
        <v>278750000</v>
      </c>
      <c r="AU19" s="3">
        <v>10850000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62"/>
  <sheetViews>
    <sheetView topLeftCell="O15" workbookViewId="0">
      <selection activeCell="AE37" sqref="AE37:AG48"/>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2:33" ht="18" customHeight="1" x14ac:dyDescent="0.2"/>
    <row r="50" spans="2:33" ht="18" customHeight="1" x14ac:dyDescent="0.2"/>
    <row r="51" spans="2:33" ht="18" customHeight="1" x14ac:dyDescent="0.2"/>
    <row r="52" spans="2:33" ht="18" customHeight="1" x14ac:dyDescent="0.2"/>
    <row r="53" spans="2:33" ht="18" customHeight="1" x14ac:dyDescent="0.2"/>
    <row r="54" spans="2:33" ht="18" customHeight="1" x14ac:dyDescent="0.2"/>
    <row r="55" spans="2:33" ht="18" customHeight="1" x14ac:dyDescent="0.2"/>
    <row r="56" spans="2:33" x14ac:dyDescent="0.2">
      <c r="C56" t="s">
        <v>77</v>
      </c>
    </row>
    <row r="57" spans="2:33" x14ac:dyDescent="0.2">
      <c r="C57" s="6" t="s">
        <v>107</v>
      </c>
      <c r="D57" s="6" t="s">
        <v>438</v>
      </c>
      <c r="E57" s="6" t="s">
        <v>439</v>
      </c>
      <c r="F57" s="6" t="s">
        <v>440</v>
      </c>
      <c r="G57" s="6" t="s">
        <v>441</v>
      </c>
      <c r="H57" s="6" t="s">
        <v>442</v>
      </c>
      <c r="I57" s="15"/>
      <c r="J57" s="6" t="s">
        <v>443</v>
      </c>
      <c r="K57" s="6" t="s">
        <v>444</v>
      </c>
      <c r="L57" s="6" t="s">
        <v>445</v>
      </c>
      <c r="M57" s="6" t="s">
        <v>446</v>
      </c>
      <c r="N57" s="6" t="s">
        <v>447</v>
      </c>
      <c r="O57" s="6" t="s">
        <v>448</v>
      </c>
      <c r="P57" s="6" t="s">
        <v>449</v>
      </c>
      <c r="Q57" s="6" t="s">
        <v>450</v>
      </c>
      <c r="R57" s="6" t="s">
        <v>451</v>
      </c>
      <c r="S57" s="6" t="s">
        <v>452</v>
      </c>
      <c r="T57" s="6" t="s">
        <v>453</v>
      </c>
      <c r="U57" s="6" t="s">
        <v>454</v>
      </c>
      <c r="V57" s="6" t="s">
        <v>455</v>
      </c>
      <c r="W57" s="6" t="s">
        <v>456</v>
      </c>
      <c r="X57" s="6" t="s">
        <v>457</v>
      </c>
      <c r="Y57" s="6" t="s">
        <v>458</v>
      </c>
      <c r="Z57" s="6" t="s">
        <v>459</v>
      </c>
      <c r="AA57" s="6" t="s">
        <v>460</v>
      </c>
      <c r="AB57" s="6" t="s">
        <v>461</v>
      </c>
      <c r="AC57" s="6" t="s">
        <v>462</v>
      </c>
      <c r="AD57" s="15"/>
      <c r="AE57" s="6" t="s">
        <v>106</v>
      </c>
      <c r="AF57" s="6" t="s">
        <v>105</v>
      </c>
      <c r="AG57" s="6" t="s">
        <v>463</v>
      </c>
    </row>
    <row r="58" spans="2:33" x14ac:dyDescent="0.2">
      <c r="C58" s="16" t="s">
        <v>464</v>
      </c>
      <c r="J58" s="17">
        <v>20</v>
      </c>
      <c r="K58" s="17">
        <v>19</v>
      </c>
      <c r="L58" s="17">
        <v>18</v>
      </c>
      <c r="M58" s="17">
        <v>17</v>
      </c>
      <c r="N58" s="17">
        <v>16</v>
      </c>
      <c r="O58" s="17">
        <v>15</v>
      </c>
      <c r="P58" s="17">
        <v>14</v>
      </c>
      <c r="Q58" s="17">
        <v>13</v>
      </c>
      <c r="R58" s="17">
        <v>12</v>
      </c>
      <c r="S58" s="17">
        <v>11</v>
      </c>
      <c r="T58" s="17">
        <v>10</v>
      </c>
      <c r="U58" s="17">
        <v>9</v>
      </c>
      <c r="V58" s="17">
        <v>8</v>
      </c>
      <c r="W58" s="17">
        <v>7</v>
      </c>
      <c r="X58" s="17">
        <v>6</v>
      </c>
      <c r="Y58" s="17">
        <v>5</v>
      </c>
      <c r="Z58" s="17">
        <v>4</v>
      </c>
      <c r="AA58" s="17">
        <v>3</v>
      </c>
      <c r="AB58" s="17">
        <v>2</v>
      </c>
      <c r="AC58" s="17">
        <v>1</v>
      </c>
    </row>
    <row r="59" spans="2:33" x14ac:dyDescent="0.2">
      <c r="B59" t="s">
        <v>77</v>
      </c>
      <c r="C59" s="18" t="s">
        <v>104</v>
      </c>
      <c r="D59" s="4">
        <v>113000000</v>
      </c>
      <c r="E59" s="4">
        <v>124000000</v>
      </c>
      <c r="F59" s="4">
        <v>124000000</v>
      </c>
      <c r="G59" s="19">
        <v>20</v>
      </c>
      <c r="H59" s="4">
        <v>33000000</v>
      </c>
      <c r="J59" s="20">
        <f t="shared" ref="J59:J70" si="31">H59</f>
        <v>33000000</v>
      </c>
      <c r="K59" s="20">
        <f>$F59/4</f>
        <v>31000000</v>
      </c>
      <c r="L59" s="20">
        <f>$F59/4</f>
        <v>31000000</v>
      </c>
      <c r="M59" s="20">
        <f>$F59/4</f>
        <v>31000000</v>
      </c>
      <c r="N59" s="20">
        <f>$F59/4</f>
        <v>31000000</v>
      </c>
      <c r="O59" s="20">
        <f>$E59/4</f>
        <v>31000000</v>
      </c>
      <c r="P59" s="20">
        <f>$E59/4</f>
        <v>31000000</v>
      </c>
      <c r="Q59" s="20">
        <f>$E59/4</f>
        <v>31000000</v>
      </c>
      <c r="R59" s="20">
        <f>$E59/4</f>
        <v>31000000</v>
      </c>
      <c r="S59" s="20">
        <f>$D59/4</f>
        <v>28250000</v>
      </c>
      <c r="T59" s="20">
        <f>$D59/4</f>
        <v>28250000</v>
      </c>
      <c r="U59" s="20">
        <f>$D59/4</f>
        <v>28250000</v>
      </c>
      <c r="V59" s="20">
        <f>$D59/4</f>
        <v>28250000</v>
      </c>
      <c r="W59" s="20">
        <v>0</v>
      </c>
      <c r="X59" s="20">
        <v>0</v>
      </c>
      <c r="Y59" s="20">
        <v>0</v>
      </c>
      <c r="Z59" s="20">
        <v>0</v>
      </c>
      <c r="AA59" s="20">
        <v>0</v>
      </c>
      <c r="AB59" s="20">
        <v>0</v>
      </c>
      <c r="AC59" s="20">
        <v>0</v>
      </c>
      <c r="AE59" s="21">
        <f>SUM(J59:AC59)/$G59</f>
        <v>19700000</v>
      </c>
      <c r="AF59" s="21">
        <f>SUMPRODUCT($J$58:$AC$58,J59:AC59)/$G59</f>
        <v>278875000</v>
      </c>
      <c r="AG59" s="21">
        <f t="shared" ref="AG59:AG70" si="32">H59-AE59</f>
        <v>13300000</v>
      </c>
    </row>
    <row r="60" spans="2:33" x14ac:dyDescent="0.2">
      <c r="B60" t="s">
        <v>77</v>
      </c>
      <c r="C60" s="18" t="s">
        <v>103</v>
      </c>
      <c r="D60" s="22">
        <f>$D59</f>
        <v>113000000</v>
      </c>
      <c r="E60" s="22">
        <f>$E59</f>
        <v>124000000</v>
      </c>
      <c r="F60" s="22">
        <f>$F59</f>
        <v>124000000</v>
      </c>
      <c r="G60" s="23">
        <f>$G$59</f>
        <v>20</v>
      </c>
      <c r="H60" s="4">
        <v>32000000</v>
      </c>
      <c r="J60" s="20">
        <f t="shared" si="31"/>
        <v>32000000</v>
      </c>
      <c r="K60" s="20">
        <f t="shared" ref="K60:K70" si="33">H59</f>
        <v>33000000</v>
      </c>
      <c r="L60" s="20">
        <f>$F59/4</f>
        <v>31000000</v>
      </c>
      <c r="M60" s="20">
        <f>$F59/4</f>
        <v>31000000</v>
      </c>
      <c r="N60" s="20">
        <f>$F59/4</f>
        <v>31000000</v>
      </c>
      <c r="O60" s="20">
        <f>$F59/4</f>
        <v>31000000</v>
      </c>
      <c r="P60" s="20">
        <f>$E59/4</f>
        <v>31000000</v>
      </c>
      <c r="Q60" s="20">
        <f>$E59/4</f>
        <v>31000000</v>
      </c>
      <c r="R60" s="20">
        <f>$E59/4</f>
        <v>31000000</v>
      </c>
      <c r="S60" s="20">
        <f>$E59/4</f>
        <v>31000000</v>
      </c>
      <c r="T60" s="20">
        <f>$D59/4</f>
        <v>28250000</v>
      </c>
      <c r="U60" s="20">
        <f>$D59/4</f>
        <v>28250000</v>
      </c>
      <c r="V60" s="20">
        <f>$D59/4</f>
        <v>28250000</v>
      </c>
      <c r="W60" s="20">
        <f>$D59/4</f>
        <v>28250000</v>
      </c>
      <c r="X60" s="20">
        <v>0</v>
      </c>
      <c r="Y60" s="20">
        <v>0</v>
      </c>
      <c r="Z60" s="20">
        <v>0</v>
      </c>
      <c r="AA60" s="20">
        <v>0</v>
      </c>
      <c r="AB60" s="20">
        <v>0</v>
      </c>
      <c r="AC60" s="20">
        <v>0</v>
      </c>
      <c r="AE60" s="21">
        <f t="shared" ref="AE60:AE70" si="34">SUM(J60:AC60)/$G60</f>
        <v>21300000</v>
      </c>
      <c r="AF60" s="21">
        <f t="shared" ref="AF60:AF70" si="35">SUMPRODUCT($J$58:$AC$58,J60:AC60)/$G60</f>
        <v>291175000</v>
      </c>
      <c r="AG60" s="21">
        <f t="shared" si="32"/>
        <v>10700000</v>
      </c>
    </row>
    <row r="61" spans="2:33" x14ac:dyDescent="0.2">
      <c r="B61" t="s">
        <v>77</v>
      </c>
      <c r="C61" s="18" t="s">
        <v>102</v>
      </c>
      <c r="D61" s="22">
        <f>$D59</f>
        <v>113000000</v>
      </c>
      <c r="E61" s="22">
        <f>$E59</f>
        <v>124000000</v>
      </c>
      <c r="F61" s="22">
        <f>$F59</f>
        <v>124000000</v>
      </c>
      <c r="G61" s="23">
        <f t="shared" ref="G61:G70" si="36">$G$59</f>
        <v>20</v>
      </c>
      <c r="H61" s="4">
        <v>31000000</v>
      </c>
      <c r="J61" s="20">
        <f t="shared" si="31"/>
        <v>31000000</v>
      </c>
      <c r="K61" s="20">
        <f t="shared" si="33"/>
        <v>32000000</v>
      </c>
      <c r="L61" s="20">
        <f t="shared" ref="L61:L70" si="37">H59</f>
        <v>33000000</v>
      </c>
      <c r="M61" s="20">
        <f>$F59/4</f>
        <v>31000000</v>
      </c>
      <c r="N61" s="20">
        <f>$F59/4</f>
        <v>31000000</v>
      </c>
      <c r="O61" s="20">
        <f>$F59/4</f>
        <v>31000000</v>
      </c>
      <c r="P61" s="20">
        <f>$F59/4</f>
        <v>31000000</v>
      </c>
      <c r="Q61" s="20">
        <f>$E59/4</f>
        <v>31000000</v>
      </c>
      <c r="R61" s="20">
        <f>$E59/4</f>
        <v>31000000</v>
      </c>
      <c r="S61" s="20">
        <f>$E59/4</f>
        <v>31000000</v>
      </c>
      <c r="T61" s="20">
        <f>$E59/4</f>
        <v>31000000</v>
      </c>
      <c r="U61" s="20">
        <f>$D59/4</f>
        <v>28250000</v>
      </c>
      <c r="V61" s="20">
        <f>$D59/4</f>
        <v>28250000</v>
      </c>
      <c r="W61" s="20">
        <f>$D59/4</f>
        <v>28250000</v>
      </c>
      <c r="X61" s="20">
        <f>$D59/4</f>
        <v>28250000</v>
      </c>
      <c r="Y61" s="20">
        <v>0</v>
      </c>
      <c r="Z61" s="20">
        <v>0</v>
      </c>
      <c r="AA61" s="20">
        <v>0</v>
      </c>
      <c r="AB61" s="20">
        <v>0</v>
      </c>
      <c r="AC61" s="20">
        <v>0</v>
      </c>
      <c r="AE61" s="21">
        <f t="shared" si="34"/>
        <v>22850000</v>
      </c>
      <c r="AF61" s="21">
        <f t="shared" si="35"/>
        <v>300875000</v>
      </c>
      <c r="AG61" s="21">
        <f t="shared" si="32"/>
        <v>8150000</v>
      </c>
    </row>
    <row r="62" spans="2:33" x14ac:dyDescent="0.2">
      <c r="B62" t="s">
        <v>77</v>
      </c>
      <c r="C62" s="18" t="s">
        <v>101</v>
      </c>
      <c r="D62" s="22">
        <f>$D59</f>
        <v>113000000</v>
      </c>
      <c r="E62" s="22">
        <f>$E59</f>
        <v>124000000</v>
      </c>
      <c r="F62" s="22">
        <f>$F59</f>
        <v>124000000</v>
      </c>
      <c r="G62" s="23">
        <f t="shared" si="36"/>
        <v>20</v>
      </c>
      <c r="H62" s="4">
        <v>34000000</v>
      </c>
      <c r="J62" s="20">
        <f t="shared" si="31"/>
        <v>34000000</v>
      </c>
      <c r="K62" s="20">
        <f t="shared" si="33"/>
        <v>31000000</v>
      </c>
      <c r="L62" s="20">
        <f t="shared" si="37"/>
        <v>32000000</v>
      </c>
      <c r="M62" s="20">
        <f t="shared" ref="M62:M70" si="38">H59</f>
        <v>33000000</v>
      </c>
      <c r="N62" s="20">
        <f>$F59/4</f>
        <v>31000000</v>
      </c>
      <c r="O62" s="20">
        <f>$F59/4</f>
        <v>31000000</v>
      </c>
      <c r="P62" s="20">
        <f>$F59/4</f>
        <v>31000000</v>
      </c>
      <c r="Q62" s="20">
        <f>$F59/4</f>
        <v>31000000</v>
      </c>
      <c r="R62" s="20">
        <f>$E59/4</f>
        <v>31000000</v>
      </c>
      <c r="S62" s="20">
        <f>$E59/4</f>
        <v>31000000</v>
      </c>
      <c r="T62" s="20">
        <f>$E59/4</f>
        <v>31000000</v>
      </c>
      <c r="U62" s="20">
        <f>$E59/4</f>
        <v>31000000</v>
      </c>
      <c r="V62" s="20">
        <f>$D59/4</f>
        <v>28250000</v>
      </c>
      <c r="W62" s="20">
        <f>$D59/4</f>
        <v>28250000</v>
      </c>
      <c r="X62" s="20">
        <f>$D59/4</f>
        <v>28250000</v>
      </c>
      <c r="Y62" s="20">
        <f>$D59/4</f>
        <v>28250000</v>
      </c>
      <c r="Z62" s="20">
        <v>0</v>
      </c>
      <c r="AA62" s="20">
        <v>0</v>
      </c>
      <c r="AB62" s="20">
        <v>0</v>
      </c>
      <c r="AC62" s="20">
        <v>0</v>
      </c>
      <c r="AE62" s="21">
        <f t="shared" si="34"/>
        <v>24550000</v>
      </c>
      <c r="AF62" s="21">
        <f t="shared" si="35"/>
        <v>312025000</v>
      </c>
      <c r="AG62" s="21">
        <f t="shared" si="32"/>
        <v>9450000</v>
      </c>
    </row>
    <row r="63" spans="2:33" x14ac:dyDescent="0.2">
      <c r="B63" t="s">
        <v>77</v>
      </c>
      <c r="C63" s="18" t="s">
        <v>100</v>
      </c>
      <c r="D63" s="22">
        <f>$D59</f>
        <v>113000000</v>
      </c>
      <c r="E63" s="22">
        <f>$E59</f>
        <v>124000000</v>
      </c>
      <c r="F63" s="22">
        <f>$F59</f>
        <v>124000000</v>
      </c>
      <c r="G63" s="23">
        <f t="shared" si="36"/>
        <v>20</v>
      </c>
      <c r="H63" s="4">
        <v>32000000</v>
      </c>
      <c r="J63" s="20">
        <f t="shared" si="31"/>
        <v>32000000</v>
      </c>
      <c r="K63" s="20">
        <f t="shared" si="33"/>
        <v>34000000</v>
      </c>
      <c r="L63" s="20">
        <f t="shared" si="37"/>
        <v>31000000</v>
      </c>
      <c r="M63" s="20">
        <f t="shared" si="38"/>
        <v>32000000</v>
      </c>
      <c r="N63" s="20">
        <f t="shared" ref="N63:N70" si="39">H59</f>
        <v>33000000</v>
      </c>
      <c r="O63" s="20">
        <f>$F59/4</f>
        <v>31000000</v>
      </c>
      <c r="P63" s="20">
        <f>$F59/4</f>
        <v>31000000</v>
      </c>
      <c r="Q63" s="20">
        <f>$F59/4</f>
        <v>31000000</v>
      </c>
      <c r="R63" s="20">
        <f>$F59/4</f>
        <v>31000000</v>
      </c>
      <c r="S63" s="20">
        <f>$E59/4</f>
        <v>31000000</v>
      </c>
      <c r="T63" s="20">
        <f>$E59/4</f>
        <v>31000000</v>
      </c>
      <c r="U63" s="20">
        <f>$E59/4</f>
        <v>31000000</v>
      </c>
      <c r="V63" s="20">
        <f>$E59/4</f>
        <v>31000000</v>
      </c>
      <c r="W63" s="20">
        <f>$D59/4</f>
        <v>28250000</v>
      </c>
      <c r="X63" s="20">
        <f>$D59/4</f>
        <v>28250000</v>
      </c>
      <c r="Y63" s="20">
        <f>$D59/4</f>
        <v>28250000</v>
      </c>
      <c r="Z63" s="20">
        <f>$D59/4</f>
        <v>28250000</v>
      </c>
      <c r="AA63" s="20">
        <v>0</v>
      </c>
      <c r="AB63" s="20">
        <v>0</v>
      </c>
      <c r="AC63" s="20">
        <v>0</v>
      </c>
      <c r="AE63" s="21">
        <f t="shared" si="34"/>
        <v>26150000</v>
      </c>
      <c r="AF63" s="21">
        <f t="shared" si="35"/>
        <v>319475000</v>
      </c>
      <c r="AG63" s="21">
        <f t="shared" si="32"/>
        <v>5850000</v>
      </c>
    </row>
    <row r="64" spans="2:33" x14ac:dyDescent="0.2">
      <c r="B64" t="s">
        <v>77</v>
      </c>
      <c r="C64" s="18" t="s">
        <v>99</v>
      </c>
      <c r="D64" s="22">
        <f>$D59</f>
        <v>113000000</v>
      </c>
      <c r="E64" s="22">
        <f>$E59</f>
        <v>124000000</v>
      </c>
      <c r="F64" s="22">
        <f>$F59</f>
        <v>124000000</v>
      </c>
      <c r="G64" s="23">
        <f t="shared" si="36"/>
        <v>20</v>
      </c>
      <c r="H64" s="4">
        <v>33000000</v>
      </c>
      <c r="J64" s="20">
        <f t="shared" si="31"/>
        <v>33000000</v>
      </c>
      <c r="K64" s="20">
        <f t="shared" si="33"/>
        <v>32000000</v>
      </c>
      <c r="L64" s="20">
        <f t="shared" si="37"/>
        <v>34000000</v>
      </c>
      <c r="M64" s="20">
        <f t="shared" si="38"/>
        <v>31000000</v>
      </c>
      <c r="N64" s="20">
        <f t="shared" si="39"/>
        <v>32000000</v>
      </c>
      <c r="O64" s="20">
        <f t="shared" ref="O64:O70" si="40">H59</f>
        <v>33000000</v>
      </c>
      <c r="P64" s="20">
        <f>$F59/4</f>
        <v>31000000</v>
      </c>
      <c r="Q64" s="20">
        <f>$F59/4</f>
        <v>31000000</v>
      </c>
      <c r="R64" s="20">
        <f>$F59/4</f>
        <v>31000000</v>
      </c>
      <c r="S64" s="20">
        <f>$F59/4</f>
        <v>31000000</v>
      </c>
      <c r="T64" s="20">
        <f>$E59/4</f>
        <v>31000000</v>
      </c>
      <c r="U64" s="20">
        <f>$E59/4</f>
        <v>31000000</v>
      </c>
      <c r="V64" s="20">
        <f>$E59/4</f>
        <v>31000000</v>
      </c>
      <c r="W64" s="20">
        <f>$E59/4</f>
        <v>31000000</v>
      </c>
      <c r="X64" s="20">
        <f>$D59/4</f>
        <v>28250000</v>
      </c>
      <c r="Y64" s="20">
        <f>$D59/4</f>
        <v>28250000</v>
      </c>
      <c r="Z64" s="20">
        <f>$D59/4</f>
        <v>28250000</v>
      </c>
      <c r="AA64" s="20">
        <f>$D59/4</f>
        <v>28250000</v>
      </c>
      <c r="AB64" s="20">
        <v>0</v>
      </c>
      <c r="AC64" s="20">
        <v>0</v>
      </c>
      <c r="AE64" s="21">
        <f t="shared" si="34"/>
        <v>27800000</v>
      </c>
      <c r="AF64" s="21">
        <f t="shared" si="35"/>
        <v>326325000</v>
      </c>
      <c r="AG64" s="21">
        <f t="shared" si="32"/>
        <v>5200000</v>
      </c>
    </row>
    <row r="65" spans="2:33" x14ac:dyDescent="0.2">
      <c r="B65" t="s">
        <v>77</v>
      </c>
      <c r="C65" s="18" t="s">
        <v>98</v>
      </c>
      <c r="D65" s="22">
        <f>$D59</f>
        <v>113000000</v>
      </c>
      <c r="E65" s="22">
        <f>$E59</f>
        <v>124000000</v>
      </c>
      <c r="F65" s="22">
        <f>$F59</f>
        <v>124000000</v>
      </c>
      <c r="G65" s="23">
        <f t="shared" si="36"/>
        <v>20</v>
      </c>
      <c r="H65" s="4">
        <v>31000000</v>
      </c>
      <c r="J65" s="20">
        <f t="shared" si="31"/>
        <v>31000000</v>
      </c>
      <c r="K65" s="20">
        <f t="shared" si="33"/>
        <v>33000000</v>
      </c>
      <c r="L65" s="20">
        <f t="shared" si="37"/>
        <v>32000000</v>
      </c>
      <c r="M65" s="20">
        <f t="shared" si="38"/>
        <v>34000000</v>
      </c>
      <c r="N65" s="20">
        <f t="shared" si="39"/>
        <v>31000000</v>
      </c>
      <c r="O65" s="20">
        <f t="shared" si="40"/>
        <v>32000000</v>
      </c>
      <c r="P65" s="20">
        <f t="shared" ref="P65:P70" si="41">H59</f>
        <v>33000000</v>
      </c>
      <c r="Q65" s="20">
        <f>$F59/4</f>
        <v>31000000</v>
      </c>
      <c r="R65" s="20">
        <f>$F59/4</f>
        <v>31000000</v>
      </c>
      <c r="S65" s="20">
        <f>$F59/4</f>
        <v>31000000</v>
      </c>
      <c r="T65" s="20">
        <f>$F59/4</f>
        <v>31000000</v>
      </c>
      <c r="U65" s="20">
        <f>$E59/4</f>
        <v>31000000</v>
      </c>
      <c r="V65" s="20">
        <f>$E59/4</f>
        <v>31000000</v>
      </c>
      <c r="W65" s="20">
        <f>$E59/4</f>
        <v>31000000</v>
      </c>
      <c r="X65" s="20">
        <f>$E59/4</f>
        <v>31000000</v>
      </c>
      <c r="Y65" s="20">
        <f>$D59/4</f>
        <v>28250000</v>
      </c>
      <c r="Z65" s="20">
        <f>$D59/4</f>
        <v>28250000</v>
      </c>
      <c r="AA65" s="20">
        <f>$D59/4</f>
        <v>28250000</v>
      </c>
      <c r="AB65" s="20">
        <f>$D59/4</f>
        <v>28250000</v>
      </c>
      <c r="AC65" s="20">
        <v>0</v>
      </c>
      <c r="AE65" s="21">
        <f t="shared" si="34"/>
        <v>29350000</v>
      </c>
      <c r="AF65" s="21">
        <f t="shared" si="35"/>
        <v>329525000</v>
      </c>
      <c r="AG65" s="21">
        <f t="shared" si="32"/>
        <v>1650000</v>
      </c>
    </row>
    <row r="66" spans="2:33" x14ac:dyDescent="0.2">
      <c r="B66" t="s">
        <v>77</v>
      </c>
      <c r="C66" s="18" t="s">
        <v>97</v>
      </c>
      <c r="D66" s="22">
        <f>$D59</f>
        <v>113000000</v>
      </c>
      <c r="E66" s="22">
        <f>$E59</f>
        <v>124000000</v>
      </c>
      <c r="F66" s="22">
        <f>$F59</f>
        <v>124000000</v>
      </c>
      <c r="G66" s="23">
        <f t="shared" si="36"/>
        <v>20</v>
      </c>
      <c r="H66" s="4">
        <v>39000000</v>
      </c>
      <c r="J66" s="20">
        <f t="shared" si="31"/>
        <v>39000000</v>
      </c>
      <c r="K66" s="20">
        <f t="shared" si="33"/>
        <v>31000000</v>
      </c>
      <c r="L66" s="20">
        <f t="shared" si="37"/>
        <v>33000000</v>
      </c>
      <c r="M66" s="20">
        <f t="shared" si="38"/>
        <v>32000000</v>
      </c>
      <c r="N66" s="20">
        <f t="shared" si="39"/>
        <v>34000000</v>
      </c>
      <c r="O66" s="20">
        <f t="shared" si="40"/>
        <v>31000000</v>
      </c>
      <c r="P66" s="20">
        <f t="shared" si="41"/>
        <v>32000000</v>
      </c>
      <c r="Q66" s="20">
        <f>H59</f>
        <v>33000000</v>
      </c>
      <c r="R66" s="20">
        <f>$F59/4</f>
        <v>31000000</v>
      </c>
      <c r="S66" s="20">
        <f>$F59/4</f>
        <v>31000000</v>
      </c>
      <c r="T66" s="20">
        <f>$F59/4</f>
        <v>31000000</v>
      </c>
      <c r="U66" s="20">
        <f>$F59/4</f>
        <v>31000000</v>
      </c>
      <c r="V66" s="20">
        <f>$E59/4</f>
        <v>31000000</v>
      </c>
      <c r="W66" s="20">
        <f>$E59/4</f>
        <v>31000000</v>
      </c>
      <c r="X66" s="20">
        <f>$E59/4</f>
        <v>31000000</v>
      </c>
      <c r="Y66" s="20">
        <f>$E59/4</f>
        <v>31000000</v>
      </c>
      <c r="Z66" s="20">
        <f>$D59/4</f>
        <v>28250000</v>
      </c>
      <c r="AA66" s="20">
        <f>$D59/4</f>
        <v>28250000</v>
      </c>
      <c r="AB66" s="20">
        <f>$D59/4</f>
        <v>28250000</v>
      </c>
      <c r="AC66" s="20">
        <f>$D59/4</f>
        <v>28250000</v>
      </c>
      <c r="AE66" s="21">
        <f t="shared" si="34"/>
        <v>31300000</v>
      </c>
      <c r="AF66" s="21">
        <f t="shared" si="35"/>
        <v>339175000</v>
      </c>
      <c r="AG66" s="21">
        <f t="shared" si="32"/>
        <v>7700000</v>
      </c>
    </row>
    <row r="67" spans="2:33" x14ac:dyDescent="0.2">
      <c r="B67" t="s">
        <v>77</v>
      </c>
      <c r="C67" s="18" t="s">
        <v>96</v>
      </c>
      <c r="D67" s="22">
        <f>$D59</f>
        <v>113000000</v>
      </c>
      <c r="E67" s="22">
        <f>$E59</f>
        <v>124000000</v>
      </c>
      <c r="F67" s="22">
        <f>$F59</f>
        <v>124000000</v>
      </c>
      <c r="G67" s="23">
        <f t="shared" si="36"/>
        <v>20</v>
      </c>
      <c r="H67" s="4">
        <v>34000000</v>
      </c>
      <c r="J67" s="20">
        <f t="shared" si="31"/>
        <v>34000000</v>
      </c>
      <c r="K67" s="20">
        <f t="shared" si="33"/>
        <v>39000000</v>
      </c>
      <c r="L67" s="20">
        <f t="shared" si="37"/>
        <v>31000000</v>
      </c>
      <c r="M67" s="20">
        <f t="shared" si="38"/>
        <v>33000000</v>
      </c>
      <c r="N67" s="20">
        <f t="shared" si="39"/>
        <v>32000000</v>
      </c>
      <c r="O67" s="20">
        <f t="shared" si="40"/>
        <v>34000000</v>
      </c>
      <c r="P67" s="20">
        <f t="shared" si="41"/>
        <v>31000000</v>
      </c>
      <c r="Q67" s="20">
        <f>H60</f>
        <v>32000000</v>
      </c>
      <c r="R67" s="20">
        <f>H59</f>
        <v>33000000</v>
      </c>
      <c r="S67" s="20">
        <f>$F59/4</f>
        <v>31000000</v>
      </c>
      <c r="T67" s="20">
        <f>$F59/4</f>
        <v>31000000</v>
      </c>
      <c r="U67" s="20">
        <f>$F59/4</f>
        <v>31000000</v>
      </c>
      <c r="V67" s="20">
        <f>$F59/4</f>
        <v>31000000</v>
      </c>
      <c r="W67" s="20">
        <f>$E59/4</f>
        <v>31000000</v>
      </c>
      <c r="X67" s="20">
        <f>$E59/4</f>
        <v>31000000</v>
      </c>
      <c r="Y67" s="20">
        <f>$E59/4</f>
        <v>31000000</v>
      </c>
      <c r="Z67" s="20">
        <f>$E59/4</f>
        <v>31000000</v>
      </c>
      <c r="AA67" s="20">
        <f>$D59/4</f>
        <v>28250000</v>
      </c>
      <c r="AB67" s="20">
        <f>$D59/4</f>
        <v>28250000</v>
      </c>
      <c r="AC67" s="20">
        <f>$D59/4</f>
        <v>28250000</v>
      </c>
      <c r="AE67" s="21">
        <f t="shared" si="34"/>
        <v>31587500</v>
      </c>
      <c r="AF67" s="21">
        <f t="shared" si="35"/>
        <v>341875000</v>
      </c>
      <c r="AG67" s="21">
        <f t="shared" si="32"/>
        <v>2412500</v>
      </c>
    </row>
    <row r="68" spans="2:33" x14ac:dyDescent="0.2">
      <c r="B68" t="s">
        <v>77</v>
      </c>
      <c r="C68" s="18" t="s">
        <v>95</v>
      </c>
      <c r="D68" s="22">
        <f>$D59</f>
        <v>113000000</v>
      </c>
      <c r="E68" s="22">
        <f>$E59</f>
        <v>124000000</v>
      </c>
      <c r="F68" s="22">
        <f>$F59</f>
        <v>124000000</v>
      </c>
      <c r="G68" s="23">
        <f t="shared" si="36"/>
        <v>20</v>
      </c>
      <c r="H68" s="4">
        <v>35000000</v>
      </c>
      <c r="J68" s="20">
        <f t="shared" si="31"/>
        <v>35000000</v>
      </c>
      <c r="K68" s="20">
        <f t="shared" si="33"/>
        <v>34000000</v>
      </c>
      <c r="L68" s="20">
        <f t="shared" si="37"/>
        <v>39000000</v>
      </c>
      <c r="M68" s="20">
        <f t="shared" si="38"/>
        <v>31000000</v>
      </c>
      <c r="N68" s="20">
        <f t="shared" si="39"/>
        <v>33000000</v>
      </c>
      <c r="O68" s="20">
        <f t="shared" si="40"/>
        <v>32000000</v>
      </c>
      <c r="P68" s="20">
        <f t="shared" si="41"/>
        <v>34000000</v>
      </c>
      <c r="Q68" s="20">
        <f>H61</f>
        <v>31000000</v>
      </c>
      <c r="R68" s="20">
        <f>H60</f>
        <v>32000000</v>
      </c>
      <c r="S68" s="20">
        <f>H59</f>
        <v>33000000</v>
      </c>
      <c r="T68" s="20">
        <f>$F59/4</f>
        <v>31000000</v>
      </c>
      <c r="U68" s="20">
        <f>$F59/4</f>
        <v>31000000</v>
      </c>
      <c r="V68" s="20">
        <f>$F59/4</f>
        <v>31000000</v>
      </c>
      <c r="W68" s="20">
        <f>$F59/4</f>
        <v>31000000</v>
      </c>
      <c r="X68" s="20">
        <f>$E59/4</f>
        <v>31000000</v>
      </c>
      <c r="Y68" s="20">
        <f>$E59/4</f>
        <v>31000000</v>
      </c>
      <c r="Z68" s="20">
        <f>$E59/4</f>
        <v>31000000</v>
      </c>
      <c r="AA68" s="20">
        <f>$E59/4</f>
        <v>31000000</v>
      </c>
      <c r="AB68" s="20">
        <f>$D59/4</f>
        <v>28250000</v>
      </c>
      <c r="AC68" s="20">
        <f>$D59/4</f>
        <v>28250000</v>
      </c>
      <c r="AE68" s="21">
        <f t="shared" si="34"/>
        <v>31925000</v>
      </c>
      <c r="AF68" s="21">
        <f t="shared" si="35"/>
        <v>345287500</v>
      </c>
      <c r="AG68" s="21">
        <f t="shared" si="32"/>
        <v>3075000</v>
      </c>
    </row>
    <row r="69" spans="2:33" x14ac:dyDescent="0.2">
      <c r="B69" t="s">
        <v>77</v>
      </c>
      <c r="C69" s="18" t="s">
        <v>94</v>
      </c>
      <c r="D69" s="22">
        <f>$D59</f>
        <v>113000000</v>
      </c>
      <c r="E69" s="22">
        <f>$E59</f>
        <v>124000000</v>
      </c>
      <c r="F69" s="22">
        <f>$F59</f>
        <v>124000000</v>
      </c>
      <c r="G69" s="23">
        <f t="shared" si="36"/>
        <v>20</v>
      </c>
      <c r="H69" s="4">
        <v>34000000</v>
      </c>
      <c r="J69" s="20">
        <f t="shared" si="31"/>
        <v>34000000</v>
      </c>
      <c r="K69" s="20">
        <f t="shared" si="33"/>
        <v>35000000</v>
      </c>
      <c r="L69" s="20">
        <f t="shared" si="37"/>
        <v>34000000</v>
      </c>
      <c r="M69" s="20">
        <f t="shared" si="38"/>
        <v>39000000</v>
      </c>
      <c r="N69" s="20">
        <f t="shared" si="39"/>
        <v>31000000</v>
      </c>
      <c r="O69" s="20">
        <f t="shared" si="40"/>
        <v>33000000</v>
      </c>
      <c r="P69" s="20">
        <f t="shared" si="41"/>
        <v>32000000</v>
      </c>
      <c r="Q69" s="20">
        <f>H62</f>
        <v>34000000</v>
      </c>
      <c r="R69" s="20">
        <f>H61</f>
        <v>31000000</v>
      </c>
      <c r="S69" s="20">
        <f>H60</f>
        <v>32000000</v>
      </c>
      <c r="T69" s="20">
        <f>H59</f>
        <v>33000000</v>
      </c>
      <c r="U69" s="20">
        <f>$F59/4</f>
        <v>31000000</v>
      </c>
      <c r="V69" s="20">
        <f>$F59/4</f>
        <v>31000000</v>
      </c>
      <c r="W69" s="20">
        <f>$F59/4</f>
        <v>31000000</v>
      </c>
      <c r="X69" s="20">
        <f>$F59/4</f>
        <v>31000000</v>
      </c>
      <c r="Y69" s="20">
        <f>$E59/4</f>
        <v>31000000</v>
      </c>
      <c r="Z69" s="20">
        <f>$E59/4</f>
        <v>31000000</v>
      </c>
      <c r="AA69" s="20">
        <f>$E59/4</f>
        <v>31000000</v>
      </c>
      <c r="AB69" s="20">
        <f>$E59/4</f>
        <v>31000000</v>
      </c>
      <c r="AC69" s="20">
        <f>$D59/4</f>
        <v>28250000</v>
      </c>
      <c r="AE69" s="21">
        <f t="shared" si="34"/>
        <v>32212500</v>
      </c>
      <c r="AF69" s="21">
        <f t="shared" si="35"/>
        <v>347362500</v>
      </c>
      <c r="AG69" s="21">
        <f t="shared" si="32"/>
        <v>1787500</v>
      </c>
    </row>
    <row r="70" spans="2:33" x14ac:dyDescent="0.2">
      <c r="B70" t="s">
        <v>77</v>
      </c>
      <c r="C70" s="18" t="s">
        <v>93</v>
      </c>
      <c r="D70" s="22">
        <f>$D59</f>
        <v>113000000</v>
      </c>
      <c r="E70" s="22">
        <f>$E59</f>
        <v>124000000</v>
      </c>
      <c r="F70" s="22">
        <f>$F59</f>
        <v>124000000</v>
      </c>
      <c r="G70" s="23">
        <f t="shared" si="36"/>
        <v>20</v>
      </c>
      <c r="H70" s="4">
        <v>33000000</v>
      </c>
      <c r="J70" s="20">
        <f t="shared" si="31"/>
        <v>33000000</v>
      </c>
      <c r="K70" s="20">
        <f t="shared" si="33"/>
        <v>34000000</v>
      </c>
      <c r="L70" s="20">
        <f t="shared" si="37"/>
        <v>35000000</v>
      </c>
      <c r="M70" s="20">
        <f t="shared" si="38"/>
        <v>34000000</v>
      </c>
      <c r="N70" s="20">
        <f t="shared" si="39"/>
        <v>39000000</v>
      </c>
      <c r="O70" s="20">
        <f t="shared" si="40"/>
        <v>31000000</v>
      </c>
      <c r="P70" s="20">
        <f t="shared" si="41"/>
        <v>33000000</v>
      </c>
      <c r="Q70" s="20">
        <f>H63</f>
        <v>32000000</v>
      </c>
      <c r="R70" s="20">
        <f>H62</f>
        <v>34000000</v>
      </c>
      <c r="S70" s="20">
        <f>H61</f>
        <v>31000000</v>
      </c>
      <c r="T70" s="20">
        <f>H60</f>
        <v>32000000</v>
      </c>
      <c r="U70" s="20">
        <f>H59</f>
        <v>33000000</v>
      </c>
      <c r="V70" s="20">
        <f>$F59/4</f>
        <v>31000000</v>
      </c>
      <c r="W70" s="20">
        <f>$F59/4</f>
        <v>31000000</v>
      </c>
      <c r="X70" s="20">
        <f>$F59/4</f>
        <v>31000000</v>
      </c>
      <c r="Y70" s="20">
        <f>$F59/4</f>
        <v>31000000</v>
      </c>
      <c r="Z70" s="20">
        <f>$E59/4</f>
        <v>31000000</v>
      </c>
      <c r="AA70" s="20">
        <f>$E59/4</f>
        <v>31000000</v>
      </c>
      <c r="AB70" s="20">
        <f>$E59/4</f>
        <v>31000000</v>
      </c>
      <c r="AC70" s="20">
        <f>$E59/4</f>
        <v>31000000</v>
      </c>
      <c r="AE70" s="21">
        <f t="shared" si="34"/>
        <v>32450000</v>
      </c>
      <c r="AF70" s="21">
        <f t="shared" si="35"/>
        <v>348150000</v>
      </c>
      <c r="AG70" s="21">
        <f t="shared" si="32"/>
        <v>550000</v>
      </c>
    </row>
    <row r="72" spans="2:33" x14ac:dyDescent="0.2">
      <c r="C72" t="s">
        <v>113</v>
      </c>
    </row>
    <row r="73" spans="2:33" x14ac:dyDescent="0.2">
      <c r="C73" s="6" t="s">
        <v>107</v>
      </c>
      <c r="D73" s="6" t="s">
        <v>438</v>
      </c>
      <c r="E73" s="6" t="s">
        <v>439</v>
      </c>
      <c r="F73" s="6" t="s">
        <v>440</v>
      </c>
      <c r="G73" s="6" t="s">
        <v>441</v>
      </c>
      <c r="H73" s="6" t="s">
        <v>442</v>
      </c>
      <c r="I73" s="15"/>
      <c r="J73" s="6" t="s">
        <v>443</v>
      </c>
      <c r="K73" s="6" t="s">
        <v>444</v>
      </c>
      <c r="L73" s="6" t="s">
        <v>445</v>
      </c>
      <c r="M73" s="6" t="s">
        <v>446</v>
      </c>
      <c r="N73" s="6" t="s">
        <v>447</v>
      </c>
      <c r="O73" s="6" t="s">
        <v>448</v>
      </c>
      <c r="P73" s="6" t="s">
        <v>449</v>
      </c>
      <c r="Q73" s="6" t="s">
        <v>450</v>
      </c>
      <c r="R73" s="6" t="s">
        <v>451</v>
      </c>
      <c r="S73" s="6" t="s">
        <v>452</v>
      </c>
      <c r="T73" s="6" t="s">
        <v>453</v>
      </c>
      <c r="U73" s="6" t="s">
        <v>454</v>
      </c>
      <c r="V73" s="6" t="s">
        <v>455</v>
      </c>
      <c r="W73" s="6" t="s">
        <v>456</v>
      </c>
      <c r="X73" s="6" t="s">
        <v>457</v>
      </c>
      <c r="Y73" s="6" t="s">
        <v>458</v>
      </c>
      <c r="Z73" s="6" t="s">
        <v>459</v>
      </c>
      <c r="AA73" s="6" t="s">
        <v>460</v>
      </c>
      <c r="AB73" s="6" t="s">
        <v>461</v>
      </c>
      <c r="AC73" s="6" t="s">
        <v>462</v>
      </c>
      <c r="AD73" s="15"/>
      <c r="AE73" s="6" t="s">
        <v>106</v>
      </c>
      <c r="AF73" s="6" t="s">
        <v>105</v>
      </c>
      <c r="AG73" s="6" t="s">
        <v>463</v>
      </c>
    </row>
    <row r="74" spans="2:33" x14ac:dyDescent="0.2">
      <c r="C74" s="16" t="s">
        <v>464</v>
      </c>
      <c r="J74" s="17">
        <v>20</v>
      </c>
      <c r="K74" s="17">
        <v>19</v>
      </c>
      <c r="L74" s="17">
        <v>18</v>
      </c>
      <c r="M74" s="17">
        <v>17</v>
      </c>
      <c r="N74" s="17">
        <v>16</v>
      </c>
      <c r="O74" s="17">
        <v>15</v>
      </c>
      <c r="P74" s="17">
        <v>14</v>
      </c>
      <c r="Q74" s="17">
        <v>13</v>
      </c>
      <c r="R74" s="17">
        <v>12</v>
      </c>
      <c r="S74" s="17">
        <v>11</v>
      </c>
      <c r="T74" s="17">
        <v>10</v>
      </c>
      <c r="U74" s="17">
        <v>9</v>
      </c>
      <c r="V74" s="17">
        <v>8</v>
      </c>
      <c r="W74" s="17">
        <v>7</v>
      </c>
      <c r="X74" s="17">
        <v>6</v>
      </c>
      <c r="Y74" s="17">
        <v>5</v>
      </c>
      <c r="Z74" s="17">
        <v>4</v>
      </c>
      <c r="AA74" s="17">
        <v>3</v>
      </c>
      <c r="AB74" s="17">
        <v>2</v>
      </c>
      <c r="AC74" s="17">
        <v>1</v>
      </c>
    </row>
    <row r="75" spans="2:33" x14ac:dyDescent="0.2">
      <c r="B75" t="s">
        <v>113</v>
      </c>
      <c r="C75" s="18" t="s">
        <v>103</v>
      </c>
      <c r="D75" s="4">
        <v>0</v>
      </c>
      <c r="E75" s="4">
        <v>0</v>
      </c>
      <c r="F75" s="4">
        <v>124141000</v>
      </c>
      <c r="G75" s="19">
        <v>20</v>
      </c>
      <c r="H75" s="4">
        <v>49666000</v>
      </c>
      <c r="J75" s="20">
        <f t="shared" ref="J75:J86" si="42">H75</f>
        <v>49666000</v>
      </c>
      <c r="K75" s="20">
        <f>$F75/4</f>
        <v>31035250</v>
      </c>
      <c r="L75" s="20">
        <f>$F75/4</f>
        <v>31035250</v>
      </c>
      <c r="M75" s="20">
        <f>$F75/4</f>
        <v>31035250</v>
      </c>
      <c r="N75" s="20">
        <f>$F75/4</f>
        <v>31035250</v>
      </c>
      <c r="O75" s="20">
        <f>$E75/4</f>
        <v>0</v>
      </c>
      <c r="P75" s="20">
        <f>$E75/4</f>
        <v>0</v>
      </c>
      <c r="Q75" s="20">
        <f>$E75/4</f>
        <v>0</v>
      </c>
      <c r="R75" s="20">
        <f>$E75/4</f>
        <v>0</v>
      </c>
      <c r="S75" s="20">
        <f>$D75/4</f>
        <v>0</v>
      </c>
      <c r="T75" s="20">
        <f>$D75/4</f>
        <v>0</v>
      </c>
      <c r="U75" s="20">
        <f>$D75/4</f>
        <v>0</v>
      </c>
      <c r="V75" s="20">
        <f>$D75/4</f>
        <v>0</v>
      </c>
      <c r="W75" s="20">
        <v>0</v>
      </c>
      <c r="X75" s="20">
        <v>0</v>
      </c>
      <c r="Y75" s="20">
        <v>0</v>
      </c>
      <c r="Z75" s="20">
        <v>0</v>
      </c>
      <c r="AA75" s="20">
        <v>0</v>
      </c>
      <c r="AB75" s="20">
        <v>0</v>
      </c>
      <c r="AC75" s="20">
        <v>0</v>
      </c>
      <c r="AE75" s="21">
        <f>SUM(J75:AC75)/$G75</f>
        <v>8690350</v>
      </c>
      <c r="AF75" s="21">
        <f>SUMPRODUCT($J$74:$AC$74,J75:AC75)/$G75</f>
        <v>158289375</v>
      </c>
      <c r="AG75" s="21">
        <f t="shared" ref="AG75:AG86" si="43">H75-AE75</f>
        <v>40975650</v>
      </c>
    </row>
    <row r="76" spans="2:33" x14ac:dyDescent="0.2">
      <c r="B76" t="s">
        <v>113</v>
      </c>
      <c r="C76" s="18" t="s">
        <v>102</v>
      </c>
      <c r="D76" s="22">
        <f>$D75</f>
        <v>0</v>
      </c>
      <c r="E76" s="22">
        <f>$E75</f>
        <v>0</v>
      </c>
      <c r="F76" s="22">
        <f>$F75</f>
        <v>124141000</v>
      </c>
      <c r="G76" s="23">
        <f t="shared" ref="G76:G86" si="44">$G$75</f>
        <v>20</v>
      </c>
      <c r="H76" s="4">
        <v>48845000</v>
      </c>
      <c r="J76" s="20">
        <f t="shared" si="42"/>
        <v>48845000</v>
      </c>
      <c r="K76" s="20">
        <f t="shared" ref="K76:K86" si="45">H75</f>
        <v>49666000</v>
      </c>
      <c r="L76" s="20">
        <f>$F75/4</f>
        <v>31035250</v>
      </c>
      <c r="M76" s="20">
        <f>$F75/4</f>
        <v>31035250</v>
      </c>
      <c r="N76" s="20">
        <f>$F75/4</f>
        <v>31035250</v>
      </c>
      <c r="O76" s="20">
        <f>$F75/4</f>
        <v>31035250</v>
      </c>
      <c r="P76" s="20">
        <f>$E75/4</f>
        <v>0</v>
      </c>
      <c r="Q76" s="20">
        <f>$E75/4</f>
        <v>0</v>
      </c>
      <c r="R76" s="20">
        <f>$E75/4</f>
        <v>0</v>
      </c>
      <c r="S76" s="20">
        <f>$E75/4</f>
        <v>0</v>
      </c>
      <c r="T76" s="20">
        <f>$D75/4</f>
        <v>0</v>
      </c>
      <c r="U76" s="20">
        <f>$D75/4</f>
        <v>0</v>
      </c>
      <c r="V76" s="20">
        <f>$D75/4</f>
        <v>0</v>
      </c>
      <c r="W76" s="20">
        <f>$D75/4</f>
        <v>0</v>
      </c>
      <c r="X76" s="20">
        <v>0</v>
      </c>
      <c r="Y76" s="20">
        <v>0</v>
      </c>
      <c r="Z76" s="20">
        <v>0</v>
      </c>
      <c r="AA76" s="20">
        <v>0</v>
      </c>
      <c r="AB76" s="20">
        <v>0</v>
      </c>
      <c r="AC76" s="20">
        <v>0</v>
      </c>
      <c r="AE76" s="21">
        <f t="shared" ref="AE76:AE86" si="46">SUM(J76:AC76)/$G76</f>
        <v>11132600</v>
      </c>
      <c r="AF76" s="21">
        <f t="shared" ref="AF76:AF86" si="47">SUMPRODUCT($J$74:$AC$74,J76:AC76)/$G76</f>
        <v>198444025</v>
      </c>
      <c r="AG76" s="21">
        <f t="shared" si="43"/>
        <v>37712400</v>
      </c>
    </row>
    <row r="77" spans="2:33" x14ac:dyDescent="0.2">
      <c r="B77" t="s">
        <v>113</v>
      </c>
      <c r="C77" s="18" t="s">
        <v>101</v>
      </c>
      <c r="D77" s="22">
        <f>$D75</f>
        <v>0</v>
      </c>
      <c r="E77" s="22">
        <f>$E75</f>
        <v>0</v>
      </c>
      <c r="F77" s="22">
        <f>$F75</f>
        <v>124141000</v>
      </c>
      <c r="G77" s="23">
        <f t="shared" si="44"/>
        <v>20</v>
      </c>
      <c r="H77" s="4">
        <v>96531000</v>
      </c>
      <c r="J77" s="20">
        <f t="shared" si="42"/>
        <v>96531000</v>
      </c>
      <c r="K77" s="20">
        <f t="shared" si="45"/>
        <v>48845000</v>
      </c>
      <c r="L77" s="20">
        <f t="shared" ref="L77:L86" si="48">H75</f>
        <v>49666000</v>
      </c>
      <c r="M77" s="20">
        <f>$F75/4</f>
        <v>31035250</v>
      </c>
      <c r="N77" s="20">
        <f>$F75/4</f>
        <v>31035250</v>
      </c>
      <c r="O77" s="20">
        <f>$F75/4</f>
        <v>31035250</v>
      </c>
      <c r="P77" s="20">
        <f>$F75/4</f>
        <v>31035250</v>
      </c>
      <c r="Q77" s="20">
        <f>$E75/4</f>
        <v>0</v>
      </c>
      <c r="R77" s="20">
        <f>$E75/4</f>
        <v>0</v>
      </c>
      <c r="S77" s="20">
        <f>$E75/4</f>
        <v>0</v>
      </c>
      <c r="T77" s="20">
        <f>$E75/4</f>
        <v>0</v>
      </c>
      <c r="U77" s="20">
        <f>$D75/4</f>
        <v>0</v>
      </c>
      <c r="V77" s="20">
        <f>$D75/4</f>
        <v>0</v>
      </c>
      <c r="W77" s="20">
        <f>$D75/4</f>
        <v>0</v>
      </c>
      <c r="X77" s="20">
        <f>$D75/4</f>
        <v>0</v>
      </c>
      <c r="Y77" s="20">
        <v>0</v>
      </c>
      <c r="Z77" s="20">
        <v>0</v>
      </c>
      <c r="AA77" s="20">
        <v>0</v>
      </c>
      <c r="AB77" s="20">
        <v>0</v>
      </c>
      <c r="AC77" s="20">
        <v>0</v>
      </c>
      <c r="AE77" s="21">
        <f t="shared" si="46"/>
        <v>15959150</v>
      </c>
      <c r="AF77" s="21">
        <f t="shared" si="47"/>
        <v>283842425</v>
      </c>
      <c r="AG77" s="21">
        <f t="shared" si="43"/>
        <v>80571850</v>
      </c>
    </row>
    <row r="78" spans="2:33" x14ac:dyDescent="0.2">
      <c r="B78" t="s">
        <v>113</v>
      </c>
      <c r="C78" s="18" t="s">
        <v>100</v>
      </c>
      <c r="D78" s="22">
        <f>$D75</f>
        <v>0</v>
      </c>
      <c r="E78" s="22">
        <f>$E75</f>
        <v>0</v>
      </c>
      <c r="F78" s="22">
        <f>$F75</f>
        <v>124141000</v>
      </c>
      <c r="G78" s="23">
        <f t="shared" si="44"/>
        <v>20</v>
      </c>
      <c r="H78" s="4">
        <v>42144000</v>
      </c>
      <c r="J78" s="20">
        <f t="shared" si="42"/>
        <v>42144000</v>
      </c>
      <c r="K78" s="20">
        <f t="shared" si="45"/>
        <v>96531000</v>
      </c>
      <c r="L78" s="20">
        <f t="shared" si="48"/>
        <v>48845000</v>
      </c>
      <c r="M78" s="20">
        <f t="shared" ref="M78:M86" si="49">H75</f>
        <v>49666000</v>
      </c>
      <c r="N78" s="20">
        <f>$F75/4</f>
        <v>31035250</v>
      </c>
      <c r="O78" s="20">
        <f>$F75/4</f>
        <v>31035250</v>
      </c>
      <c r="P78" s="20">
        <f>$F75/4</f>
        <v>31035250</v>
      </c>
      <c r="Q78" s="20">
        <f>$F75/4</f>
        <v>31035250</v>
      </c>
      <c r="R78" s="20">
        <f>$E75/4</f>
        <v>0</v>
      </c>
      <c r="S78" s="20">
        <f>$E75/4</f>
        <v>0</v>
      </c>
      <c r="T78" s="20">
        <f>$E75/4</f>
        <v>0</v>
      </c>
      <c r="U78" s="20">
        <f>$E75/4</f>
        <v>0</v>
      </c>
      <c r="V78" s="20">
        <f>$D75/4</f>
        <v>0</v>
      </c>
      <c r="W78" s="20">
        <f>$D75/4</f>
        <v>0</v>
      </c>
      <c r="X78" s="20">
        <f>$D75/4</f>
        <v>0</v>
      </c>
      <c r="Y78" s="20">
        <f>$D75/4</f>
        <v>0</v>
      </c>
      <c r="Z78" s="20">
        <v>0</v>
      </c>
      <c r="AA78" s="20">
        <v>0</v>
      </c>
      <c r="AB78" s="20">
        <v>0</v>
      </c>
      <c r="AC78" s="20">
        <v>0</v>
      </c>
      <c r="AE78" s="21">
        <f t="shared" si="46"/>
        <v>18066350</v>
      </c>
      <c r="AF78" s="21">
        <f t="shared" si="47"/>
        <v>310027275</v>
      </c>
      <c r="AG78" s="21">
        <f t="shared" si="43"/>
        <v>24077650</v>
      </c>
    </row>
    <row r="79" spans="2:33" x14ac:dyDescent="0.2">
      <c r="B79" t="s">
        <v>113</v>
      </c>
      <c r="C79" s="18" t="s">
        <v>99</v>
      </c>
      <c r="D79" s="22">
        <f>$D75</f>
        <v>0</v>
      </c>
      <c r="E79" s="22">
        <f>$E75</f>
        <v>0</v>
      </c>
      <c r="F79" s="22">
        <f>$F75</f>
        <v>124141000</v>
      </c>
      <c r="G79" s="23">
        <f t="shared" si="44"/>
        <v>20</v>
      </c>
      <c r="H79" s="4">
        <v>46462000</v>
      </c>
      <c r="J79" s="20">
        <f t="shared" si="42"/>
        <v>46462000</v>
      </c>
      <c r="K79" s="20">
        <f t="shared" si="45"/>
        <v>42144000</v>
      </c>
      <c r="L79" s="20">
        <f t="shared" si="48"/>
        <v>96531000</v>
      </c>
      <c r="M79" s="20">
        <f t="shared" si="49"/>
        <v>48845000</v>
      </c>
      <c r="N79" s="20">
        <f t="shared" ref="N79:N86" si="50">H75</f>
        <v>49666000</v>
      </c>
      <c r="O79" s="20">
        <f>$F75/4</f>
        <v>31035250</v>
      </c>
      <c r="P79" s="20">
        <f>$F75/4</f>
        <v>31035250</v>
      </c>
      <c r="Q79" s="20">
        <f>$F75/4</f>
        <v>31035250</v>
      </c>
      <c r="R79" s="20">
        <f>$F75/4</f>
        <v>31035250</v>
      </c>
      <c r="S79" s="20">
        <f>$E75/4</f>
        <v>0</v>
      </c>
      <c r="T79" s="20">
        <f>$E75/4</f>
        <v>0</v>
      </c>
      <c r="U79" s="20">
        <f>$E75/4</f>
        <v>0</v>
      </c>
      <c r="V79" s="20">
        <f>$E75/4</f>
        <v>0</v>
      </c>
      <c r="W79" s="20">
        <f>$D75/4</f>
        <v>0</v>
      </c>
      <c r="X79" s="20">
        <f>$D75/4</f>
        <v>0</v>
      </c>
      <c r="Y79" s="20">
        <f>$D75/4</f>
        <v>0</v>
      </c>
      <c r="Z79" s="20">
        <f>$D75/4</f>
        <v>0</v>
      </c>
      <c r="AA79" s="20">
        <v>0</v>
      </c>
      <c r="AB79" s="20">
        <v>0</v>
      </c>
      <c r="AC79" s="20">
        <v>0</v>
      </c>
      <c r="AE79" s="21">
        <f t="shared" si="46"/>
        <v>20389450</v>
      </c>
      <c r="AF79" s="21">
        <f t="shared" si="47"/>
        <v>338422925</v>
      </c>
      <c r="AG79" s="21">
        <f t="shared" si="43"/>
        <v>26072550</v>
      </c>
    </row>
    <row r="80" spans="2:33" x14ac:dyDescent="0.2">
      <c r="B80" t="s">
        <v>113</v>
      </c>
      <c r="C80" s="18" t="s">
        <v>98</v>
      </c>
      <c r="D80" s="22">
        <f>$D75</f>
        <v>0</v>
      </c>
      <c r="E80" s="22">
        <f>$E75</f>
        <v>0</v>
      </c>
      <c r="F80" s="22">
        <f>$F75</f>
        <v>124141000</v>
      </c>
      <c r="G80" s="23">
        <f t="shared" si="44"/>
        <v>20</v>
      </c>
      <c r="H80" s="4">
        <v>44722000</v>
      </c>
      <c r="J80" s="20">
        <f t="shared" si="42"/>
        <v>44722000</v>
      </c>
      <c r="K80" s="20">
        <f t="shared" si="45"/>
        <v>46462000</v>
      </c>
      <c r="L80" s="20">
        <f t="shared" si="48"/>
        <v>42144000</v>
      </c>
      <c r="M80" s="20">
        <f t="shared" si="49"/>
        <v>96531000</v>
      </c>
      <c r="N80" s="20">
        <f t="shared" si="50"/>
        <v>48845000</v>
      </c>
      <c r="O80" s="20">
        <f t="shared" ref="O80:O86" si="51">H75</f>
        <v>49666000</v>
      </c>
      <c r="P80" s="20">
        <f>$F75/4</f>
        <v>31035250</v>
      </c>
      <c r="Q80" s="20">
        <f>$F75/4</f>
        <v>31035250</v>
      </c>
      <c r="R80" s="20">
        <f>$F75/4</f>
        <v>31035250</v>
      </c>
      <c r="S80" s="20">
        <f>$F75/4</f>
        <v>31035250</v>
      </c>
      <c r="T80" s="20">
        <f>$E75/4</f>
        <v>0</v>
      </c>
      <c r="U80" s="20">
        <f>$E75/4</f>
        <v>0</v>
      </c>
      <c r="V80" s="20">
        <f>$E75/4</f>
        <v>0</v>
      </c>
      <c r="W80" s="20">
        <f>$E75/4</f>
        <v>0</v>
      </c>
      <c r="X80" s="20">
        <f>$D75/4</f>
        <v>0</v>
      </c>
      <c r="Y80" s="20">
        <f>$D75/4</f>
        <v>0</v>
      </c>
      <c r="Z80" s="20">
        <f>$D75/4</f>
        <v>0</v>
      </c>
      <c r="AA80" s="20">
        <f>$D75/4</f>
        <v>0</v>
      </c>
      <c r="AB80" s="20">
        <v>0</v>
      </c>
      <c r="AC80" s="20">
        <v>0</v>
      </c>
      <c r="AE80" s="21">
        <f t="shared" si="46"/>
        <v>22625550</v>
      </c>
      <c r="AF80" s="21">
        <f t="shared" si="47"/>
        <v>362755475</v>
      </c>
      <c r="AG80" s="21">
        <f t="shared" si="43"/>
        <v>22096450</v>
      </c>
    </row>
    <row r="81" spans="1:33" x14ac:dyDescent="0.2">
      <c r="B81" t="s">
        <v>113</v>
      </c>
      <c r="C81" s="18" t="s">
        <v>97</v>
      </c>
      <c r="D81" s="22">
        <f>$D75</f>
        <v>0</v>
      </c>
      <c r="E81" s="22">
        <f>$E75</f>
        <v>0</v>
      </c>
      <c r="F81" s="22">
        <f>$F75</f>
        <v>124141000</v>
      </c>
      <c r="G81" s="23">
        <f t="shared" si="44"/>
        <v>20</v>
      </c>
      <c r="H81" s="4">
        <v>40129000</v>
      </c>
      <c r="J81" s="20">
        <f t="shared" si="42"/>
        <v>40129000</v>
      </c>
      <c r="K81" s="20">
        <f t="shared" si="45"/>
        <v>44722000</v>
      </c>
      <c r="L81" s="20">
        <f t="shared" si="48"/>
        <v>46462000</v>
      </c>
      <c r="M81" s="20">
        <f t="shared" si="49"/>
        <v>42144000</v>
      </c>
      <c r="N81" s="20">
        <f t="shared" si="50"/>
        <v>96531000</v>
      </c>
      <c r="O81" s="20">
        <f t="shared" si="51"/>
        <v>48845000</v>
      </c>
      <c r="P81" s="20">
        <f t="shared" ref="P81:P86" si="52">H75</f>
        <v>49666000</v>
      </c>
      <c r="Q81" s="20">
        <f>$F75/4</f>
        <v>31035250</v>
      </c>
      <c r="R81" s="20">
        <f>$F75/4</f>
        <v>31035250</v>
      </c>
      <c r="S81" s="20">
        <f>$F75/4</f>
        <v>31035250</v>
      </c>
      <c r="T81" s="20">
        <f>$F75/4</f>
        <v>31035250</v>
      </c>
      <c r="U81" s="20">
        <f>$E75/4</f>
        <v>0</v>
      </c>
      <c r="V81" s="20">
        <f>$E75/4</f>
        <v>0</v>
      </c>
      <c r="W81" s="20">
        <f>$E75/4</f>
        <v>0</v>
      </c>
      <c r="X81" s="20">
        <f>$E75/4</f>
        <v>0</v>
      </c>
      <c r="Y81" s="20">
        <f>$D75/4</f>
        <v>0</v>
      </c>
      <c r="Z81" s="20">
        <f>$D75/4</f>
        <v>0</v>
      </c>
      <c r="AA81" s="20">
        <f>$D75/4</f>
        <v>0</v>
      </c>
      <c r="AB81" s="20">
        <f>$D75/4</f>
        <v>0</v>
      </c>
      <c r="AC81" s="20">
        <v>0</v>
      </c>
      <c r="AE81" s="21">
        <f t="shared" si="46"/>
        <v>24632000</v>
      </c>
      <c r="AF81" s="21">
        <f t="shared" si="47"/>
        <v>380258925</v>
      </c>
      <c r="AG81" s="21">
        <f t="shared" si="43"/>
        <v>15497000</v>
      </c>
    </row>
    <row r="82" spans="1:33" x14ac:dyDescent="0.2">
      <c r="B82" t="s">
        <v>113</v>
      </c>
      <c r="C82" s="18" t="s">
        <v>96</v>
      </c>
      <c r="D82" s="22">
        <f>$D75</f>
        <v>0</v>
      </c>
      <c r="E82" s="22">
        <f>$E75</f>
        <v>0</v>
      </c>
      <c r="F82" s="22">
        <f>$F75</f>
        <v>124141000</v>
      </c>
      <c r="G82" s="23">
        <f t="shared" si="44"/>
        <v>20</v>
      </c>
      <c r="H82" s="4">
        <v>43592000</v>
      </c>
      <c r="J82" s="20">
        <f t="shared" si="42"/>
        <v>43592000</v>
      </c>
      <c r="K82" s="20">
        <f t="shared" si="45"/>
        <v>40129000</v>
      </c>
      <c r="L82" s="20">
        <f t="shared" si="48"/>
        <v>44722000</v>
      </c>
      <c r="M82" s="20">
        <f t="shared" si="49"/>
        <v>46462000</v>
      </c>
      <c r="N82" s="20">
        <f t="shared" si="50"/>
        <v>42144000</v>
      </c>
      <c r="O82" s="20">
        <f t="shared" si="51"/>
        <v>96531000</v>
      </c>
      <c r="P82" s="20">
        <f t="shared" si="52"/>
        <v>48845000</v>
      </c>
      <c r="Q82" s="20">
        <f>H75</f>
        <v>49666000</v>
      </c>
      <c r="R82" s="20">
        <f>$F75/4</f>
        <v>31035250</v>
      </c>
      <c r="S82" s="20">
        <f>$F75/4</f>
        <v>31035250</v>
      </c>
      <c r="T82" s="20">
        <f>$F75/4</f>
        <v>31035250</v>
      </c>
      <c r="U82" s="20">
        <f>$F75/4</f>
        <v>31035250</v>
      </c>
      <c r="V82" s="20">
        <f>$E75/4</f>
        <v>0</v>
      </c>
      <c r="W82" s="20">
        <f>$E75/4</f>
        <v>0</v>
      </c>
      <c r="X82" s="20">
        <f>$E75/4</f>
        <v>0</v>
      </c>
      <c r="Y82" s="20">
        <f>$E75/4</f>
        <v>0</v>
      </c>
      <c r="Z82" s="20">
        <f>$D75/4</f>
        <v>0</v>
      </c>
      <c r="AA82" s="20">
        <f>$D75/4</f>
        <v>0</v>
      </c>
      <c r="AB82" s="20">
        <f>$D75/4</f>
        <v>0</v>
      </c>
      <c r="AC82" s="20">
        <f>$D75/4</f>
        <v>0</v>
      </c>
      <c r="AE82" s="21">
        <f t="shared" si="46"/>
        <v>26811600</v>
      </c>
      <c r="AF82" s="21">
        <f t="shared" si="47"/>
        <v>399218925</v>
      </c>
      <c r="AG82" s="21">
        <f t="shared" si="43"/>
        <v>16780400</v>
      </c>
    </row>
    <row r="83" spans="1:33" x14ac:dyDescent="0.2">
      <c r="B83" t="s">
        <v>113</v>
      </c>
      <c r="C83" s="18" t="s">
        <v>95</v>
      </c>
      <c r="D83" s="22">
        <f>$D75</f>
        <v>0</v>
      </c>
      <c r="E83" s="22">
        <f>$E75</f>
        <v>0</v>
      </c>
      <c r="F83" s="22">
        <f>$F75</f>
        <v>124141000</v>
      </c>
      <c r="G83" s="23">
        <f t="shared" si="44"/>
        <v>20</v>
      </c>
      <c r="H83" s="4">
        <v>61540000</v>
      </c>
      <c r="J83" s="20">
        <f t="shared" si="42"/>
        <v>61540000</v>
      </c>
      <c r="K83" s="20">
        <f t="shared" si="45"/>
        <v>43592000</v>
      </c>
      <c r="L83" s="20">
        <f t="shared" si="48"/>
        <v>40129000</v>
      </c>
      <c r="M83" s="20">
        <f t="shared" si="49"/>
        <v>44722000</v>
      </c>
      <c r="N83" s="20">
        <f t="shared" si="50"/>
        <v>46462000</v>
      </c>
      <c r="O83" s="20">
        <f t="shared" si="51"/>
        <v>42144000</v>
      </c>
      <c r="P83" s="20">
        <f t="shared" si="52"/>
        <v>96531000</v>
      </c>
      <c r="Q83" s="20">
        <f>H76</f>
        <v>48845000</v>
      </c>
      <c r="R83" s="20">
        <f>H75</f>
        <v>49666000</v>
      </c>
      <c r="S83" s="20">
        <f>$F75/4</f>
        <v>31035250</v>
      </c>
      <c r="T83" s="20">
        <f>$F75/4</f>
        <v>31035250</v>
      </c>
      <c r="U83" s="20">
        <f>$F75/4</f>
        <v>31035250</v>
      </c>
      <c r="V83" s="20">
        <f>$F75/4</f>
        <v>31035250</v>
      </c>
      <c r="W83" s="20">
        <f>$E75/4</f>
        <v>0</v>
      </c>
      <c r="X83" s="20">
        <f>$E75/4</f>
        <v>0</v>
      </c>
      <c r="Y83" s="20">
        <f>$E75/4</f>
        <v>0</v>
      </c>
      <c r="Z83" s="20">
        <f>$E75/4</f>
        <v>0</v>
      </c>
      <c r="AA83" s="20">
        <f>$D75/4</f>
        <v>0</v>
      </c>
      <c r="AB83" s="20">
        <f>$D75/4</f>
        <v>0</v>
      </c>
      <c r="AC83" s="20">
        <f>$D75/4</f>
        <v>0</v>
      </c>
      <c r="AE83" s="21">
        <f t="shared" si="46"/>
        <v>29888600</v>
      </c>
      <c r="AF83" s="21">
        <f t="shared" si="47"/>
        <v>433947325</v>
      </c>
      <c r="AG83" s="21">
        <f t="shared" si="43"/>
        <v>31651400</v>
      </c>
    </row>
    <row r="84" spans="1:33" x14ac:dyDescent="0.2">
      <c r="B84" t="s">
        <v>113</v>
      </c>
      <c r="C84" s="18" t="s">
        <v>94</v>
      </c>
      <c r="D84" s="22">
        <f>$D75</f>
        <v>0</v>
      </c>
      <c r="E84" s="22">
        <f>$E75</f>
        <v>0</v>
      </c>
      <c r="F84" s="22">
        <f>$F75</f>
        <v>124141000</v>
      </c>
      <c r="G84" s="23">
        <f t="shared" si="44"/>
        <v>20</v>
      </c>
      <c r="H84" s="4">
        <v>52147000</v>
      </c>
      <c r="J84" s="20">
        <f t="shared" si="42"/>
        <v>52147000</v>
      </c>
      <c r="K84" s="20">
        <f t="shared" si="45"/>
        <v>61540000</v>
      </c>
      <c r="L84" s="20">
        <f t="shared" si="48"/>
        <v>43592000</v>
      </c>
      <c r="M84" s="20">
        <f t="shared" si="49"/>
        <v>40129000</v>
      </c>
      <c r="N84" s="20">
        <f t="shared" si="50"/>
        <v>44722000</v>
      </c>
      <c r="O84" s="20">
        <f t="shared" si="51"/>
        <v>46462000</v>
      </c>
      <c r="P84" s="20">
        <f t="shared" si="52"/>
        <v>42144000</v>
      </c>
      <c r="Q84" s="20">
        <f>H77</f>
        <v>96531000</v>
      </c>
      <c r="R84" s="20">
        <f>H76</f>
        <v>48845000</v>
      </c>
      <c r="S84" s="20">
        <f>H75</f>
        <v>49666000</v>
      </c>
      <c r="T84" s="20">
        <f>$F75/4</f>
        <v>31035250</v>
      </c>
      <c r="U84" s="20">
        <f>$F75/4</f>
        <v>31035250</v>
      </c>
      <c r="V84" s="20">
        <f>$F75/4</f>
        <v>31035250</v>
      </c>
      <c r="W84" s="20">
        <f>$F75/4</f>
        <v>31035250</v>
      </c>
      <c r="X84" s="20">
        <f>$E75/4</f>
        <v>0</v>
      </c>
      <c r="Y84" s="20">
        <f>$E75/4</f>
        <v>0</v>
      </c>
      <c r="Z84" s="20">
        <f>$E75/4</f>
        <v>0</v>
      </c>
      <c r="AA84" s="20">
        <f>$E75/4</f>
        <v>0</v>
      </c>
      <c r="AB84" s="20">
        <f>$D75/4</f>
        <v>0</v>
      </c>
      <c r="AC84" s="20">
        <f>$D75/4</f>
        <v>0</v>
      </c>
      <c r="AE84" s="21">
        <f t="shared" si="46"/>
        <v>32495950</v>
      </c>
      <c r="AF84" s="21">
        <f t="shared" si="47"/>
        <v>456205725</v>
      </c>
      <c r="AG84" s="21">
        <f t="shared" si="43"/>
        <v>19651050</v>
      </c>
    </row>
    <row r="85" spans="1:33" x14ac:dyDescent="0.2">
      <c r="B85" t="s">
        <v>113</v>
      </c>
      <c r="C85" s="18" t="s">
        <v>93</v>
      </c>
      <c r="D85" s="22">
        <f>$D75</f>
        <v>0</v>
      </c>
      <c r="E85" s="22">
        <f>$E75</f>
        <v>0</v>
      </c>
      <c r="F85" s="22">
        <f>$F75</f>
        <v>124141000</v>
      </c>
      <c r="G85" s="23">
        <f t="shared" si="44"/>
        <v>20</v>
      </c>
      <c r="H85" s="4">
        <v>58734000</v>
      </c>
      <c r="J85" s="20">
        <f t="shared" si="42"/>
        <v>58734000</v>
      </c>
      <c r="K85" s="20">
        <f t="shared" si="45"/>
        <v>52147000</v>
      </c>
      <c r="L85" s="20">
        <f t="shared" si="48"/>
        <v>61540000</v>
      </c>
      <c r="M85" s="20">
        <f t="shared" si="49"/>
        <v>43592000</v>
      </c>
      <c r="N85" s="20">
        <f t="shared" si="50"/>
        <v>40129000</v>
      </c>
      <c r="O85" s="20">
        <f t="shared" si="51"/>
        <v>44722000</v>
      </c>
      <c r="P85" s="20">
        <f t="shared" si="52"/>
        <v>46462000</v>
      </c>
      <c r="Q85" s="20">
        <f>H78</f>
        <v>42144000</v>
      </c>
      <c r="R85" s="20">
        <f>H77</f>
        <v>96531000</v>
      </c>
      <c r="S85" s="20">
        <f>H76</f>
        <v>48845000</v>
      </c>
      <c r="T85" s="20">
        <f>H75</f>
        <v>49666000</v>
      </c>
      <c r="U85" s="20">
        <f>$F75/4</f>
        <v>31035250</v>
      </c>
      <c r="V85" s="20">
        <f>$F75/4</f>
        <v>31035250</v>
      </c>
      <c r="W85" s="20">
        <f>$F75/4</f>
        <v>31035250</v>
      </c>
      <c r="X85" s="20">
        <f>$F75/4</f>
        <v>31035250</v>
      </c>
      <c r="Y85" s="20">
        <f>$E75/4</f>
        <v>0</v>
      </c>
      <c r="Z85" s="20">
        <f>$E75/4</f>
        <v>0</v>
      </c>
      <c r="AA85" s="20">
        <f>$E75/4</f>
        <v>0</v>
      </c>
      <c r="AB85" s="20">
        <f>$E75/4</f>
        <v>0</v>
      </c>
      <c r="AC85" s="20">
        <f>$D75/4</f>
        <v>0</v>
      </c>
      <c r="AE85" s="21">
        <f t="shared" si="46"/>
        <v>35432650</v>
      </c>
      <c r="AF85" s="21">
        <f t="shared" si="47"/>
        <v>482443775</v>
      </c>
      <c r="AG85" s="21">
        <f t="shared" si="43"/>
        <v>23301350</v>
      </c>
    </row>
    <row r="86" spans="1:33" x14ac:dyDescent="0.2">
      <c r="B86" t="s">
        <v>113</v>
      </c>
      <c r="C86" s="18" t="s">
        <v>141</v>
      </c>
      <c r="D86" s="22">
        <f>$D75</f>
        <v>0</v>
      </c>
      <c r="E86" s="22">
        <f>$E75</f>
        <v>0</v>
      </c>
      <c r="F86" s="22">
        <f>$F75</f>
        <v>124141000</v>
      </c>
      <c r="G86" s="23">
        <f t="shared" si="44"/>
        <v>20</v>
      </c>
      <c r="H86" s="4">
        <v>43006000</v>
      </c>
      <c r="J86" s="20">
        <f t="shared" si="42"/>
        <v>43006000</v>
      </c>
      <c r="K86" s="20">
        <f t="shared" si="45"/>
        <v>58734000</v>
      </c>
      <c r="L86" s="20">
        <f t="shared" si="48"/>
        <v>52147000</v>
      </c>
      <c r="M86" s="20">
        <f t="shared" si="49"/>
        <v>61540000</v>
      </c>
      <c r="N86" s="20">
        <f t="shared" si="50"/>
        <v>43592000</v>
      </c>
      <c r="O86" s="20">
        <f t="shared" si="51"/>
        <v>40129000</v>
      </c>
      <c r="P86" s="20">
        <f t="shared" si="52"/>
        <v>44722000</v>
      </c>
      <c r="Q86" s="20">
        <f>H79</f>
        <v>46462000</v>
      </c>
      <c r="R86" s="20">
        <f>H78</f>
        <v>42144000</v>
      </c>
      <c r="S86" s="20">
        <f>H77</f>
        <v>96531000</v>
      </c>
      <c r="T86" s="20">
        <f>H76</f>
        <v>48845000</v>
      </c>
      <c r="U86" s="20">
        <f>H75</f>
        <v>49666000</v>
      </c>
      <c r="V86" s="20">
        <f>$F75/4</f>
        <v>31035250</v>
      </c>
      <c r="W86" s="20">
        <f>$F75/4</f>
        <v>31035250</v>
      </c>
      <c r="X86" s="20">
        <f>$F75/4</f>
        <v>31035250</v>
      </c>
      <c r="Y86" s="20">
        <f>$F75/4</f>
        <v>31035250</v>
      </c>
      <c r="Z86" s="20">
        <f>$E75/4</f>
        <v>0</v>
      </c>
      <c r="AA86" s="20">
        <f>$E75/4</f>
        <v>0</v>
      </c>
      <c r="AB86" s="20">
        <f>$E75/4</f>
        <v>0</v>
      </c>
      <c r="AC86" s="20">
        <f>$E75/4</f>
        <v>0</v>
      </c>
      <c r="AE86" s="21">
        <f t="shared" si="46"/>
        <v>37582950</v>
      </c>
      <c r="AF86" s="21">
        <f t="shared" si="47"/>
        <v>490017125</v>
      </c>
      <c r="AG86" s="21">
        <f t="shared" si="43"/>
        <v>5423050</v>
      </c>
    </row>
    <row r="89" spans="1:33" x14ac:dyDescent="0.2">
      <c r="C89" t="s">
        <v>143</v>
      </c>
    </row>
    <row r="90" spans="1:33" x14ac:dyDescent="0.2">
      <c r="C90" s="6" t="s">
        <v>107</v>
      </c>
      <c r="D90" s="6" t="s">
        <v>439</v>
      </c>
      <c r="E90" s="6" t="s">
        <v>440</v>
      </c>
      <c r="F90" s="6" t="s">
        <v>471</v>
      </c>
      <c r="G90" s="6" t="s">
        <v>441</v>
      </c>
      <c r="H90" s="6" t="s">
        <v>442</v>
      </c>
      <c r="I90" s="15"/>
      <c r="J90" s="6" t="s">
        <v>443</v>
      </c>
      <c r="K90" s="6" t="s">
        <v>444</v>
      </c>
      <c r="L90" s="6" t="s">
        <v>445</v>
      </c>
      <c r="M90" s="6" t="s">
        <v>446</v>
      </c>
      <c r="N90" s="6" t="s">
        <v>447</v>
      </c>
      <c r="O90" s="6" t="s">
        <v>448</v>
      </c>
      <c r="P90" s="6" t="s">
        <v>449</v>
      </c>
      <c r="Q90" s="6" t="s">
        <v>450</v>
      </c>
      <c r="R90" s="6" t="s">
        <v>451</v>
      </c>
      <c r="S90" s="6" t="s">
        <v>452</v>
      </c>
      <c r="T90" s="6" t="s">
        <v>453</v>
      </c>
      <c r="U90" s="6" t="s">
        <v>454</v>
      </c>
      <c r="V90" s="6" t="s">
        <v>455</v>
      </c>
      <c r="W90" s="6" t="s">
        <v>456</v>
      </c>
      <c r="X90" s="6" t="s">
        <v>457</v>
      </c>
      <c r="Y90" s="6" t="s">
        <v>458</v>
      </c>
      <c r="Z90" s="6" t="s">
        <v>459</v>
      </c>
      <c r="AA90" s="6" t="s">
        <v>460</v>
      </c>
      <c r="AB90" s="6" t="s">
        <v>461</v>
      </c>
      <c r="AC90" s="6" t="s">
        <v>462</v>
      </c>
      <c r="AD90" s="15"/>
      <c r="AE90" s="6" t="s">
        <v>106</v>
      </c>
      <c r="AF90" s="6" t="s">
        <v>105</v>
      </c>
      <c r="AG90" s="6" t="s">
        <v>463</v>
      </c>
    </row>
    <row r="91" spans="1:33" x14ac:dyDescent="0.2">
      <c r="C91" s="16" t="s">
        <v>464</v>
      </c>
      <c r="J91" s="17">
        <v>20</v>
      </c>
      <c r="K91" s="17">
        <v>19</v>
      </c>
      <c r="L91" s="17">
        <v>18</v>
      </c>
      <c r="M91" s="17">
        <v>17</v>
      </c>
      <c r="N91" s="17">
        <v>16</v>
      </c>
      <c r="O91" s="17">
        <v>15</v>
      </c>
      <c r="P91" s="17">
        <v>14</v>
      </c>
      <c r="Q91" s="17">
        <v>13</v>
      </c>
      <c r="R91" s="17">
        <v>12</v>
      </c>
      <c r="S91" s="17">
        <v>11</v>
      </c>
      <c r="T91" s="17">
        <v>10</v>
      </c>
      <c r="U91" s="17">
        <v>9</v>
      </c>
      <c r="V91" s="17">
        <v>8</v>
      </c>
      <c r="W91" s="17">
        <v>7</v>
      </c>
      <c r="X91" s="17">
        <v>6</v>
      </c>
      <c r="Y91" s="17">
        <v>5</v>
      </c>
      <c r="Z91" s="17">
        <v>4</v>
      </c>
      <c r="AA91" s="17">
        <v>3</v>
      </c>
      <c r="AB91" s="17">
        <v>2</v>
      </c>
      <c r="AC91" s="17">
        <v>1</v>
      </c>
    </row>
    <row r="92" spans="1:33" x14ac:dyDescent="0.2">
      <c r="A92">
        <v>1</v>
      </c>
      <c r="B92" t="s">
        <v>143</v>
      </c>
      <c r="C92" s="18" t="s">
        <v>484</v>
      </c>
      <c r="G92" s="23">
        <f t="shared" ref="G92:G99" si="53">$G$13</f>
        <v>20</v>
      </c>
      <c r="H92" s="4">
        <v>644250000</v>
      </c>
      <c r="I92" s="20">
        <f>+H92/20</f>
        <v>32212500</v>
      </c>
      <c r="J92" s="20">
        <f>+H92-$I92</f>
        <v>612037500</v>
      </c>
      <c r="K92" s="20">
        <f>+J92-$I92</f>
        <v>579825000</v>
      </c>
      <c r="L92" s="20">
        <f t="shared" ref="L92" si="54">+K92-$I92</f>
        <v>547612500</v>
      </c>
      <c r="M92" s="20">
        <f t="shared" ref="M92:M93" si="55">+L92-$I92</f>
        <v>515400000</v>
      </c>
      <c r="N92" s="20">
        <f t="shared" ref="N92:N94" si="56">+M92-$I92</f>
        <v>483187500</v>
      </c>
      <c r="O92" s="20">
        <f t="shared" ref="O92:O96" si="57">+N92-$I92</f>
        <v>450975000</v>
      </c>
      <c r="P92" s="20">
        <f t="shared" ref="P92:P97" si="58">+O92-$I92</f>
        <v>418762500</v>
      </c>
      <c r="Q92" s="20">
        <f t="shared" ref="Q92:Q98" si="59">+P92-$I92</f>
        <v>386550000</v>
      </c>
      <c r="R92" s="20">
        <f t="shared" ref="R92:R99" si="60">+Q92-$I92</f>
        <v>354337500</v>
      </c>
      <c r="S92" s="20">
        <f t="shared" ref="S92:S100" si="61">+R92-$I92</f>
        <v>322125000</v>
      </c>
      <c r="T92" s="20">
        <f t="shared" ref="T92:T101" si="62">+S92-$I92</f>
        <v>289912500</v>
      </c>
      <c r="U92" s="20">
        <f t="shared" ref="U92:U102" si="63">+T92-$I92</f>
        <v>257700000</v>
      </c>
      <c r="V92" s="20">
        <f t="shared" ref="V92:V103" si="64">+U92-$I92</f>
        <v>225487500</v>
      </c>
      <c r="W92" s="20">
        <f t="shared" ref="W92:W104" si="65">+V92-$I92</f>
        <v>193275000</v>
      </c>
      <c r="X92" s="20">
        <f t="shared" ref="X92:X105" si="66">+W92-$I92</f>
        <v>161062500</v>
      </c>
      <c r="Y92" s="20">
        <f t="shared" ref="Y92:Y106" si="67">+X92-$I92</f>
        <v>128850000</v>
      </c>
      <c r="Z92" s="20">
        <f t="shared" ref="Z92:Z107" si="68">+Y92-$I92</f>
        <v>96637500</v>
      </c>
      <c r="AA92" s="20">
        <f t="shared" ref="AA92:AA108" si="69">+Z92-$I92</f>
        <v>64425000</v>
      </c>
      <c r="AB92" s="20">
        <f t="shared" ref="AB92:AB109" si="70">+AA92-$I92</f>
        <v>32212500</v>
      </c>
      <c r="AC92" s="20">
        <f t="shared" ref="AC92:AC110" si="71">+AB92-$I92</f>
        <v>0</v>
      </c>
      <c r="AE92" s="21">
        <f>SUM(I92)</f>
        <v>32212500</v>
      </c>
      <c r="AF92" s="21">
        <f>SUM(J92:J92)</f>
        <v>612037500</v>
      </c>
      <c r="AG92" s="21">
        <f t="shared" ref="AG92:AG111" si="72">H92-AE92</f>
        <v>612037500</v>
      </c>
    </row>
    <row r="93" spans="1:33" x14ac:dyDescent="0.2">
      <c r="A93">
        <v>2</v>
      </c>
      <c r="B93" t="s">
        <v>143</v>
      </c>
      <c r="C93" s="18" t="s">
        <v>485</v>
      </c>
      <c r="G93" s="23">
        <f t="shared" si="53"/>
        <v>20</v>
      </c>
      <c r="H93" s="4">
        <v>644250000</v>
      </c>
      <c r="I93" s="20">
        <f t="shared" ref="I93:I111" si="73">+H93/20</f>
        <v>32212500</v>
      </c>
      <c r="J93" s="20"/>
      <c r="K93" s="20">
        <f>+H93-I93</f>
        <v>612037500</v>
      </c>
      <c r="L93" s="20">
        <f>+K93-$I93</f>
        <v>579825000</v>
      </c>
      <c r="M93" s="20">
        <f t="shared" si="55"/>
        <v>547612500</v>
      </c>
      <c r="N93" s="20">
        <f t="shared" si="56"/>
        <v>515400000</v>
      </c>
      <c r="O93" s="20">
        <f t="shared" si="57"/>
        <v>483187500</v>
      </c>
      <c r="P93" s="20">
        <f t="shared" si="58"/>
        <v>450975000</v>
      </c>
      <c r="Q93" s="20">
        <f t="shared" si="59"/>
        <v>418762500</v>
      </c>
      <c r="R93" s="20">
        <f t="shared" si="60"/>
        <v>386550000</v>
      </c>
      <c r="S93" s="20">
        <f t="shared" si="61"/>
        <v>354337500</v>
      </c>
      <c r="T93" s="20">
        <f t="shared" si="62"/>
        <v>322125000</v>
      </c>
      <c r="U93" s="20">
        <f t="shared" si="63"/>
        <v>289912500</v>
      </c>
      <c r="V93" s="20">
        <f t="shared" si="64"/>
        <v>257700000</v>
      </c>
      <c r="W93" s="20">
        <f t="shared" si="65"/>
        <v>225487500</v>
      </c>
      <c r="X93" s="20">
        <f t="shared" si="66"/>
        <v>193275000</v>
      </c>
      <c r="Y93" s="20">
        <f t="shared" si="67"/>
        <v>161062500</v>
      </c>
      <c r="Z93" s="20">
        <f t="shared" si="68"/>
        <v>128850000</v>
      </c>
      <c r="AA93" s="20">
        <f t="shared" si="69"/>
        <v>96637500</v>
      </c>
      <c r="AB93" s="20">
        <f t="shared" si="70"/>
        <v>64425000</v>
      </c>
      <c r="AC93" s="20">
        <f t="shared" si="71"/>
        <v>32212500</v>
      </c>
      <c r="AE93" s="21">
        <f>SUM(I92:I93)</f>
        <v>64425000</v>
      </c>
      <c r="AF93" s="21">
        <f>SUM(K92:K93)</f>
        <v>1191862500</v>
      </c>
      <c r="AG93" s="21">
        <f t="shared" si="72"/>
        <v>579825000</v>
      </c>
    </row>
    <row r="94" spans="1:33" x14ac:dyDescent="0.2">
      <c r="A94">
        <v>3</v>
      </c>
      <c r="B94" t="s">
        <v>143</v>
      </c>
      <c r="C94" s="18" t="s">
        <v>486</v>
      </c>
      <c r="G94" s="23">
        <f t="shared" si="53"/>
        <v>20</v>
      </c>
      <c r="H94" s="4">
        <v>644250000</v>
      </c>
      <c r="I94" s="20">
        <f t="shared" si="73"/>
        <v>32212500</v>
      </c>
      <c r="J94" s="20"/>
      <c r="K94" s="20"/>
      <c r="L94" s="20">
        <f>+H94-I94</f>
        <v>612037500</v>
      </c>
      <c r="M94" s="20">
        <f>+L94-$I94</f>
        <v>579825000</v>
      </c>
      <c r="N94" s="20">
        <f t="shared" si="56"/>
        <v>547612500</v>
      </c>
      <c r="O94" s="20">
        <f t="shared" si="57"/>
        <v>515400000</v>
      </c>
      <c r="P94" s="20">
        <f t="shared" si="58"/>
        <v>483187500</v>
      </c>
      <c r="Q94" s="20">
        <f t="shared" si="59"/>
        <v>450975000</v>
      </c>
      <c r="R94" s="20">
        <f t="shared" si="60"/>
        <v>418762500</v>
      </c>
      <c r="S94" s="20">
        <f t="shared" si="61"/>
        <v>386550000</v>
      </c>
      <c r="T94" s="20">
        <f t="shared" si="62"/>
        <v>354337500</v>
      </c>
      <c r="U94" s="20">
        <f t="shared" si="63"/>
        <v>322125000</v>
      </c>
      <c r="V94" s="20">
        <f t="shared" si="64"/>
        <v>289912500</v>
      </c>
      <c r="W94" s="20">
        <f t="shared" si="65"/>
        <v>257700000</v>
      </c>
      <c r="X94" s="20">
        <f t="shared" si="66"/>
        <v>225487500</v>
      </c>
      <c r="Y94" s="20">
        <f t="shared" si="67"/>
        <v>193275000</v>
      </c>
      <c r="Z94" s="20">
        <f t="shared" si="68"/>
        <v>161062500</v>
      </c>
      <c r="AA94" s="20">
        <f t="shared" si="69"/>
        <v>128850000</v>
      </c>
      <c r="AB94" s="20">
        <f t="shared" si="70"/>
        <v>96637500</v>
      </c>
      <c r="AC94" s="20">
        <f t="shared" si="71"/>
        <v>64425000</v>
      </c>
      <c r="AE94" s="21">
        <f>SUM(I92:I94)</f>
        <v>96637500</v>
      </c>
      <c r="AF94" s="21">
        <f>SUM(L92:L94)</f>
        <v>1739475000</v>
      </c>
      <c r="AG94" s="21">
        <f t="shared" si="72"/>
        <v>547612500</v>
      </c>
    </row>
    <row r="95" spans="1:33" x14ac:dyDescent="0.2">
      <c r="A95">
        <v>4</v>
      </c>
      <c r="B95" t="s">
        <v>143</v>
      </c>
      <c r="C95" s="18" t="s">
        <v>487</v>
      </c>
      <c r="G95" s="23">
        <f t="shared" si="53"/>
        <v>20</v>
      </c>
      <c r="H95" s="4">
        <v>644250000</v>
      </c>
      <c r="I95" s="20">
        <f t="shared" si="73"/>
        <v>32212500</v>
      </c>
      <c r="J95" s="20"/>
      <c r="K95" s="20"/>
      <c r="L95" s="20"/>
      <c r="M95" s="20">
        <f>+H95-I95</f>
        <v>612037500</v>
      </c>
      <c r="N95" s="20">
        <f>+M95-$I95</f>
        <v>579825000</v>
      </c>
      <c r="O95" s="20">
        <f t="shared" si="57"/>
        <v>547612500</v>
      </c>
      <c r="P95" s="20">
        <f t="shared" si="58"/>
        <v>515400000</v>
      </c>
      <c r="Q95" s="20">
        <f t="shared" si="59"/>
        <v>483187500</v>
      </c>
      <c r="R95" s="20">
        <f t="shared" si="60"/>
        <v>450975000</v>
      </c>
      <c r="S95" s="20">
        <f t="shared" si="61"/>
        <v>418762500</v>
      </c>
      <c r="T95" s="20">
        <f t="shared" si="62"/>
        <v>386550000</v>
      </c>
      <c r="U95" s="20">
        <f t="shared" si="63"/>
        <v>354337500</v>
      </c>
      <c r="V95" s="20">
        <f t="shared" si="64"/>
        <v>322125000</v>
      </c>
      <c r="W95" s="20">
        <f t="shared" si="65"/>
        <v>289912500</v>
      </c>
      <c r="X95" s="20">
        <f t="shared" si="66"/>
        <v>257700000</v>
      </c>
      <c r="Y95" s="20">
        <f t="shared" si="67"/>
        <v>225487500</v>
      </c>
      <c r="Z95" s="20">
        <f t="shared" si="68"/>
        <v>193275000</v>
      </c>
      <c r="AA95" s="20">
        <f t="shared" si="69"/>
        <v>161062500</v>
      </c>
      <c r="AB95" s="20">
        <f t="shared" si="70"/>
        <v>128850000</v>
      </c>
      <c r="AC95" s="20">
        <f t="shared" si="71"/>
        <v>96637500</v>
      </c>
      <c r="AE95" s="21">
        <f>SUM(I92:I95)</f>
        <v>128850000</v>
      </c>
      <c r="AF95" s="21">
        <f>SUM(M92:M95)</f>
        <v>2254875000</v>
      </c>
      <c r="AG95" s="21">
        <f t="shared" si="72"/>
        <v>515400000</v>
      </c>
    </row>
    <row r="96" spans="1:33" x14ac:dyDescent="0.2">
      <c r="A96">
        <v>5</v>
      </c>
      <c r="B96" t="s">
        <v>143</v>
      </c>
      <c r="C96" s="18" t="s">
        <v>104</v>
      </c>
      <c r="G96" s="23">
        <f t="shared" si="53"/>
        <v>20</v>
      </c>
      <c r="H96" s="4">
        <v>681000000</v>
      </c>
      <c r="I96" s="20">
        <f t="shared" si="73"/>
        <v>34050000</v>
      </c>
      <c r="J96" s="20"/>
      <c r="K96" s="20"/>
      <c r="L96" s="20"/>
      <c r="M96" s="20"/>
      <c r="N96" s="20">
        <f>+H96-I96</f>
        <v>646950000</v>
      </c>
      <c r="O96" s="20">
        <f t="shared" si="57"/>
        <v>612900000</v>
      </c>
      <c r="P96" s="20">
        <f t="shared" si="58"/>
        <v>578850000</v>
      </c>
      <c r="Q96" s="20">
        <f t="shared" si="59"/>
        <v>544800000</v>
      </c>
      <c r="R96" s="20">
        <f t="shared" si="60"/>
        <v>510750000</v>
      </c>
      <c r="S96" s="20">
        <f t="shared" si="61"/>
        <v>476700000</v>
      </c>
      <c r="T96" s="20">
        <f t="shared" si="62"/>
        <v>442650000</v>
      </c>
      <c r="U96" s="20">
        <f t="shared" si="63"/>
        <v>408600000</v>
      </c>
      <c r="V96" s="20">
        <f t="shared" si="64"/>
        <v>374550000</v>
      </c>
      <c r="W96" s="20">
        <f t="shared" si="65"/>
        <v>340500000</v>
      </c>
      <c r="X96" s="20">
        <f t="shared" si="66"/>
        <v>306450000</v>
      </c>
      <c r="Y96" s="20">
        <f t="shared" si="67"/>
        <v>272400000</v>
      </c>
      <c r="Z96" s="20">
        <f t="shared" si="68"/>
        <v>238350000</v>
      </c>
      <c r="AA96" s="20">
        <f t="shared" si="69"/>
        <v>204300000</v>
      </c>
      <c r="AB96" s="20">
        <f t="shared" si="70"/>
        <v>170250000</v>
      </c>
      <c r="AC96" s="20">
        <f t="shared" si="71"/>
        <v>136200000</v>
      </c>
      <c r="AE96" s="21">
        <f>SUM(I92:I96)</f>
        <v>162900000</v>
      </c>
      <c r="AF96" s="21">
        <f>SUM(N92:N96)</f>
        <v>2772975000</v>
      </c>
      <c r="AG96" s="21">
        <f t="shared" si="72"/>
        <v>518100000</v>
      </c>
    </row>
    <row r="97" spans="1:33" x14ac:dyDescent="0.2">
      <c r="A97">
        <v>6</v>
      </c>
      <c r="B97" t="s">
        <v>143</v>
      </c>
      <c r="C97" s="18" t="s">
        <v>103</v>
      </c>
      <c r="G97" s="23">
        <f t="shared" si="53"/>
        <v>20</v>
      </c>
      <c r="H97" s="4">
        <v>626000000</v>
      </c>
      <c r="I97" s="20">
        <f t="shared" si="73"/>
        <v>31300000</v>
      </c>
      <c r="J97" s="20"/>
      <c r="K97" s="20"/>
      <c r="L97" s="20"/>
      <c r="M97" s="20"/>
      <c r="N97" s="20"/>
      <c r="O97" s="20">
        <f>+H97-I97</f>
        <v>594700000</v>
      </c>
      <c r="P97" s="20">
        <f t="shared" si="58"/>
        <v>563400000</v>
      </c>
      <c r="Q97" s="20">
        <f t="shared" si="59"/>
        <v>532100000</v>
      </c>
      <c r="R97" s="20">
        <f t="shared" si="60"/>
        <v>500800000</v>
      </c>
      <c r="S97" s="20">
        <f t="shared" si="61"/>
        <v>469500000</v>
      </c>
      <c r="T97" s="20">
        <f t="shared" si="62"/>
        <v>438200000</v>
      </c>
      <c r="U97" s="20">
        <f t="shared" si="63"/>
        <v>406900000</v>
      </c>
      <c r="V97" s="20">
        <f t="shared" si="64"/>
        <v>375600000</v>
      </c>
      <c r="W97" s="20">
        <f t="shared" si="65"/>
        <v>344300000</v>
      </c>
      <c r="X97" s="20">
        <f t="shared" si="66"/>
        <v>313000000</v>
      </c>
      <c r="Y97" s="20">
        <f t="shared" si="67"/>
        <v>281700000</v>
      </c>
      <c r="Z97" s="20">
        <f t="shared" si="68"/>
        <v>250400000</v>
      </c>
      <c r="AA97" s="20">
        <f t="shared" si="69"/>
        <v>219100000</v>
      </c>
      <c r="AB97" s="20">
        <f t="shared" si="70"/>
        <v>187800000</v>
      </c>
      <c r="AC97" s="20">
        <f t="shared" si="71"/>
        <v>156500000</v>
      </c>
      <c r="AE97" s="21">
        <f>SUM(I92:I97)</f>
        <v>194200000</v>
      </c>
      <c r="AF97" s="21">
        <f>SUM(O92:O97)</f>
        <v>3204775000</v>
      </c>
      <c r="AG97" s="21">
        <f t="shared" si="72"/>
        <v>431800000</v>
      </c>
    </row>
    <row r="98" spans="1:33" x14ac:dyDescent="0.2">
      <c r="A98">
        <v>7</v>
      </c>
      <c r="B98" t="s">
        <v>143</v>
      </c>
      <c r="C98" s="18" t="s">
        <v>102</v>
      </c>
      <c r="G98" s="23">
        <f t="shared" si="53"/>
        <v>20</v>
      </c>
      <c r="H98" s="4">
        <v>677000000</v>
      </c>
      <c r="I98" s="20">
        <f t="shared" si="73"/>
        <v>33850000</v>
      </c>
      <c r="J98" s="20"/>
      <c r="K98" s="20"/>
      <c r="L98" s="20"/>
      <c r="M98" s="20"/>
      <c r="N98" s="20"/>
      <c r="O98" s="20"/>
      <c r="P98" s="20">
        <f>+H98-I98</f>
        <v>643150000</v>
      </c>
      <c r="Q98" s="20">
        <f t="shared" si="59"/>
        <v>609300000</v>
      </c>
      <c r="R98" s="20">
        <f t="shared" si="60"/>
        <v>575450000</v>
      </c>
      <c r="S98" s="20">
        <f t="shared" si="61"/>
        <v>541600000</v>
      </c>
      <c r="T98" s="20">
        <f t="shared" si="62"/>
        <v>507750000</v>
      </c>
      <c r="U98" s="20">
        <f t="shared" si="63"/>
        <v>473900000</v>
      </c>
      <c r="V98" s="20">
        <f t="shared" si="64"/>
        <v>440050000</v>
      </c>
      <c r="W98" s="20">
        <f t="shared" si="65"/>
        <v>406200000</v>
      </c>
      <c r="X98" s="20">
        <f t="shared" si="66"/>
        <v>372350000</v>
      </c>
      <c r="Y98" s="20">
        <f t="shared" si="67"/>
        <v>338500000</v>
      </c>
      <c r="Z98" s="20">
        <f t="shared" si="68"/>
        <v>304650000</v>
      </c>
      <c r="AA98" s="20">
        <f t="shared" si="69"/>
        <v>270800000</v>
      </c>
      <c r="AB98" s="20">
        <f t="shared" si="70"/>
        <v>236950000</v>
      </c>
      <c r="AC98" s="20">
        <f t="shared" si="71"/>
        <v>203100000</v>
      </c>
      <c r="AE98" s="21">
        <f>SUM(I92:I98)</f>
        <v>228050000</v>
      </c>
      <c r="AF98" s="21">
        <f>SUM(P92:P98)</f>
        <v>3653725000</v>
      </c>
      <c r="AG98" s="21">
        <f t="shared" si="72"/>
        <v>448950000</v>
      </c>
    </row>
    <row r="99" spans="1:33" x14ac:dyDescent="0.2">
      <c r="A99">
        <v>8</v>
      </c>
      <c r="B99" t="s">
        <v>143</v>
      </c>
      <c r="C99" s="18" t="s">
        <v>101</v>
      </c>
      <c r="G99" s="23">
        <f t="shared" si="53"/>
        <v>20</v>
      </c>
      <c r="H99" s="4">
        <v>795000000</v>
      </c>
      <c r="I99" s="20">
        <f t="shared" si="73"/>
        <v>39750000</v>
      </c>
      <c r="J99" s="20"/>
      <c r="K99" s="20"/>
      <c r="L99" s="20"/>
      <c r="M99" s="20"/>
      <c r="N99" s="20"/>
      <c r="O99" s="20"/>
      <c r="P99" s="20"/>
      <c r="Q99" s="20">
        <f>+H99-I99</f>
        <v>755250000</v>
      </c>
      <c r="R99" s="20">
        <f t="shared" si="60"/>
        <v>715500000</v>
      </c>
      <c r="S99" s="20">
        <f t="shared" si="61"/>
        <v>675750000</v>
      </c>
      <c r="T99" s="20">
        <f t="shared" si="62"/>
        <v>636000000</v>
      </c>
      <c r="U99" s="20">
        <f t="shared" si="63"/>
        <v>596250000</v>
      </c>
      <c r="V99" s="20">
        <f t="shared" si="64"/>
        <v>556500000</v>
      </c>
      <c r="W99" s="20">
        <f t="shared" si="65"/>
        <v>516750000</v>
      </c>
      <c r="X99" s="20">
        <f t="shared" si="66"/>
        <v>477000000</v>
      </c>
      <c r="Y99" s="20">
        <f t="shared" si="67"/>
        <v>437250000</v>
      </c>
      <c r="Z99" s="20">
        <f t="shared" si="68"/>
        <v>397500000</v>
      </c>
      <c r="AA99" s="20">
        <f t="shared" si="69"/>
        <v>357750000</v>
      </c>
      <c r="AB99" s="20">
        <f t="shared" si="70"/>
        <v>318000000</v>
      </c>
      <c r="AC99" s="20">
        <f t="shared" si="71"/>
        <v>278250000</v>
      </c>
      <c r="AE99" s="21">
        <f>SUM(I92:I99)</f>
        <v>267800000</v>
      </c>
      <c r="AF99" s="21">
        <f>SUM(Q92:Q99)</f>
        <v>4180925000</v>
      </c>
      <c r="AG99" s="21">
        <f t="shared" si="72"/>
        <v>527200000</v>
      </c>
    </row>
    <row r="100" spans="1:33" x14ac:dyDescent="0.2">
      <c r="A100">
        <v>9</v>
      </c>
      <c r="B100" t="s">
        <v>143</v>
      </c>
      <c r="C100" s="18" t="s">
        <v>100</v>
      </c>
      <c r="D100" s="4">
        <v>3924000000</v>
      </c>
      <c r="E100" s="4">
        <v>5268000000</v>
      </c>
      <c r="F100" s="4">
        <v>7339000000</v>
      </c>
      <c r="G100" s="19">
        <v>20</v>
      </c>
      <c r="H100" s="4">
        <v>688000000</v>
      </c>
      <c r="I100" s="20">
        <f t="shared" si="73"/>
        <v>34400000</v>
      </c>
      <c r="J100" s="20"/>
      <c r="K100" s="20"/>
      <c r="L100" s="20"/>
      <c r="M100" s="20"/>
      <c r="N100" s="20"/>
      <c r="O100" s="20"/>
      <c r="P100" s="20"/>
      <c r="Q100" s="20"/>
      <c r="R100" s="20">
        <f>+H100-I100</f>
        <v>653600000</v>
      </c>
      <c r="S100" s="20">
        <f t="shared" si="61"/>
        <v>619200000</v>
      </c>
      <c r="T100" s="20">
        <f t="shared" si="62"/>
        <v>584800000</v>
      </c>
      <c r="U100" s="20">
        <f t="shared" si="63"/>
        <v>550400000</v>
      </c>
      <c r="V100" s="20">
        <f t="shared" si="64"/>
        <v>516000000</v>
      </c>
      <c r="W100" s="20">
        <f t="shared" si="65"/>
        <v>481600000</v>
      </c>
      <c r="X100" s="20">
        <f t="shared" si="66"/>
        <v>447200000</v>
      </c>
      <c r="Y100" s="20">
        <f t="shared" si="67"/>
        <v>412800000</v>
      </c>
      <c r="Z100" s="20">
        <f t="shared" si="68"/>
        <v>378400000</v>
      </c>
      <c r="AA100" s="20">
        <f t="shared" si="69"/>
        <v>344000000</v>
      </c>
      <c r="AB100" s="20">
        <f t="shared" si="70"/>
        <v>309600000</v>
      </c>
      <c r="AC100" s="20">
        <f t="shared" si="71"/>
        <v>275200000</v>
      </c>
      <c r="AE100" s="21">
        <f>SUM(I92:I100)</f>
        <v>302200000</v>
      </c>
      <c r="AF100" s="21">
        <f>SUM(R92:R100)</f>
        <v>4566725000</v>
      </c>
      <c r="AG100" s="21">
        <f t="shared" si="72"/>
        <v>385800000</v>
      </c>
    </row>
    <row r="101" spans="1:33" x14ac:dyDescent="0.2">
      <c r="A101">
        <v>10</v>
      </c>
      <c r="B101" t="s">
        <v>143</v>
      </c>
      <c r="C101" s="18" t="s">
        <v>99</v>
      </c>
      <c r="D101" s="22">
        <f>$D100</f>
        <v>3924000000</v>
      </c>
      <c r="E101" s="22">
        <f>$E100</f>
        <v>5268000000</v>
      </c>
      <c r="F101" s="22">
        <f>$F100</f>
        <v>7339000000</v>
      </c>
      <c r="G101" s="23">
        <f>$G$13</f>
        <v>20</v>
      </c>
      <c r="H101" s="4">
        <v>705000000</v>
      </c>
      <c r="I101" s="20">
        <f t="shared" si="73"/>
        <v>35250000</v>
      </c>
      <c r="J101" s="20"/>
      <c r="K101" s="20"/>
      <c r="L101" s="20"/>
      <c r="M101" s="20"/>
      <c r="N101" s="20"/>
      <c r="O101" s="20"/>
      <c r="P101" s="20"/>
      <c r="Q101" s="20"/>
      <c r="R101" s="20"/>
      <c r="S101" s="20">
        <f>+H101-I101</f>
        <v>669750000</v>
      </c>
      <c r="T101" s="20">
        <f t="shared" si="62"/>
        <v>634500000</v>
      </c>
      <c r="U101" s="20">
        <f t="shared" si="63"/>
        <v>599250000</v>
      </c>
      <c r="V101" s="20">
        <f t="shared" si="64"/>
        <v>564000000</v>
      </c>
      <c r="W101" s="20">
        <f t="shared" si="65"/>
        <v>528750000</v>
      </c>
      <c r="X101" s="20">
        <f t="shared" si="66"/>
        <v>493500000</v>
      </c>
      <c r="Y101" s="20">
        <f t="shared" si="67"/>
        <v>458250000</v>
      </c>
      <c r="Z101" s="20">
        <f t="shared" si="68"/>
        <v>423000000</v>
      </c>
      <c r="AA101" s="20">
        <f t="shared" si="69"/>
        <v>387750000</v>
      </c>
      <c r="AB101" s="20">
        <f t="shared" si="70"/>
        <v>352500000</v>
      </c>
      <c r="AC101" s="20">
        <f t="shared" si="71"/>
        <v>317250000</v>
      </c>
      <c r="AE101" s="21">
        <f>SUM(I92:I101)</f>
        <v>337450000</v>
      </c>
      <c r="AF101" s="21">
        <f>SUM(S92:S101)</f>
        <v>4934275000</v>
      </c>
      <c r="AG101" s="21">
        <f t="shared" si="72"/>
        <v>367550000</v>
      </c>
    </row>
    <row r="102" spans="1:33" x14ac:dyDescent="0.2">
      <c r="A102">
        <v>11</v>
      </c>
      <c r="B102" t="s">
        <v>143</v>
      </c>
      <c r="C102" s="18" t="s">
        <v>98</v>
      </c>
      <c r="D102" s="22">
        <f>$D100</f>
        <v>3924000000</v>
      </c>
      <c r="E102" s="22">
        <f>$E100</f>
        <v>5268000000</v>
      </c>
      <c r="F102" s="22">
        <f>$F100</f>
        <v>7339000000</v>
      </c>
      <c r="G102" s="23">
        <f t="shared" ref="G102:G111" si="74">$G$13</f>
        <v>20</v>
      </c>
      <c r="H102" s="4">
        <v>692000000</v>
      </c>
      <c r="I102" s="20">
        <f t="shared" si="73"/>
        <v>34600000</v>
      </c>
      <c r="J102" s="20"/>
      <c r="K102" s="20"/>
      <c r="L102" s="20"/>
      <c r="M102" s="20"/>
      <c r="N102" s="20"/>
      <c r="O102" s="20"/>
      <c r="P102" s="20"/>
      <c r="Q102" s="20"/>
      <c r="R102" s="20"/>
      <c r="S102" s="20"/>
      <c r="T102" s="20">
        <f>+H102-I102</f>
        <v>657400000</v>
      </c>
      <c r="U102" s="20">
        <f t="shared" si="63"/>
        <v>622800000</v>
      </c>
      <c r="V102" s="20">
        <f t="shared" si="64"/>
        <v>588200000</v>
      </c>
      <c r="W102" s="20">
        <f t="shared" si="65"/>
        <v>553600000</v>
      </c>
      <c r="X102" s="20">
        <f t="shared" si="66"/>
        <v>519000000</v>
      </c>
      <c r="Y102" s="20">
        <f t="shared" si="67"/>
        <v>484400000</v>
      </c>
      <c r="Z102" s="20">
        <f t="shared" si="68"/>
        <v>449800000</v>
      </c>
      <c r="AA102" s="20">
        <f t="shared" si="69"/>
        <v>415200000</v>
      </c>
      <c r="AB102" s="20">
        <f t="shared" si="70"/>
        <v>380600000</v>
      </c>
      <c r="AC102" s="20">
        <f t="shared" si="71"/>
        <v>346000000</v>
      </c>
      <c r="AE102" s="21">
        <f>SUM(I92:I102)</f>
        <v>372050000</v>
      </c>
      <c r="AF102" s="21">
        <f>SUM(T92:T102)</f>
        <v>5254225000</v>
      </c>
      <c r="AG102" s="21">
        <f t="shared" si="72"/>
        <v>319950000</v>
      </c>
    </row>
    <row r="103" spans="1:33" x14ac:dyDescent="0.2">
      <c r="A103">
        <v>12</v>
      </c>
      <c r="B103" t="s">
        <v>143</v>
      </c>
      <c r="C103" s="18" t="s">
        <v>97</v>
      </c>
      <c r="D103" s="22">
        <f>$D100</f>
        <v>3924000000</v>
      </c>
      <c r="E103" s="22">
        <f>$E100</f>
        <v>5268000000</v>
      </c>
      <c r="F103" s="22">
        <f>$F100</f>
        <v>7339000000</v>
      </c>
      <c r="G103" s="23">
        <f t="shared" si="74"/>
        <v>20</v>
      </c>
      <c r="H103" s="4">
        <v>716000000</v>
      </c>
      <c r="I103" s="20">
        <f t="shared" si="73"/>
        <v>35800000</v>
      </c>
      <c r="J103" s="20"/>
      <c r="K103" s="20"/>
      <c r="L103" s="20"/>
      <c r="M103" s="20"/>
      <c r="N103" s="20"/>
      <c r="O103" s="20"/>
      <c r="P103" s="20"/>
      <c r="Q103" s="20"/>
      <c r="R103" s="20"/>
      <c r="S103" s="20"/>
      <c r="T103" s="20"/>
      <c r="U103" s="20">
        <f>+H103-I103</f>
        <v>680200000</v>
      </c>
      <c r="V103" s="20">
        <f t="shared" si="64"/>
        <v>644400000</v>
      </c>
      <c r="W103" s="20">
        <f t="shared" si="65"/>
        <v>608600000</v>
      </c>
      <c r="X103" s="20">
        <f t="shared" si="66"/>
        <v>572800000</v>
      </c>
      <c r="Y103" s="20">
        <f t="shared" si="67"/>
        <v>537000000</v>
      </c>
      <c r="Z103" s="20">
        <f t="shared" si="68"/>
        <v>501200000</v>
      </c>
      <c r="AA103" s="20">
        <f t="shared" si="69"/>
        <v>465400000</v>
      </c>
      <c r="AB103" s="20">
        <f t="shared" si="70"/>
        <v>429600000</v>
      </c>
      <c r="AC103" s="20">
        <f t="shared" si="71"/>
        <v>393800000</v>
      </c>
      <c r="AE103" s="21">
        <f>SUM(I92:I103)</f>
        <v>407850000</v>
      </c>
      <c r="AF103" s="21">
        <f>SUM(U92:U103)</f>
        <v>5562375000</v>
      </c>
      <c r="AG103" s="21">
        <f t="shared" si="72"/>
        <v>308150000</v>
      </c>
    </row>
    <row r="104" spans="1:33" x14ac:dyDescent="0.2">
      <c r="A104">
        <v>13</v>
      </c>
      <c r="B104" t="s">
        <v>143</v>
      </c>
      <c r="C104" s="18" t="s">
        <v>96</v>
      </c>
      <c r="D104" s="22">
        <f>$D100</f>
        <v>3924000000</v>
      </c>
      <c r="E104" s="22">
        <f>$E100</f>
        <v>5268000000</v>
      </c>
      <c r="F104" s="22">
        <f>$F100</f>
        <v>7339000000</v>
      </c>
      <c r="G104" s="23">
        <f t="shared" si="74"/>
        <v>20</v>
      </c>
      <c r="H104" s="4">
        <v>763000000</v>
      </c>
      <c r="I104" s="20">
        <f t="shared" si="73"/>
        <v>38150000</v>
      </c>
      <c r="J104" s="20"/>
      <c r="K104" s="20"/>
      <c r="L104" s="20"/>
      <c r="M104" s="20"/>
      <c r="N104" s="20"/>
      <c r="O104" s="20"/>
      <c r="P104" s="20"/>
      <c r="Q104" s="20"/>
      <c r="R104" s="20"/>
      <c r="S104" s="20"/>
      <c r="T104" s="20"/>
      <c r="U104" s="20"/>
      <c r="V104" s="20">
        <f>+H104-I104</f>
        <v>724850000</v>
      </c>
      <c r="W104" s="20">
        <f t="shared" si="65"/>
        <v>686700000</v>
      </c>
      <c r="X104" s="20">
        <f t="shared" si="66"/>
        <v>648550000</v>
      </c>
      <c r="Y104" s="20">
        <f t="shared" si="67"/>
        <v>610400000</v>
      </c>
      <c r="Z104" s="20">
        <f t="shared" si="68"/>
        <v>572250000</v>
      </c>
      <c r="AA104" s="20">
        <f t="shared" si="69"/>
        <v>534100000</v>
      </c>
      <c r="AB104" s="20">
        <f t="shared" si="70"/>
        <v>495950000</v>
      </c>
      <c r="AC104" s="20">
        <f t="shared" si="71"/>
        <v>457800000</v>
      </c>
      <c r="AE104" s="21">
        <f>SUM(I92:I104)</f>
        <v>446000000</v>
      </c>
      <c r="AF104" s="21">
        <f>SUM(V92:V104)</f>
        <v>5879375000</v>
      </c>
      <c r="AG104" s="21">
        <f t="shared" si="72"/>
        <v>317000000</v>
      </c>
    </row>
    <row r="105" spans="1:33" x14ac:dyDescent="0.2">
      <c r="A105">
        <v>14</v>
      </c>
      <c r="B105" t="s">
        <v>143</v>
      </c>
      <c r="C105" s="18" t="s">
        <v>95</v>
      </c>
      <c r="D105" s="22">
        <f>$D100</f>
        <v>3924000000</v>
      </c>
      <c r="E105" s="22">
        <f>$E100</f>
        <v>5268000000</v>
      </c>
      <c r="F105" s="22">
        <f>$F100</f>
        <v>7339000000</v>
      </c>
      <c r="G105" s="23">
        <f t="shared" si="74"/>
        <v>20</v>
      </c>
      <c r="H105" s="4">
        <v>780000000</v>
      </c>
      <c r="I105" s="20">
        <f t="shared" si="73"/>
        <v>39000000</v>
      </c>
      <c r="J105" s="20"/>
      <c r="K105" s="20"/>
      <c r="L105" s="20"/>
      <c r="M105" s="20"/>
      <c r="N105" s="20"/>
      <c r="O105" s="20"/>
      <c r="P105" s="20"/>
      <c r="Q105" s="20"/>
      <c r="R105" s="20"/>
      <c r="S105" s="20"/>
      <c r="T105" s="20"/>
      <c r="U105" s="20"/>
      <c r="V105" s="20"/>
      <c r="W105" s="20">
        <f>+H105-I105</f>
        <v>741000000</v>
      </c>
      <c r="X105" s="20">
        <f t="shared" si="66"/>
        <v>702000000</v>
      </c>
      <c r="Y105" s="20">
        <f t="shared" si="67"/>
        <v>663000000</v>
      </c>
      <c r="Z105" s="20">
        <f t="shared" si="68"/>
        <v>624000000</v>
      </c>
      <c r="AA105" s="20">
        <f t="shared" si="69"/>
        <v>585000000</v>
      </c>
      <c r="AB105" s="20">
        <f t="shared" si="70"/>
        <v>546000000</v>
      </c>
      <c r="AC105" s="20">
        <f t="shared" si="71"/>
        <v>507000000</v>
      </c>
      <c r="AE105" s="21">
        <f>SUM(I92:I105)</f>
        <v>485000000</v>
      </c>
      <c r="AF105" s="21">
        <f>SUM(W92:W105)</f>
        <v>6174375000</v>
      </c>
      <c r="AG105" s="21">
        <f t="shared" si="72"/>
        <v>295000000</v>
      </c>
    </row>
    <row r="106" spans="1:33" x14ac:dyDescent="0.2">
      <c r="A106">
        <v>15</v>
      </c>
      <c r="B106" t="s">
        <v>143</v>
      </c>
      <c r="C106" s="18" t="s">
        <v>94</v>
      </c>
      <c r="D106" s="22">
        <f>$D100</f>
        <v>3924000000</v>
      </c>
      <c r="E106" s="22">
        <f>$E100</f>
        <v>5268000000</v>
      </c>
      <c r="F106" s="22">
        <f>$F100</f>
        <v>7339000000</v>
      </c>
      <c r="G106" s="23">
        <f t="shared" si="74"/>
        <v>20</v>
      </c>
      <c r="H106" s="4">
        <v>745000000</v>
      </c>
      <c r="I106" s="20">
        <f t="shared" si="73"/>
        <v>37250000</v>
      </c>
      <c r="J106" s="20"/>
      <c r="K106" s="20"/>
      <c r="L106" s="20"/>
      <c r="M106" s="20"/>
      <c r="N106" s="20"/>
      <c r="O106" s="20"/>
      <c r="P106" s="20"/>
      <c r="Q106" s="20"/>
      <c r="R106" s="20"/>
      <c r="S106" s="20"/>
      <c r="T106" s="20"/>
      <c r="U106" s="20"/>
      <c r="V106" s="20"/>
      <c r="W106" s="20"/>
      <c r="X106" s="20">
        <f>+H106-I106</f>
        <v>707750000</v>
      </c>
      <c r="Y106" s="20">
        <f t="shared" si="67"/>
        <v>670500000</v>
      </c>
      <c r="Z106" s="20">
        <f t="shared" si="68"/>
        <v>633250000</v>
      </c>
      <c r="AA106" s="20">
        <f t="shared" si="69"/>
        <v>596000000</v>
      </c>
      <c r="AB106" s="20">
        <f t="shared" si="70"/>
        <v>558750000</v>
      </c>
      <c r="AC106" s="20">
        <f t="shared" si="71"/>
        <v>521500000</v>
      </c>
      <c r="AE106" s="21">
        <f>SUM(I92:I106)</f>
        <v>522250000</v>
      </c>
      <c r="AF106" s="21">
        <f>SUM(X92:X106)</f>
        <v>6397125000</v>
      </c>
      <c r="AG106" s="21">
        <f t="shared" si="72"/>
        <v>222750000</v>
      </c>
    </row>
    <row r="107" spans="1:33" x14ac:dyDescent="0.2">
      <c r="A107">
        <v>16</v>
      </c>
      <c r="B107" t="s">
        <v>143</v>
      </c>
      <c r="C107" s="18" t="s">
        <v>93</v>
      </c>
      <c r="D107" s="22">
        <f>$D100</f>
        <v>3924000000</v>
      </c>
      <c r="E107" s="22">
        <f>$E100</f>
        <v>5268000000</v>
      </c>
      <c r="F107" s="22">
        <f>$F100</f>
        <v>7339000000</v>
      </c>
      <c r="G107" s="23">
        <f t="shared" si="74"/>
        <v>20</v>
      </c>
      <c r="H107" s="4">
        <v>773000000</v>
      </c>
      <c r="I107" s="20">
        <f t="shared" si="73"/>
        <v>38650000</v>
      </c>
      <c r="J107" s="20"/>
      <c r="K107" s="20"/>
      <c r="L107" s="20"/>
      <c r="M107" s="20"/>
      <c r="N107" s="20"/>
      <c r="O107" s="20"/>
      <c r="P107" s="20"/>
      <c r="Q107" s="20"/>
      <c r="R107" s="20"/>
      <c r="S107" s="20"/>
      <c r="T107" s="20"/>
      <c r="U107" s="20"/>
      <c r="V107" s="20"/>
      <c r="W107" s="20"/>
      <c r="X107" s="20"/>
      <c r="Y107" s="20">
        <f>+H107-I107</f>
        <v>734350000</v>
      </c>
      <c r="Z107" s="20">
        <f t="shared" si="68"/>
        <v>695700000</v>
      </c>
      <c r="AA107" s="20">
        <f t="shared" si="69"/>
        <v>657050000</v>
      </c>
      <c r="AB107" s="20">
        <f t="shared" si="70"/>
        <v>618400000</v>
      </c>
      <c r="AC107" s="20">
        <f t="shared" si="71"/>
        <v>579750000</v>
      </c>
      <c r="AE107" s="21">
        <f>SUM(I92:I107)</f>
        <v>560900000</v>
      </c>
      <c r="AF107" s="21">
        <f>SUM(Y92:Y107)</f>
        <v>6609225000</v>
      </c>
      <c r="AG107" s="21">
        <f t="shared" si="72"/>
        <v>212100000</v>
      </c>
    </row>
    <row r="108" spans="1:33" x14ac:dyDescent="0.2">
      <c r="A108">
        <v>17</v>
      </c>
      <c r="B108" t="s">
        <v>143</v>
      </c>
      <c r="C108" s="18" t="s">
        <v>141</v>
      </c>
      <c r="D108" s="22">
        <f>$D100</f>
        <v>3924000000</v>
      </c>
      <c r="E108" s="22">
        <f>$E100</f>
        <v>5268000000</v>
      </c>
      <c r="F108" s="22">
        <f>$F100</f>
        <v>7339000000</v>
      </c>
      <c r="G108" s="23">
        <f t="shared" si="74"/>
        <v>20</v>
      </c>
      <c r="H108" s="4">
        <v>808000000</v>
      </c>
      <c r="I108" s="20">
        <f t="shared" si="73"/>
        <v>40400000</v>
      </c>
      <c r="J108" s="20"/>
      <c r="K108" s="20"/>
      <c r="L108" s="20"/>
      <c r="M108" s="20"/>
      <c r="N108" s="20"/>
      <c r="O108" s="20"/>
      <c r="P108" s="20"/>
      <c r="Q108" s="20"/>
      <c r="R108" s="20"/>
      <c r="S108" s="20"/>
      <c r="T108" s="20"/>
      <c r="U108" s="20"/>
      <c r="V108" s="20"/>
      <c r="W108" s="20"/>
      <c r="X108" s="20"/>
      <c r="Y108" s="20"/>
      <c r="Z108" s="20">
        <f>+H108-I108</f>
        <v>767600000</v>
      </c>
      <c r="AA108" s="20">
        <f t="shared" si="69"/>
        <v>727200000</v>
      </c>
      <c r="AB108" s="20">
        <f t="shared" si="70"/>
        <v>686800000</v>
      </c>
      <c r="AC108" s="20">
        <f t="shared" si="71"/>
        <v>646400000</v>
      </c>
      <c r="AE108" s="21">
        <f>SUM(I92:I108)</f>
        <v>601300000</v>
      </c>
      <c r="AF108" s="21">
        <f>SUM(Z92:Z108)</f>
        <v>6815925000</v>
      </c>
      <c r="AG108" s="21">
        <f t="shared" si="72"/>
        <v>206700000</v>
      </c>
    </row>
    <row r="109" spans="1:33" x14ac:dyDescent="0.2">
      <c r="A109">
        <v>18</v>
      </c>
      <c r="B109" t="s">
        <v>143</v>
      </c>
      <c r="C109" s="18" t="s">
        <v>160</v>
      </c>
      <c r="D109" s="22">
        <f>$D100</f>
        <v>3924000000</v>
      </c>
      <c r="E109" s="22">
        <f>$E100</f>
        <v>5268000000</v>
      </c>
      <c r="F109" s="22">
        <f>$F100</f>
        <v>7339000000</v>
      </c>
      <c r="G109" s="23">
        <f t="shared" si="74"/>
        <v>20</v>
      </c>
      <c r="H109" s="4">
        <v>785000000</v>
      </c>
      <c r="I109" s="20">
        <f t="shared" si="73"/>
        <v>39250000</v>
      </c>
      <c r="J109" s="20"/>
      <c r="K109" s="20"/>
      <c r="L109" s="20"/>
      <c r="M109" s="20"/>
      <c r="N109" s="20"/>
      <c r="O109" s="20"/>
      <c r="P109" s="20"/>
      <c r="Q109" s="20"/>
      <c r="R109" s="20"/>
      <c r="S109" s="20"/>
      <c r="T109" s="20"/>
      <c r="U109" s="20"/>
      <c r="V109" s="20"/>
      <c r="W109" s="20"/>
      <c r="X109" s="20"/>
      <c r="Y109" s="20"/>
      <c r="Z109" s="20"/>
      <c r="AA109" s="20">
        <f>+H109-I109</f>
        <v>745750000</v>
      </c>
      <c r="AB109" s="20">
        <f t="shared" si="70"/>
        <v>706500000</v>
      </c>
      <c r="AC109" s="20">
        <f t="shared" si="71"/>
        <v>667250000</v>
      </c>
      <c r="AE109" s="21">
        <f>SUM(I92:I109)</f>
        <v>640550000</v>
      </c>
      <c r="AF109" s="21">
        <f>SUM(AA92:AA109)</f>
        <v>6960375000</v>
      </c>
      <c r="AG109" s="21">
        <f t="shared" si="72"/>
        <v>144450000</v>
      </c>
    </row>
    <row r="110" spans="1:33" x14ac:dyDescent="0.2">
      <c r="A110">
        <v>19</v>
      </c>
      <c r="B110" t="s">
        <v>143</v>
      </c>
      <c r="C110" s="18" t="s">
        <v>161</v>
      </c>
      <c r="D110" s="22">
        <f>$D100</f>
        <v>3924000000</v>
      </c>
      <c r="E110" s="22">
        <f>$E100</f>
        <v>5268000000</v>
      </c>
      <c r="F110" s="22">
        <f>$F100</f>
        <v>7339000000</v>
      </c>
      <c r="G110" s="23">
        <f t="shared" si="74"/>
        <v>20</v>
      </c>
      <c r="H110" s="4">
        <v>752000000</v>
      </c>
      <c r="I110" s="20">
        <f t="shared" si="73"/>
        <v>37600000</v>
      </c>
      <c r="J110" s="20"/>
      <c r="K110" s="20"/>
      <c r="L110" s="20"/>
      <c r="M110" s="20"/>
      <c r="N110" s="20"/>
      <c r="O110" s="20"/>
      <c r="P110" s="20"/>
      <c r="Q110" s="20"/>
      <c r="R110" s="20"/>
      <c r="S110" s="20"/>
      <c r="T110" s="20"/>
      <c r="U110" s="20"/>
      <c r="V110" s="20"/>
      <c r="W110" s="20"/>
      <c r="X110" s="20"/>
      <c r="Y110" s="20"/>
      <c r="Z110" s="20"/>
      <c r="AA110" s="20"/>
      <c r="AB110" s="20">
        <f>+H110-I110</f>
        <v>714400000</v>
      </c>
      <c r="AC110" s="20">
        <f t="shared" si="71"/>
        <v>676800000</v>
      </c>
      <c r="AE110" s="21">
        <f>SUM(I92:I110)</f>
        <v>678150000</v>
      </c>
      <c r="AF110" s="21">
        <f>SUM(AB92:AB110)</f>
        <v>7034225000</v>
      </c>
      <c r="AG110" s="21">
        <f t="shared" si="72"/>
        <v>73850000</v>
      </c>
    </row>
    <row r="111" spans="1:33" x14ac:dyDescent="0.2">
      <c r="A111">
        <v>20</v>
      </c>
      <c r="B111" t="s">
        <v>143</v>
      </c>
      <c r="C111" s="18" t="s">
        <v>162</v>
      </c>
      <c r="D111" s="22">
        <f>$D100</f>
        <v>3924000000</v>
      </c>
      <c r="E111" s="22">
        <f>$E100</f>
        <v>5268000000</v>
      </c>
      <c r="F111" s="22">
        <f>$F100</f>
        <v>7339000000</v>
      </c>
      <c r="G111" s="23">
        <f t="shared" si="74"/>
        <v>20</v>
      </c>
      <c r="H111" s="4">
        <v>797000000</v>
      </c>
      <c r="I111" s="20">
        <f t="shared" si="73"/>
        <v>39850000</v>
      </c>
      <c r="J111" s="20"/>
      <c r="K111" s="20"/>
      <c r="L111" s="20"/>
      <c r="M111" s="20"/>
      <c r="N111" s="20"/>
      <c r="O111" s="20"/>
      <c r="P111" s="20"/>
      <c r="Q111" s="20"/>
      <c r="R111" s="20"/>
      <c r="S111" s="20"/>
      <c r="T111" s="20"/>
      <c r="U111" s="20"/>
      <c r="V111" s="20"/>
      <c r="W111" s="20"/>
      <c r="X111" s="20"/>
      <c r="Y111" s="20"/>
      <c r="Z111" s="20"/>
      <c r="AA111" s="20"/>
      <c r="AB111" s="20"/>
      <c r="AC111" s="20">
        <f>+H111-I111</f>
        <v>757150000</v>
      </c>
      <c r="AE111" s="21">
        <f>SUM(I92:I111)</f>
        <v>718000000</v>
      </c>
      <c r="AF111" s="21">
        <f>SUM(AC92:AC111)</f>
        <v>7113225000</v>
      </c>
      <c r="AG111" s="21">
        <f t="shared" si="72"/>
        <v>79000000</v>
      </c>
    </row>
    <row r="114" spans="2:33" x14ac:dyDescent="0.2">
      <c r="C114" t="s">
        <v>163</v>
      </c>
    </row>
    <row r="115" spans="2:33" x14ac:dyDescent="0.2">
      <c r="C115" s="6" t="s">
        <v>107</v>
      </c>
      <c r="D115" s="6" t="s">
        <v>438</v>
      </c>
      <c r="E115" s="6" t="s">
        <v>439</v>
      </c>
      <c r="F115" s="6" t="s">
        <v>440</v>
      </c>
      <c r="G115" s="6" t="s">
        <v>441</v>
      </c>
      <c r="H115" s="6" t="s">
        <v>442</v>
      </c>
      <c r="I115" s="15"/>
      <c r="J115" s="6" t="s">
        <v>443</v>
      </c>
      <c r="K115" s="6" t="s">
        <v>444</v>
      </c>
      <c r="L115" s="6" t="s">
        <v>445</v>
      </c>
      <c r="M115" s="6" t="s">
        <v>446</v>
      </c>
      <c r="N115" s="6" t="s">
        <v>447</v>
      </c>
      <c r="O115" s="6" t="s">
        <v>448</v>
      </c>
      <c r="P115" s="6" t="s">
        <v>449</v>
      </c>
      <c r="Q115" s="6" t="s">
        <v>450</v>
      </c>
      <c r="R115" s="6" t="s">
        <v>451</v>
      </c>
      <c r="S115" s="6" t="s">
        <v>452</v>
      </c>
      <c r="T115" s="6" t="s">
        <v>453</v>
      </c>
      <c r="U115" s="6" t="s">
        <v>454</v>
      </c>
      <c r="V115" s="6" t="s">
        <v>455</v>
      </c>
      <c r="W115" s="6" t="s">
        <v>456</v>
      </c>
      <c r="X115" s="6" t="s">
        <v>457</v>
      </c>
      <c r="Y115" s="6" t="s">
        <v>458</v>
      </c>
      <c r="Z115" s="6" t="s">
        <v>459</v>
      </c>
      <c r="AA115" s="6" t="s">
        <v>460</v>
      </c>
      <c r="AB115" s="6" t="s">
        <v>461</v>
      </c>
      <c r="AC115" s="6" t="s">
        <v>462</v>
      </c>
      <c r="AD115" s="15"/>
      <c r="AE115" s="6" t="s">
        <v>106</v>
      </c>
      <c r="AF115" s="6" t="s">
        <v>105</v>
      </c>
      <c r="AG115" s="6" t="s">
        <v>463</v>
      </c>
    </row>
    <row r="116" spans="2:33" x14ac:dyDescent="0.2">
      <c r="C116" s="16" t="s">
        <v>464</v>
      </c>
      <c r="J116" s="17">
        <v>20</v>
      </c>
      <c r="K116" s="17">
        <v>19</v>
      </c>
      <c r="L116" s="17">
        <v>18</v>
      </c>
      <c r="M116" s="17">
        <v>17</v>
      </c>
      <c r="N116" s="17">
        <v>16</v>
      </c>
      <c r="O116" s="17">
        <v>15</v>
      </c>
      <c r="P116" s="17">
        <v>14</v>
      </c>
      <c r="Q116" s="17">
        <v>13</v>
      </c>
      <c r="R116" s="17">
        <v>12</v>
      </c>
      <c r="S116" s="17">
        <v>11</v>
      </c>
      <c r="T116" s="17">
        <v>10</v>
      </c>
      <c r="U116" s="17">
        <v>9</v>
      </c>
      <c r="V116" s="17">
        <v>8</v>
      </c>
      <c r="W116" s="17">
        <v>7</v>
      </c>
      <c r="X116" s="17">
        <v>6</v>
      </c>
      <c r="Y116" s="17">
        <v>5</v>
      </c>
      <c r="Z116" s="17">
        <v>4</v>
      </c>
      <c r="AA116" s="17">
        <v>3</v>
      </c>
      <c r="AB116" s="17">
        <v>2</v>
      </c>
      <c r="AC116" s="17">
        <v>1</v>
      </c>
    </row>
    <row r="117" spans="2:33" x14ac:dyDescent="0.2">
      <c r="B117" t="s">
        <v>163</v>
      </c>
      <c r="C117" s="18" t="s">
        <v>102</v>
      </c>
      <c r="D117" s="4">
        <v>19269000000</v>
      </c>
      <c r="E117" s="4">
        <v>20716000000</v>
      </c>
      <c r="F117" s="4">
        <v>24512000000</v>
      </c>
      <c r="G117" s="19">
        <v>20</v>
      </c>
      <c r="H117" s="4">
        <v>6984000000</v>
      </c>
      <c r="J117" s="20">
        <f t="shared" ref="J117:J128" si="75">H117</f>
        <v>6984000000</v>
      </c>
      <c r="K117" s="20">
        <f>$F117/4</f>
        <v>6128000000</v>
      </c>
      <c r="L117" s="20">
        <f>$F117/4</f>
        <v>6128000000</v>
      </c>
      <c r="M117" s="20">
        <f>$F117/4</f>
        <v>6128000000</v>
      </c>
      <c r="N117" s="20">
        <f>$F117/4</f>
        <v>6128000000</v>
      </c>
      <c r="O117" s="20">
        <f>$E117/4</f>
        <v>5179000000</v>
      </c>
      <c r="P117" s="20">
        <f>$E117/4</f>
        <v>5179000000</v>
      </c>
      <c r="Q117" s="20">
        <f>$E117/4</f>
        <v>5179000000</v>
      </c>
      <c r="R117" s="20">
        <f>$E117/4</f>
        <v>5179000000</v>
      </c>
      <c r="S117" s="20">
        <f>$D117/4</f>
        <v>4817250000</v>
      </c>
      <c r="T117" s="20">
        <f>$D117/4</f>
        <v>4817250000</v>
      </c>
      <c r="U117" s="20">
        <f>$D117/4</f>
        <v>4817250000</v>
      </c>
      <c r="V117" s="20">
        <f>$D117/4</f>
        <v>4817250000</v>
      </c>
      <c r="W117" s="20">
        <v>0</v>
      </c>
      <c r="X117" s="20">
        <v>0</v>
      </c>
      <c r="Y117" s="20">
        <v>0</v>
      </c>
      <c r="Z117" s="20">
        <v>0</v>
      </c>
      <c r="AA117" s="20">
        <v>0</v>
      </c>
      <c r="AB117" s="20">
        <v>0</v>
      </c>
      <c r="AC117" s="20">
        <v>0</v>
      </c>
      <c r="AE117" s="21">
        <f>SUM(J117:AC117)/$G117</f>
        <v>3574050000</v>
      </c>
      <c r="AF117" s="21">
        <f>SUMPRODUCT($J$116:$AC$116,J117:AC117)/$G117</f>
        <v>51568075000</v>
      </c>
      <c r="AG117" s="21">
        <f t="shared" ref="AG117:AG128" si="76">H117-AE117</f>
        <v>3409950000</v>
      </c>
    </row>
    <row r="118" spans="2:33" x14ac:dyDescent="0.2">
      <c r="B118" t="s">
        <v>163</v>
      </c>
      <c r="C118" s="18" t="s">
        <v>101</v>
      </c>
      <c r="D118" s="22">
        <f>$D117</f>
        <v>19269000000</v>
      </c>
      <c r="E118" s="22">
        <f>$E117</f>
        <v>20716000000</v>
      </c>
      <c r="F118" s="22">
        <f>$F117</f>
        <v>24512000000</v>
      </c>
      <c r="G118" s="23">
        <f>$G$117</f>
        <v>20</v>
      </c>
      <c r="H118" s="4">
        <v>6739000000</v>
      </c>
      <c r="J118" s="20">
        <f t="shared" si="75"/>
        <v>6739000000</v>
      </c>
      <c r="K118" s="20">
        <f t="shared" ref="K118:K128" si="77">H117</f>
        <v>6984000000</v>
      </c>
      <c r="L118" s="20">
        <f>$F117/4</f>
        <v>6128000000</v>
      </c>
      <c r="M118" s="20">
        <f>$F117/4</f>
        <v>6128000000</v>
      </c>
      <c r="N118" s="20">
        <f>$F117/4</f>
        <v>6128000000</v>
      </c>
      <c r="O118" s="20">
        <f>$F117/4</f>
        <v>6128000000</v>
      </c>
      <c r="P118" s="20">
        <f>$E117/4</f>
        <v>5179000000</v>
      </c>
      <c r="Q118" s="20">
        <f>$E117/4</f>
        <v>5179000000</v>
      </c>
      <c r="R118" s="20">
        <f>$E117/4</f>
        <v>5179000000</v>
      </c>
      <c r="S118" s="20">
        <f>$E117/4</f>
        <v>5179000000</v>
      </c>
      <c r="T118" s="20">
        <f>$D117/4</f>
        <v>4817250000</v>
      </c>
      <c r="U118" s="20">
        <f>$D117/4</f>
        <v>4817250000</v>
      </c>
      <c r="V118" s="20">
        <f>$D117/4</f>
        <v>4817250000</v>
      </c>
      <c r="W118" s="20">
        <f>$D117/4</f>
        <v>4817250000</v>
      </c>
      <c r="X118" s="20">
        <v>0</v>
      </c>
      <c r="Y118" s="20">
        <v>0</v>
      </c>
      <c r="Z118" s="20">
        <v>0</v>
      </c>
      <c r="AA118" s="20">
        <v>0</v>
      </c>
      <c r="AB118" s="20">
        <v>0</v>
      </c>
      <c r="AC118" s="20">
        <v>0</v>
      </c>
      <c r="AE118" s="21">
        <f t="shared" ref="AE118:AE128" si="78">SUM(J118:AC118)/$G118</f>
        <v>3911000000</v>
      </c>
      <c r="AF118" s="21">
        <f t="shared" ref="AF118:AF128" si="79">SUMPRODUCT($J$116:$AC$116,J118:AC118)/$G118</f>
        <v>54733025000</v>
      </c>
      <c r="AG118" s="21">
        <f t="shared" si="76"/>
        <v>2828000000</v>
      </c>
    </row>
    <row r="119" spans="2:33" x14ac:dyDescent="0.2">
      <c r="B119" t="s">
        <v>163</v>
      </c>
      <c r="C119" s="18" t="s">
        <v>100</v>
      </c>
      <c r="D119" s="22">
        <f>$D117</f>
        <v>19269000000</v>
      </c>
      <c r="E119" s="22">
        <f>$E117</f>
        <v>20716000000</v>
      </c>
      <c r="F119" s="22">
        <f>$F117</f>
        <v>24512000000</v>
      </c>
      <c r="G119" s="23">
        <f t="shared" ref="G119:G128" si="80">$G$117</f>
        <v>20</v>
      </c>
      <c r="H119" s="4">
        <v>6659000000</v>
      </c>
      <c r="J119" s="20">
        <f t="shared" si="75"/>
        <v>6659000000</v>
      </c>
      <c r="K119" s="20">
        <f t="shared" si="77"/>
        <v>6739000000</v>
      </c>
      <c r="L119" s="20">
        <f t="shared" ref="L119:L128" si="81">H117</f>
        <v>6984000000</v>
      </c>
      <c r="M119" s="20">
        <f>$F117/4</f>
        <v>6128000000</v>
      </c>
      <c r="N119" s="20">
        <f>$F117/4</f>
        <v>6128000000</v>
      </c>
      <c r="O119" s="20">
        <f>$F117/4</f>
        <v>6128000000</v>
      </c>
      <c r="P119" s="20">
        <f>$F117/4</f>
        <v>6128000000</v>
      </c>
      <c r="Q119" s="20">
        <f>$E117/4</f>
        <v>5179000000</v>
      </c>
      <c r="R119" s="20">
        <f>$E117/4</f>
        <v>5179000000</v>
      </c>
      <c r="S119" s="20">
        <f>$E117/4</f>
        <v>5179000000</v>
      </c>
      <c r="T119" s="20">
        <f>$E117/4</f>
        <v>5179000000</v>
      </c>
      <c r="U119" s="20">
        <f>$D117/4</f>
        <v>4817250000</v>
      </c>
      <c r="V119" s="20">
        <f>$D117/4</f>
        <v>4817250000</v>
      </c>
      <c r="W119" s="20">
        <f>$D117/4</f>
        <v>4817250000</v>
      </c>
      <c r="X119" s="20">
        <f>$D117/4</f>
        <v>4817250000</v>
      </c>
      <c r="Y119" s="20">
        <v>0</v>
      </c>
      <c r="Z119" s="20">
        <v>0</v>
      </c>
      <c r="AA119" s="20">
        <v>0</v>
      </c>
      <c r="AB119" s="20">
        <v>0</v>
      </c>
      <c r="AC119" s="20">
        <v>0</v>
      </c>
      <c r="AE119" s="21">
        <f t="shared" si="78"/>
        <v>4243950000</v>
      </c>
      <c r="AF119" s="21">
        <f t="shared" si="79"/>
        <v>57481025000</v>
      </c>
      <c r="AG119" s="21">
        <f t="shared" si="76"/>
        <v>2415050000</v>
      </c>
    </row>
    <row r="120" spans="2:33" x14ac:dyDescent="0.2">
      <c r="B120" t="s">
        <v>163</v>
      </c>
      <c r="C120" s="18" t="s">
        <v>99</v>
      </c>
      <c r="D120" s="22">
        <f>$D117</f>
        <v>19269000000</v>
      </c>
      <c r="E120" s="22">
        <f>$E117</f>
        <v>20716000000</v>
      </c>
      <c r="F120" s="22">
        <f>$F117</f>
        <v>24512000000</v>
      </c>
      <c r="G120" s="23">
        <f t="shared" si="80"/>
        <v>20</v>
      </c>
      <c r="H120" s="4">
        <v>7142000000</v>
      </c>
      <c r="J120" s="20">
        <f t="shared" si="75"/>
        <v>7142000000</v>
      </c>
      <c r="K120" s="20">
        <f t="shared" si="77"/>
        <v>6659000000</v>
      </c>
      <c r="L120" s="20">
        <f t="shared" si="81"/>
        <v>6739000000</v>
      </c>
      <c r="M120" s="20">
        <f t="shared" ref="M120:M128" si="82">H117</f>
        <v>6984000000</v>
      </c>
      <c r="N120" s="20">
        <f>$F117/4</f>
        <v>6128000000</v>
      </c>
      <c r="O120" s="20">
        <f>$F117/4</f>
        <v>6128000000</v>
      </c>
      <c r="P120" s="20">
        <f>$F117/4</f>
        <v>6128000000</v>
      </c>
      <c r="Q120" s="20">
        <f>$F117/4</f>
        <v>6128000000</v>
      </c>
      <c r="R120" s="20">
        <f>$E117/4</f>
        <v>5179000000</v>
      </c>
      <c r="S120" s="20">
        <f>$E117/4</f>
        <v>5179000000</v>
      </c>
      <c r="T120" s="20">
        <f>$E117/4</f>
        <v>5179000000</v>
      </c>
      <c r="U120" s="20">
        <f>$E117/4</f>
        <v>5179000000</v>
      </c>
      <c r="V120" s="20">
        <f>$D117/4</f>
        <v>4817250000</v>
      </c>
      <c r="W120" s="20">
        <f>$D117/4</f>
        <v>4817250000</v>
      </c>
      <c r="X120" s="20">
        <f>$D117/4</f>
        <v>4817250000</v>
      </c>
      <c r="Y120" s="20">
        <f>$D117/4</f>
        <v>4817250000</v>
      </c>
      <c r="Z120" s="20">
        <v>0</v>
      </c>
      <c r="AA120" s="20">
        <v>0</v>
      </c>
      <c r="AB120" s="20">
        <v>0</v>
      </c>
      <c r="AC120" s="20">
        <v>0</v>
      </c>
      <c r="AE120" s="21">
        <f t="shared" si="78"/>
        <v>4601050000</v>
      </c>
      <c r="AF120" s="21">
        <f t="shared" si="79"/>
        <v>60379075000</v>
      </c>
      <c r="AG120" s="21">
        <f t="shared" si="76"/>
        <v>2540950000</v>
      </c>
    </row>
    <row r="121" spans="2:33" x14ac:dyDescent="0.2">
      <c r="B121" t="s">
        <v>163</v>
      </c>
      <c r="C121" s="18" t="s">
        <v>98</v>
      </c>
      <c r="D121" s="22">
        <f>$D117</f>
        <v>19269000000</v>
      </c>
      <c r="E121" s="22">
        <f>$E117</f>
        <v>20716000000</v>
      </c>
      <c r="F121" s="22">
        <f>$F117</f>
        <v>24512000000</v>
      </c>
      <c r="G121" s="23">
        <f t="shared" si="80"/>
        <v>20</v>
      </c>
      <c r="H121" s="4">
        <v>7653000000</v>
      </c>
      <c r="J121" s="20">
        <f t="shared" si="75"/>
        <v>7653000000</v>
      </c>
      <c r="K121" s="20">
        <f t="shared" si="77"/>
        <v>7142000000</v>
      </c>
      <c r="L121" s="20">
        <f t="shared" si="81"/>
        <v>6659000000</v>
      </c>
      <c r="M121" s="20">
        <f t="shared" si="82"/>
        <v>6739000000</v>
      </c>
      <c r="N121" s="20">
        <f t="shared" ref="N121:N128" si="83">H117</f>
        <v>6984000000</v>
      </c>
      <c r="O121" s="20">
        <f>$F117/4</f>
        <v>6128000000</v>
      </c>
      <c r="P121" s="20">
        <f>$F117/4</f>
        <v>6128000000</v>
      </c>
      <c r="Q121" s="20">
        <f>$F117/4</f>
        <v>6128000000</v>
      </c>
      <c r="R121" s="20">
        <f>$F117/4</f>
        <v>6128000000</v>
      </c>
      <c r="S121" s="20">
        <f>$E117/4</f>
        <v>5179000000</v>
      </c>
      <c r="T121" s="20">
        <f>$E117/4</f>
        <v>5179000000</v>
      </c>
      <c r="U121" s="20">
        <f>$E117/4</f>
        <v>5179000000</v>
      </c>
      <c r="V121" s="20">
        <f>$E117/4</f>
        <v>5179000000</v>
      </c>
      <c r="W121" s="20">
        <f>$D117/4</f>
        <v>4817250000</v>
      </c>
      <c r="X121" s="20">
        <f>$D117/4</f>
        <v>4817250000</v>
      </c>
      <c r="Y121" s="20">
        <f>$D117/4</f>
        <v>4817250000</v>
      </c>
      <c r="Z121" s="20">
        <f>$D117/4</f>
        <v>4817250000</v>
      </c>
      <c r="AA121" s="20">
        <v>0</v>
      </c>
      <c r="AB121" s="20">
        <v>0</v>
      </c>
      <c r="AC121" s="20">
        <v>0</v>
      </c>
      <c r="AE121" s="21">
        <f t="shared" si="78"/>
        <v>4983700000</v>
      </c>
      <c r="AF121" s="21">
        <f t="shared" si="79"/>
        <v>63431025000</v>
      </c>
      <c r="AG121" s="21">
        <f t="shared" si="76"/>
        <v>2669300000</v>
      </c>
    </row>
    <row r="122" spans="2:33" x14ac:dyDescent="0.2">
      <c r="B122" t="s">
        <v>163</v>
      </c>
      <c r="C122" s="18" t="s">
        <v>97</v>
      </c>
      <c r="D122" s="22">
        <f>$D117</f>
        <v>19269000000</v>
      </c>
      <c r="E122" s="22">
        <f>$E117</f>
        <v>20716000000</v>
      </c>
      <c r="F122" s="22">
        <f>$F117</f>
        <v>24512000000</v>
      </c>
      <c r="G122" s="23">
        <f t="shared" si="80"/>
        <v>20</v>
      </c>
      <c r="H122" s="4">
        <v>8056000000</v>
      </c>
      <c r="J122" s="20">
        <f t="shared" si="75"/>
        <v>8056000000</v>
      </c>
      <c r="K122" s="20">
        <f t="shared" si="77"/>
        <v>7653000000</v>
      </c>
      <c r="L122" s="20">
        <f t="shared" si="81"/>
        <v>7142000000</v>
      </c>
      <c r="M122" s="20">
        <f t="shared" si="82"/>
        <v>6659000000</v>
      </c>
      <c r="N122" s="20">
        <f t="shared" si="83"/>
        <v>6739000000</v>
      </c>
      <c r="O122" s="20">
        <f t="shared" ref="O122:O128" si="84">H117</f>
        <v>6984000000</v>
      </c>
      <c r="P122" s="20">
        <f>$F117/4</f>
        <v>6128000000</v>
      </c>
      <c r="Q122" s="20">
        <f>$F117/4</f>
        <v>6128000000</v>
      </c>
      <c r="R122" s="20">
        <f>$F117/4</f>
        <v>6128000000</v>
      </c>
      <c r="S122" s="20">
        <f>$F117/4</f>
        <v>6128000000</v>
      </c>
      <c r="T122" s="20">
        <f>$E117/4</f>
        <v>5179000000</v>
      </c>
      <c r="U122" s="20">
        <f>$E117/4</f>
        <v>5179000000</v>
      </c>
      <c r="V122" s="20">
        <f>$E117/4</f>
        <v>5179000000</v>
      </c>
      <c r="W122" s="20">
        <f>$E117/4</f>
        <v>5179000000</v>
      </c>
      <c r="X122" s="20">
        <f>$D117/4</f>
        <v>4817250000</v>
      </c>
      <c r="Y122" s="20">
        <f>$D117/4</f>
        <v>4817250000</v>
      </c>
      <c r="Z122" s="20">
        <f>$D117/4</f>
        <v>4817250000</v>
      </c>
      <c r="AA122" s="20">
        <f>$D117/4</f>
        <v>4817250000</v>
      </c>
      <c r="AB122" s="20">
        <v>0</v>
      </c>
      <c r="AC122" s="20">
        <v>0</v>
      </c>
      <c r="AE122" s="21">
        <f t="shared" si="78"/>
        <v>5386500000</v>
      </c>
      <c r="AF122" s="21">
        <f t="shared" si="79"/>
        <v>66503325000</v>
      </c>
      <c r="AG122" s="21">
        <f t="shared" si="76"/>
        <v>2669500000</v>
      </c>
    </row>
    <row r="123" spans="2:33" x14ac:dyDescent="0.2">
      <c r="B123" t="s">
        <v>163</v>
      </c>
      <c r="C123" s="18" t="s">
        <v>96</v>
      </c>
      <c r="D123" s="22">
        <f>$D117</f>
        <v>19269000000</v>
      </c>
      <c r="E123" s="22">
        <f>$E117</f>
        <v>20716000000</v>
      </c>
      <c r="F123" s="22">
        <f>$F117</f>
        <v>24512000000</v>
      </c>
      <c r="G123" s="23">
        <f t="shared" si="80"/>
        <v>20</v>
      </c>
      <c r="H123" s="4">
        <v>7544000000</v>
      </c>
      <c r="J123" s="20">
        <f t="shared" si="75"/>
        <v>7544000000</v>
      </c>
      <c r="K123" s="20">
        <f t="shared" si="77"/>
        <v>8056000000</v>
      </c>
      <c r="L123" s="20">
        <f t="shared" si="81"/>
        <v>7653000000</v>
      </c>
      <c r="M123" s="20">
        <f t="shared" si="82"/>
        <v>7142000000</v>
      </c>
      <c r="N123" s="20">
        <f t="shared" si="83"/>
        <v>6659000000</v>
      </c>
      <c r="O123" s="20">
        <f t="shared" si="84"/>
        <v>6739000000</v>
      </c>
      <c r="P123" s="20">
        <f t="shared" ref="P123:P128" si="85">H117</f>
        <v>6984000000</v>
      </c>
      <c r="Q123" s="20">
        <f>$F117/4</f>
        <v>6128000000</v>
      </c>
      <c r="R123" s="20">
        <f>$F117/4</f>
        <v>6128000000</v>
      </c>
      <c r="S123" s="20">
        <f>$F117/4</f>
        <v>6128000000</v>
      </c>
      <c r="T123" s="20">
        <f>$F117/4</f>
        <v>6128000000</v>
      </c>
      <c r="U123" s="20">
        <f>$E117/4</f>
        <v>5179000000</v>
      </c>
      <c r="V123" s="20">
        <f>$E117/4</f>
        <v>5179000000</v>
      </c>
      <c r="W123" s="20">
        <f>$E117/4</f>
        <v>5179000000</v>
      </c>
      <c r="X123" s="20">
        <f>$E117/4</f>
        <v>5179000000</v>
      </c>
      <c r="Y123" s="20">
        <f>$D117/4</f>
        <v>4817250000</v>
      </c>
      <c r="Z123" s="20">
        <f>$D117/4</f>
        <v>4817250000</v>
      </c>
      <c r="AA123" s="20">
        <f>$D117/4</f>
        <v>4817250000</v>
      </c>
      <c r="AB123" s="20">
        <f>$D117/4</f>
        <v>4817250000</v>
      </c>
      <c r="AC123" s="20">
        <v>0</v>
      </c>
      <c r="AE123" s="21">
        <f t="shared" si="78"/>
        <v>5763700000</v>
      </c>
      <c r="AF123" s="21">
        <f t="shared" si="79"/>
        <v>68660825000</v>
      </c>
      <c r="AG123" s="21">
        <f t="shared" si="76"/>
        <v>1780300000</v>
      </c>
    </row>
    <row r="124" spans="2:33" x14ac:dyDescent="0.2">
      <c r="B124" t="s">
        <v>163</v>
      </c>
      <c r="C124" s="18" t="s">
        <v>95</v>
      </c>
      <c r="D124" s="22">
        <f>$D117</f>
        <v>19269000000</v>
      </c>
      <c r="E124" s="22">
        <f>$E117</f>
        <v>20716000000</v>
      </c>
      <c r="F124" s="22">
        <f>$F117</f>
        <v>24512000000</v>
      </c>
      <c r="G124" s="23">
        <f t="shared" si="80"/>
        <v>20</v>
      </c>
      <c r="H124" s="4">
        <v>7917000000</v>
      </c>
      <c r="J124" s="20">
        <f t="shared" si="75"/>
        <v>7917000000</v>
      </c>
      <c r="K124" s="20">
        <f t="shared" si="77"/>
        <v>7544000000</v>
      </c>
      <c r="L124" s="20">
        <f t="shared" si="81"/>
        <v>8056000000</v>
      </c>
      <c r="M124" s="20">
        <f t="shared" si="82"/>
        <v>7653000000</v>
      </c>
      <c r="N124" s="20">
        <f t="shared" si="83"/>
        <v>7142000000</v>
      </c>
      <c r="O124" s="20">
        <f t="shared" si="84"/>
        <v>6659000000</v>
      </c>
      <c r="P124" s="20">
        <f t="shared" si="85"/>
        <v>6739000000</v>
      </c>
      <c r="Q124" s="20">
        <f>H117</f>
        <v>6984000000</v>
      </c>
      <c r="R124" s="20">
        <f>$F117/4</f>
        <v>6128000000</v>
      </c>
      <c r="S124" s="20">
        <f>$F117/4</f>
        <v>6128000000</v>
      </c>
      <c r="T124" s="20">
        <f>$F117/4</f>
        <v>6128000000</v>
      </c>
      <c r="U124" s="20">
        <f>$F117/4</f>
        <v>6128000000</v>
      </c>
      <c r="V124" s="20">
        <f>$E117/4</f>
        <v>5179000000</v>
      </c>
      <c r="W124" s="20">
        <f>$E117/4</f>
        <v>5179000000</v>
      </c>
      <c r="X124" s="20">
        <f>$E117/4</f>
        <v>5179000000</v>
      </c>
      <c r="Y124" s="20">
        <f>$E117/4</f>
        <v>5179000000</v>
      </c>
      <c r="Z124" s="20">
        <f>$D117/4</f>
        <v>4817250000</v>
      </c>
      <c r="AA124" s="20">
        <f>$D117/4</f>
        <v>4817250000</v>
      </c>
      <c r="AB124" s="20">
        <f>$D117/4</f>
        <v>4817250000</v>
      </c>
      <c r="AC124" s="20">
        <f>$D117/4</f>
        <v>4817250000</v>
      </c>
      <c r="AE124" s="21">
        <f t="shared" si="78"/>
        <v>6159550000</v>
      </c>
      <c r="AF124" s="21">
        <f t="shared" si="79"/>
        <v>70814125000</v>
      </c>
      <c r="AG124" s="21">
        <f t="shared" si="76"/>
        <v>1757450000</v>
      </c>
    </row>
    <row r="125" spans="2:33" x14ac:dyDescent="0.2">
      <c r="B125" t="s">
        <v>163</v>
      </c>
      <c r="C125" s="18" t="s">
        <v>94</v>
      </c>
      <c r="D125" s="22">
        <f>$D117</f>
        <v>19269000000</v>
      </c>
      <c r="E125" s="22">
        <f>$E117</f>
        <v>20716000000</v>
      </c>
      <c r="F125" s="22">
        <f>$F117</f>
        <v>24512000000</v>
      </c>
      <c r="G125" s="23">
        <f t="shared" si="80"/>
        <v>20</v>
      </c>
      <c r="H125" s="4">
        <v>8198000000</v>
      </c>
      <c r="J125" s="20">
        <f t="shared" si="75"/>
        <v>8198000000</v>
      </c>
      <c r="K125" s="20">
        <f t="shared" si="77"/>
        <v>7917000000</v>
      </c>
      <c r="L125" s="20">
        <f t="shared" si="81"/>
        <v>7544000000</v>
      </c>
      <c r="M125" s="20">
        <f t="shared" si="82"/>
        <v>8056000000</v>
      </c>
      <c r="N125" s="20">
        <f t="shared" si="83"/>
        <v>7653000000</v>
      </c>
      <c r="O125" s="20">
        <f t="shared" si="84"/>
        <v>7142000000</v>
      </c>
      <c r="P125" s="20">
        <f t="shared" si="85"/>
        <v>6659000000</v>
      </c>
      <c r="Q125" s="20">
        <f>H118</f>
        <v>6739000000</v>
      </c>
      <c r="R125" s="20">
        <f>H117</f>
        <v>6984000000</v>
      </c>
      <c r="S125" s="20">
        <f>$F117/4</f>
        <v>6128000000</v>
      </c>
      <c r="T125" s="20">
        <f>$F117/4</f>
        <v>6128000000</v>
      </c>
      <c r="U125" s="20">
        <f>$F117/4</f>
        <v>6128000000</v>
      </c>
      <c r="V125" s="20">
        <f>$F117/4</f>
        <v>6128000000</v>
      </c>
      <c r="W125" s="20">
        <f>$E117/4</f>
        <v>5179000000</v>
      </c>
      <c r="X125" s="20">
        <f>$E117/4</f>
        <v>5179000000</v>
      </c>
      <c r="Y125" s="20">
        <f>$E117/4</f>
        <v>5179000000</v>
      </c>
      <c r="Z125" s="20">
        <f>$E117/4</f>
        <v>5179000000</v>
      </c>
      <c r="AA125" s="20">
        <f>$D117/4</f>
        <v>4817250000</v>
      </c>
      <c r="AB125" s="20">
        <f>$D117/4</f>
        <v>4817250000</v>
      </c>
      <c r="AC125" s="20">
        <f>$D117/4</f>
        <v>4817250000</v>
      </c>
      <c r="AE125" s="21">
        <f t="shared" si="78"/>
        <v>6328587500</v>
      </c>
      <c r="AF125" s="21">
        <f t="shared" si="79"/>
        <v>72852575000</v>
      </c>
      <c r="AG125" s="21">
        <f t="shared" si="76"/>
        <v>1869412500</v>
      </c>
    </row>
    <row r="126" spans="2:33" x14ac:dyDescent="0.2">
      <c r="B126" t="s">
        <v>163</v>
      </c>
      <c r="C126" s="18" t="s">
        <v>93</v>
      </c>
      <c r="D126" s="22">
        <f>$D117</f>
        <v>19269000000</v>
      </c>
      <c r="E126" s="22">
        <f>$E117</f>
        <v>20716000000</v>
      </c>
      <c r="F126" s="22">
        <f>$F117</f>
        <v>24512000000</v>
      </c>
      <c r="G126" s="23">
        <f t="shared" si="80"/>
        <v>20</v>
      </c>
      <c r="H126" s="4">
        <v>8829000000</v>
      </c>
      <c r="J126" s="20">
        <f t="shared" si="75"/>
        <v>8829000000</v>
      </c>
      <c r="K126" s="20">
        <f t="shared" si="77"/>
        <v>8198000000</v>
      </c>
      <c r="L126" s="20">
        <f t="shared" si="81"/>
        <v>7917000000</v>
      </c>
      <c r="M126" s="20">
        <f t="shared" si="82"/>
        <v>7544000000</v>
      </c>
      <c r="N126" s="20">
        <f t="shared" si="83"/>
        <v>8056000000</v>
      </c>
      <c r="O126" s="20">
        <f t="shared" si="84"/>
        <v>7653000000</v>
      </c>
      <c r="P126" s="20">
        <f t="shared" si="85"/>
        <v>7142000000</v>
      </c>
      <c r="Q126" s="20">
        <f>H119</f>
        <v>6659000000</v>
      </c>
      <c r="R126" s="20">
        <f>H118</f>
        <v>6739000000</v>
      </c>
      <c r="S126" s="20">
        <f>H117</f>
        <v>6984000000</v>
      </c>
      <c r="T126" s="20">
        <f>$F117/4</f>
        <v>6128000000</v>
      </c>
      <c r="U126" s="20">
        <f>$F117/4</f>
        <v>6128000000</v>
      </c>
      <c r="V126" s="20">
        <f>$F117/4</f>
        <v>6128000000</v>
      </c>
      <c r="W126" s="20">
        <f>$F117/4</f>
        <v>6128000000</v>
      </c>
      <c r="X126" s="20">
        <f>$E117/4</f>
        <v>5179000000</v>
      </c>
      <c r="Y126" s="20">
        <f>$E117/4</f>
        <v>5179000000</v>
      </c>
      <c r="Z126" s="20">
        <f>$E117/4</f>
        <v>5179000000</v>
      </c>
      <c r="AA126" s="20">
        <f>$E117/4</f>
        <v>5179000000</v>
      </c>
      <c r="AB126" s="20">
        <f>$D117/4</f>
        <v>4817250000</v>
      </c>
      <c r="AC126" s="20">
        <f>$D117/4</f>
        <v>4817250000</v>
      </c>
      <c r="AE126" s="21">
        <f t="shared" si="78"/>
        <v>6529175000</v>
      </c>
      <c r="AF126" s="21">
        <f t="shared" si="79"/>
        <v>75352987500</v>
      </c>
      <c r="AG126" s="21">
        <f t="shared" si="76"/>
        <v>2299825000</v>
      </c>
    </row>
    <row r="127" spans="2:33" x14ac:dyDescent="0.2">
      <c r="B127" t="s">
        <v>163</v>
      </c>
      <c r="C127" s="18" t="s">
        <v>141</v>
      </c>
      <c r="D127" s="22">
        <f>$D117</f>
        <v>19269000000</v>
      </c>
      <c r="E127" s="22">
        <f>$E117</f>
        <v>20716000000</v>
      </c>
      <c r="F127" s="22">
        <f>$F117</f>
        <v>24512000000</v>
      </c>
      <c r="G127" s="23">
        <f t="shared" si="80"/>
        <v>20</v>
      </c>
      <c r="H127" s="4">
        <v>8146000000</v>
      </c>
      <c r="J127" s="20">
        <f t="shared" si="75"/>
        <v>8146000000</v>
      </c>
      <c r="K127" s="20">
        <f t="shared" si="77"/>
        <v>8829000000</v>
      </c>
      <c r="L127" s="20">
        <f t="shared" si="81"/>
        <v>8198000000</v>
      </c>
      <c r="M127" s="20">
        <f t="shared" si="82"/>
        <v>7917000000</v>
      </c>
      <c r="N127" s="20">
        <f t="shared" si="83"/>
        <v>7544000000</v>
      </c>
      <c r="O127" s="20">
        <f t="shared" si="84"/>
        <v>8056000000</v>
      </c>
      <c r="P127" s="20">
        <f t="shared" si="85"/>
        <v>7653000000</v>
      </c>
      <c r="Q127" s="20">
        <f>H120</f>
        <v>7142000000</v>
      </c>
      <c r="R127" s="20">
        <f>H119</f>
        <v>6659000000</v>
      </c>
      <c r="S127" s="20">
        <f>H118</f>
        <v>6739000000</v>
      </c>
      <c r="T127" s="20">
        <f>H117</f>
        <v>6984000000</v>
      </c>
      <c r="U127" s="20">
        <f>$F117/4</f>
        <v>6128000000</v>
      </c>
      <c r="V127" s="20">
        <f>$F117/4</f>
        <v>6128000000</v>
      </c>
      <c r="W127" s="20">
        <f>$F117/4</f>
        <v>6128000000</v>
      </c>
      <c r="X127" s="20">
        <f>$F117/4</f>
        <v>6128000000</v>
      </c>
      <c r="Y127" s="20">
        <f>$E117/4</f>
        <v>5179000000</v>
      </c>
      <c r="Z127" s="20">
        <f>$E117/4</f>
        <v>5179000000</v>
      </c>
      <c r="AA127" s="20">
        <f>$E117/4</f>
        <v>5179000000</v>
      </c>
      <c r="AB127" s="20">
        <f>$E117/4</f>
        <v>5179000000</v>
      </c>
      <c r="AC127" s="20">
        <f>$D117/4</f>
        <v>4817250000</v>
      </c>
      <c r="AE127" s="21">
        <f t="shared" si="78"/>
        <v>6695612500</v>
      </c>
      <c r="AF127" s="21">
        <f t="shared" si="79"/>
        <v>76969812500</v>
      </c>
      <c r="AG127" s="21">
        <f t="shared" si="76"/>
        <v>1450387500</v>
      </c>
    </row>
    <row r="128" spans="2:33" x14ac:dyDescent="0.2">
      <c r="B128" t="s">
        <v>163</v>
      </c>
      <c r="C128" s="18" t="s">
        <v>160</v>
      </c>
      <c r="D128" s="22">
        <f>$D117</f>
        <v>19269000000</v>
      </c>
      <c r="E128" s="22">
        <f>$E117</f>
        <v>20716000000</v>
      </c>
      <c r="F128" s="22">
        <f>$F117</f>
        <v>24512000000</v>
      </c>
      <c r="G128" s="23">
        <f t="shared" si="80"/>
        <v>20</v>
      </c>
      <c r="H128" s="4">
        <v>8504000000</v>
      </c>
      <c r="J128" s="20">
        <f t="shared" si="75"/>
        <v>8504000000</v>
      </c>
      <c r="K128" s="20">
        <f t="shared" si="77"/>
        <v>8146000000</v>
      </c>
      <c r="L128" s="20">
        <f t="shared" si="81"/>
        <v>8829000000</v>
      </c>
      <c r="M128" s="20">
        <f t="shared" si="82"/>
        <v>8198000000</v>
      </c>
      <c r="N128" s="20">
        <f t="shared" si="83"/>
        <v>7917000000</v>
      </c>
      <c r="O128" s="20">
        <f t="shared" si="84"/>
        <v>7544000000</v>
      </c>
      <c r="P128" s="20">
        <f t="shared" si="85"/>
        <v>8056000000</v>
      </c>
      <c r="Q128" s="20">
        <f>H121</f>
        <v>7653000000</v>
      </c>
      <c r="R128" s="20">
        <f>H120</f>
        <v>7142000000</v>
      </c>
      <c r="S128" s="20">
        <f>H119</f>
        <v>6659000000</v>
      </c>
      <c r="T128" s="20">
        <f>H118</f>
        <v>6739000000</v>
      </c>
      <c r="U128" s="20">
        <f>H117</f>
        <v>6984000000</v>
      </c>
      <c r="V128" s="20">
        <f>$F117/4</f>
        <v>6128000000</v>
      </c>
      <c r="W128" s="20">
        <f>$F117/4</f>
        <v>6128000000</v>
      </c>
      <c r="X128" s="20">
        <f>$F117/4</f>
        <v>6128000000</v>
      </c>
      <c r="Y128" s="20">
        <f>$F117/4</f>
        <v>6128000000</v>
      </c>
      <c r="Z128" s="20">
        <f>$E117/4</f>
        <v>5179000000</v>
      </c>
      <c r="AA128" s="20">
        <f>$E117/4</f>
        <v>5179000000</v>
      </c>
      <c r="AB128" s="20">
        <f>$E117/4</f>
        <v>5179000000</v>
      </c>
      <c r="AC128" s="20">
        <f>$E117/4</f>
        <v>5179000000</v>
      </c>
      <c r="AE128" s="21">
        <f t="shared" si="78"/>
        <v>6879950000</v>
      </c>
      <c r="AF128" s="21">
        <f t="shared" si="79"/>
        <v>78778200000</v>
      </c>
      <c r="AG128" s="21">
        <f t="shared" si="76"/>
        <v>1624050000</v>
      </c>
    </row>
    <row r="130" spans="1:33" x14ac:dyDescent="0.2">
      <c r="C130" t="s">
        <v>179</v>
      </c>
    </row>
    <row r="131" spans="1:33" x14ac:dyDescent="0.2">
      <c r="C131" s="6" t="s">
        <v>107</v>
      </c>
      <c r="D131" s="6" t="s">
        <v>439</v>
      </c>
      <c r="E131" s="6" t="s">
        <v>440</v>
      </c>
      <c r="F131" s="6" t="s">
        <v>471</v>
      </c>
      <c r="G131" s="6" t="s">
        <v>441</v>
      </c>
      <c r="H131" s="6" t="s">
        <v>442</v>
      </c>
      <c r="I131" s="15"/>
      <c r="J131" s="6" t="s">
        <v>443</v>
      </c>
      <c r="K131" s="6" t="s">
        <v>444</v>
      </c>
      <c r="L131" s="6" t="s">
        <v>445</v>
      </c>
      <c r="M131" s="6" t="s">
        <v>446</v>
      </c>
      <c r="N131" s="6" t="s">
        <v>447</v>
      </c>
      <c r="O131" s="6" t="s">
        <v>448</v>
      </c>
      <c r="P131" s="6" t="s">
        <v>449</v>
      </c>
      <c r="Q131" s="6" t="s">
        <v>450</v>
      </c>
      <c r="R131" s="6" t="s">
        <v>451</v>
      </c>
      <c r="S131" s="6" t="s">
        <v>452</v>
      </c>
      <c r="T131" s="6" t="s">
        <v>453</v>
      </c>
      <c r="U131" s="6" t="s">
        <v>454</v>
      </c>
      <c r="V131" s="6" t="s">
        <v>455</v>
      </c>
      <c r="W131" s="6" t="s">
        <v>456</v>
      </c>
      <c r="X131" s="6" t="s">
        <v>457</v>
      </c>
      <c r="Y131" s="6" t="s">
        <v>458</v>
      </c>
      <c r="Z131" s="6" t="s">
        <v>459</v>
      </c>
      <c r="AA131" s="6" t="s">
        <v>460</v>
      </c>
      <c r="AB131" s="6" t="s">
        <v>461</v>
      </c>
      <c r="AC131" s="6" t="s">
        <v>462</v>
      </c>
      <c r="AD131" s="15"/>
      <c r="AE131" s="6" t="s">
        <v>106</v>
      </c>
      <c r="AF131" s="6" t="s">
        <v>105</v>
      </c>
      <c r="AG131" s="6" t="s">
        <v>463</v>
      </c>
    </row>
    <row r="132" spans="1:33" x14ac:dyDescent="0.2">
      <c r="C132" s="16" t="s">
        <v>464</v>
      </c>
      <c r="J132" s="17">
        <v>20</v>
      </c>
      <c r="K132" s="17">
        <v>19</v>
      </c>
      <c r="L132" s="17">
        <v>18</v>
      </c>
      <c r="M132" s="17">
        <v>17</v>
      </c>
      <c r="N132" s="17">
        <v>16</v>
      </c>
      <c r="O132" s="17">
        <v>15</v>
      </c>
      <c r="P132" s="17">
        <v>14</v>
      </c>
      <c r="Q132" s="17">
        <v>13</v>
      </c>
      <c r="R132" s="17">
        <v>12</v>
      </c>
      <c r="S132" s="17">
        <v>11</v>
      </c>
      <c r="T132" s="17">
        <v>10</v>
      </c>
      <c r="U132" s="17">
        <v>9</v>
      </c>
      <c r="V132" s="17">
        <v>8</v>
      </c>
      <c r="W132" s="17">
        <v>7</v>
      </c>
      <c r="X132" s="17">
        <v>6</v>
      </c>
      <c r="Y132" s="17">
        <v>5</v>
      </c>
      <c r="Z132" s="17">
        <v>4</v>
      </c>
      <c r="AA132" s="17">
        <v>3</v>
      </c>
      <c r="AB132" s="17">
        <v>2</v>
      </c>
      <c r="AC132" s="17">
        <v>1</v>
      </c>
    </row>
    <row r="133" spans="1:33" x14ac:dyDescent="0.2">
      <c r="A133">
        <v>1</v>
      </c>
      <c r="B133" t="s">
        <v>179</v>
      </c>
      <c r="C133" s="18" t="s">
        <v>490</v>
      </c>
      <c r="G133" s="23">
        <f t="shared" ref="G133:G140" si="86">$G$13</f>
        <v>20</v>
      </c>
      <c r="H133" s="4">
        <v>311000000</v>
      </c>
      <c r="I133" s="20">
        <f>+H133/20</f>
        <v>15550000</v>
      </c>
      <c r="J133" s="20">
        <f>+H133-$I133</f>
        <v>295450000</v>
      </c>
      <c r="K133" s="20">
        <f>+J133-$I133</f>
        <v>279900000</v>
      </c>
      <c r="L133" s="20">
        <f t="shared" ref="L133" si="87">+K133-$I133</f>
        <v>264350000</v>
      </c>
      <c r="M133" s="20">
        <f t="shared" ref="M133:M134" si="88">+L133-$I133</f>
        <v>248800000</v>
      </c>
      <c r="N133" s="20">
        <f t="shared" ref="N133:N135" si="89">+M133-$I133</f>
        <v>233250000</v>
      </c>
      <c r="O133" s="20">
        <f t="shared" ref="O133:O137" si="90">+N133-$I133</f>
        <v>217700000</v>
      </c>
      <c r="P133" s="20">
        <f t="shared" ref="P133:P138" si="91">+O133-$I133</f>
        <v>202150000</v>
      </c>
      <c r="Q133" s="20">
        <f t="shared" ref="Q133:Q139" si="92">+P133-$I133</f>
        <v>186600000</v>
      </c>
      <c r="R133" s="20">
        <f t="shared" ref="R133:R140" si="93">+Q133-$I133</f>
        <v>171050000</v>
      </c>
      <c r="S133" s="20">
        <f t="shared" ref="S133:S141" si="94">+R133-$I133</f>
        <v>155500000</v>
      </c>
      <c r="T133" s="20">
        <f t="shared" ref="T133:T142" si="95">+S133-$I133</f>
        <v>139950000</v>
      </c>
      <c r="U133" s="20">
        <f t="shared" ref="U133:U143" si="96">+T133-$I133</f>
        <v>124400000</v>
      </c>
      <c r="V133" s="20">
        <f t="shared" ref="V133:V144" si="97">+U133-$I133</f>
        <v>108850000</v>
      </c>
      <c r="W133" s="20">
        <f t="shared" ref="W133:W145" si="98">+V133-$I133</f>
        <v>93300000</v>
      </c>
      <c r="X133" s="20">
        <f t="shared" ref="X133:X146" si="99">+W133-$I133</f>
        <v>77750000</v>
      </c>
      <c r="Y133" s="20">
        <f t="shared" ref="Y133:Y147" si="100">+X133-$I133</f>
        <v>62200000</v>
      </c>
      <c r="Z133" s="20">
        <f t="shared" ref="Z133:Z148" si="101">+Y133-$I133</f>
        <v>46650000</v>
      </c>
      <c r="AA133" s="20">
        <f t="shared" ref="AA133:AA149" si="102">+Z133-$I133</f>
        <v>31100000</v>
      </c>
      <c r="AB133" s="20">
        <f t="shared" ref="AB133:AB150" si="103">+AA133-$I133</f>
        <v>15550000</v>
      </c>
      <c r="AC133" s="20">
        <f t="shared" ref="AC133:AC151" si="104">+AB133-$I133</f>
        <v>0</v>
      </c>
      <c r="AE133" s="21">
        <f>SUM(I133)</f>
        <v>15550000</v>
      </c>
      <c r="AF133" s="21">
        <f>SUM(J133:J133)</f>
        <v>295450000</v>
      </c>
      <c r="AG133" s="21">
        <f t="shared" ref="AG133:AG152" si="105">H133-AE133</f>
        <v>295450000</v>
      </c>
    </row>
    <row r="134" spans="1:33" x14ac:dyDescent="0.2">
      <c r="A134">
        <v>2</v>
      </c>
      <c r="B134" t="s">
        <v>179</v>
      </c>
      <c r="C134" s="18" t="s">
        <v>491</v>
      </c>
      <c r="G134" s="23">
        <f t="shared" si="86"/>
        <v>20</v>
      </c>
      <c r="H134" s="4">
        <v>325300000</v>
      </c>
      <c r="I134" s="20">
        <f t="shared" ref="I134:I152" si="106">+H134/20</f>
        <v>16265000</v>
      </c>
      <c r="J134" s="20"/>
      <c r="K134" s="20">
        <f>+H134-I134</f>
        <v>309035000</v>
      </c>
      <c r="L134" s="20">
        <f>+K134-$I134</f>
        <v>292770000</v>
      </c>
      <c r="M134" s="20">
        <f t="shared" si="88"/>
        <v>276505000</v>
      </c>
      <c r="N134" s="20">
        <f t="shared" si="89"/>
        <v>260240000</v>
      </c>
      <c r="O134" s="20">
        <f t="shared" si="90"/>
        <v>243975000</v>
      </c>
      <c r="P134" s="20">
        <f t="shared" si="91"/>
        <v>227710000</v>
      </c>
      <c r="Q134" s="20">
        <f t="shared" si="92"/>
        <v>211445000</v>
      </c>
      <c r="R134" s="20">
        <f t="shared" si="93"/>
        <v>195180000</v>
      </c>
      <c r="S134" s="20">
        <f t="shared" si="94"/>
        <v>178915000</v>
      </c>
      <c r="T134" s="20">
        <f t="shared" si="95"/>
        <v>162650000</v>
      </c>
      <c r="U134" s="20">
        <f t="shared" si="96"/>
        <v>146385000</v>
      </c>
      <c r="V134" s="20">
        <f t="shared" si="97"/>
        <v>130120000</v>
      </c>
      <c r="W134" s="20">
        <f t="shared" si="98"/>
        <v>113855000</v>
      </c>
      <c r="X134" s="20">
        <f t="shared" si="99"/>
        <v>97590000</v>
      </c>
      <c r="Y134" s="20">
        <f t="shared" si="100"/>
        <v>81325000</v>
      </c>
      <c r="Z134" s="20">
        <f t="shared" si="101"/>
        <v>65060000</v>
      </c>
      <c r="AA134" s="20">
        <f t="shared" si="102"/>
        <v>48795000</v>
      </c>
      <c r="AB134" s="20">
        <f t="shared" si="103"/>
        <v>32530000</v>
      </c>
      <c r="AC134" s="20">
        <f t="shared" si="104"/>
        <v>16265000</v>
      </c>
      <c r="AE134" s="21">
        <f>SUM(I133:I134)</f>
        <v>31815000</v>
      </c>
      <c r="AF134" s="21">
        <f>SUM(K133:K134)</f>
        <v>588935000</v>
      </c>
      <c r="AG134" s="21">
        <f t="shared" si="105"/>
        <v>293485000</v>
      </c>
    </row>
    <row r="135" spans="1:33" x14ac:dyDescent="0.2">
      <c r="A135">
        <v>3</v>
      </c>
      <c r="B135" t="s">
        <v>179</v>
      </c>
      <c r="C135" s="18" t="s">
        <v>484</v>
      </c>
      <c r="G135" s="23">
        <f t="shared" si="86"/>
        <v>20</v>
      </c>
      <c r="H135" s="4">
        <v>339500000</v>
      </c>
      <c r="I135" s="20">
        <f t="shared" si="106"/>
        <v>16975000</v>
      </c>
      <c r="J135" s="20"/>
      <c r="K135" s="20"/>
      <c r="L135" s="20">
        <f>+H135-I135</f>
        <v>322525000</v>
      </c>
      <c r="M135" s="20">
        <f>+L135-$I135</f>
        <v>305550000</v>
      </c>
      <c r="N135" s="20">
        <f t="shared" si="89"/>
        <v>288575000</v>
      </c>
      <c r="O135" s="20">
        <f t="shared" si="90"/>
        <v>271600000</v>
      </c>
      <c r="P135" s="20">
        <f t="shared" si="91"/>
        <v>254625000</v>
      </c>
      <c r="Q135" s="20">
        <f t="shared" si="92"/>
        <v>237650000</v>
      </c>
      <c r="R135" s="20">
        <f t="shared" si="93"/>
        <v>220675000</v>
      </c>
      <c r="S135" s="20">
        <f t="shared" si="94"/>
        <v>203700000</v>
      </c>
      <c r="T135" s="20">
        <f t="shared" si="95"/>
        <v>186725000</v>
      </c>
      <c r="U135" s="20">
        <f t="shared" si="96"/>
        <v>169750000</v>
      </c>
      <c r="V135" s="20">
        <f t="shared" si="97"/>
        <v>152775000</v>
      </c>
      <c r="W135" s="20">
        <f t="shared" si="98"/>
        <v>135800000</v>
      </c>
      <c r="X135" s="20">
        <f t="shared" si="99"/>
        <v>118825000</v>
      </c>
      <c r="Y135" s="20">
        <f t="shared" si="100"/>
        <v>101850000</v>
      </c>
      <c r="Z135" s="20">
        <f t="shared" si="101"/>
        <v>84875000</v>
      </c>
      <c r="AA135" s="20">
        <f t="shared" si="102"/>
        <v>67900000</v>
      </c>
      <c r="AB135" s="20">
        <f t="shared" si="103"/>
        <v>50925000</v>
      </c>
      <c r="AC135" s="20">
        <f t="shared" si="104"/>
        <v>33950000</v>
      </c>
      <c r="AE135" s="21">
        <f>SUM(I133:I135)</f>
        <v>48790000</v>
      </c>
      <c r="AF135" s="21">
        <f>SUM(L133:L135)</f>
        <v>879645000</v>
      </c>
      <c r="AG135" s="21">
        <f t="shared" si="105"/>
        <v>290710000</v>
      </c>
    </row>
    <row r="136" spans="1:33" x14ac:dyDescent="0.2">
      <c r="A136">
        <v>4</v>
      </c>
      <c r="B136" t="s">
        <v>179</v>
      </c>
      <c r="C136" s="18" t="s">
        <v>485</v>
      </c>
      <c r="G136" s="23">
        <f t="shared" si="86"/>
        <v>20</v>
      </c>
      <c r="H136" s="4">
        <v>359000000</v>
      </c>
      <c r="I136" s="20">
        <f t="shared" si="106"/>
        <v>17950000</v>
      </c>
      <c r="J136" s="20"/>
      <c r="K136" s="20"/>
      <c r="L136" s="20"/>
      <c r="M136" s="20">
        <f>+H136-I136</f>
        <v>341050000</v>
      </c>
      <c r="N136" s="20">
        <f>+M136-$I136</f>
        <v>323100000</v>
      </c>
      <c r="O136" s="20">
        <f t="shared" si="90"/>
        <v>305150000</v>
      </c>
      <c r="P136" s="20">
        <f t="shared" si="91"/>
        <v>287200000</v>
      </c>
      <c r="Q136" s="20">
        <f t="shared" si="92"/>
        <v>269250000</v>
      </c>
      <c r="R136" s="20">
        <f t="shared" si="93"/>
        <v>251300000</v>
      </c>
      <c r="S136" s="20">
        <f t="shared" si="94"/>
        <v>233350000</v>
      </c>
      <c r="T136" s="20">
        <f t="shared" si="95"/>
        <v>215400000</v>
      </c>
      <c r="U136" s="20">
        <f t="shared" si="96"/>
        <v>197450000</v>
      </c>
      <c r="V136" s="20">
        <f t="shared" si="97"/>
        <v>179500000</v>
      </c>
      <c r="W136" s="20">
        <f t="shared" si="98"/>
        <v>161550000</v>
      </c>
      <c r="X136" s="20">
        <f t="shared" si="99"/>
        <v>143600000</v>
      </c>
      <c r="Y136" s="20">
        <f t="shared" si="100"/>
        <v>125650000</v>
      </c>
      <c r="Z136" s="20">
        <f t="shared" si="101"/>
        <v>107700000</v>
      </c>
      <c r="AA136" s="20">
        <f t="shared" si="102"/>
        <v>89750000</v>
      </c>
      <c r="AB136" s="20">
        <f t="shared" si="103"/>
        <v>71800000</v>
      </c>
      <c r="AC136" s="20">
        <f t="shared" si="104"/>
        <v>53850000</v>
      </c>
      <c r="AE136" s="21">
        <f>SUM(I133:I136)</f>
        <v>66740000</v>
      </c>
      <c r="AF136" s="21">
        <f>SUM(M133:M136)</f>
        <v>1171905000</v>
      </c>
      <c r="AG136" s="21">
        <f t="shared" si="105"/>
        <v>292260000</v>
      </c>
    </row>
    <row r="137" spans="1:33" x14ac:dyDescent="0.2">
      <c r="A137">
        <v>5</v>
      </c>
      <c r="B137" t="s">
        <v>179</v>
      </c>
      <c r="C137" s="18" t="s">
        <v>486</v>
      </c>
      <c r="G137" s="23">
        <f t="shared" si="86"/>
        <v>20</v>
      </c>
      <c r="H137" s="4">
        <v>355400000</v>
      </c>
      <c r="I137" s="20">
        <f t="shared" si="106"/>
        <v>17770000</v>
      </c>
      <c r="J137" s="20"/>
      <c r="K137" s="20"/>
      <c r="L137" s="20"/>
      <c r="M137" s="20"/>
      <c r="N137" s="20">
        <f>+H137-I137</f>
        <v>337630000</v>
      </c>
      <c r="O137" s="20">
        <f t="shared" si="90"/>
        <v>319860000</v>
      </c>
      <c r="P137" s="20">
        <f t="shared" si="91"/>
        <v>302090000</v>
      </c>
      <c r="Q137" s="20">
        <f t="shared" si="92"/>
        <v>284320000</v>
      </c>
      <c r="R137" s="20">
        <f t="shared" si="93"/>
        <v>266550000</v>
      </c>
      <c r="S137" s="20">
        <f t="shared" si="94"/>
        <v>248780000</v>
      </c>
      <c r="T137" s="20">
        <f t="shared" si="95"/>
        <v>231010000</v>
      </c>
      <c r="U137" s="20">
        <f t="shared" si="96"/>
        <v>213240000</v>
      </c>
      <c r="V137" s="20">
        <f t="shared" si="97"/>
        <v>195470000</v>
      </c>
      <c r="W137" s="20">
        <f t="shared" si="98"/>
        <v>177700000</v>
      </c>
      <c r="X137" s="20">
        <f t="shared" si="99"/>
        <v>159930000</v>
      </c>
      <c r="Y137" s="20">
        <f t="shared" si="100"/>
        <v>142160000</v>
      </c>
      <c r="Z137" s="20">
        <f t="shared" si="101"/>
        <v>124390000</v>
      </c>
      <c r="AA137" s="20">
        <f t="shared" si="102"/>
        <v>106620000</v>
      </c>
      <c r="AB137" s="20">
        <f t="shared" si="103"/>
        <v>88850000</v>
      </c>
      <c r="AC137" s="20">
        <f t="shared" si="104"/>
        <v>71080000</v>
      </c>
      <c r="AE137" s="21">
        <f>SUM(I133:I137)</f>
        <v>84510000</v>
      </c>
      <c r="AF137" s="21">
        <f>SUM(N133:N137)</f>
        <v>1442795000</v>
      </c>
      <c r="AG137" s="21">
        <f t="shared" si="105"/>
        <v>270890000</v>
      </c>
    </row>
    <row r="138" spans="1:33" x14ac:dyDescent="0.2">
      <c r="A138">
        <v>6</v>
      </c>
      <c r="B138" t="s">
        <v>179</v>
      </c>
      <c r="C138" s="18" t="s">
        <v>487</v>
      </c>
      <c r="G138" s="23">
        <f t="shared" si="86"/>
        <v>20</v>
      </c>
      <c r="H138" s="4">
        <v>363800000</v>
      </c>
      <c r="I138" s="20">
        <f t="shared" si="106"/>
        <v>18190000</v>
      </c>
      <c r="J138" s="20"/>
      <c r="K138" s="20"/>
      <c r="L138" s="20"/>
      <c r="M138" s="20"/>
      <c r="N138" s="20"/>
      <c r="O138" s="20">
        <f>+H138-I138</f>
        <v>345610000</v>
      </c>
      <c r="P138" s="20">
        <f t="shared" si="91"/>
        <v>327420000</v>
      </c>
      <c r="Q138" s="20">
        <f t="shared" si="92"/>
        <v>309230000</v>
      </c>
      <c r="R138" s="20">
        <f t="shared" si="93"/>
        <v>291040000</v>
      </c>
      <c r="S138" s="20">
        <f t="shared" si="94"/>
        <v>272850000</v>
      </c>
      <c r="T138" s="20">
        <f t="shared" si="95"/>
        <v>254660000</v>
      </c>
      <c r="U138" s="20">
        <f t="shared" si="96"/>
        <v>236470000</v>
      </c>
      <c r="V138" s="20">
        <f t="shared" si="97"/>
        <v>218280000</v>
      </c>
      <c r="W138" s="20">
        <f t="shared" si="98"/>
        <v>200090000</v>
      </c>
      <c r="X138" s="20">
        <f t="shared" si="99"/>
        <v>181900000</v>
      </c>
      <c r="Y138" s="20">
        <f t="shared" si="100"/>
        <v>163710000</v>
      </c>
      <c r="Z138" s="20">
        <f t="shared" si="101"/>
        <v>145520000</v>
      </c>
      <c r="AA138" s="20">
        <f t="shared" si="102"/>
        <v>127330000</v>
      </c>
      <c r="AB138" s="20">
        <f t="shared" si="103"/>
        <v>109140000</v>
      </c>
      <c r="AC138" s="20">
        <f t="shared" si="104"/>
        <v>90950000</v>
      </c>
      <c r="AE138" s="21">
        <f>SUM(I133:I138)</f>
        <v>102700000</v>
      </c>
      <c r="AF138" s="21">
        <f>SUM(O133:O138)</f>
        <v>1703895000</v>
      </c>
      <c r="AG138" s="21">
        <f t="shared" si="105"/>
        <v>261100000</v>
      </c>
    </row>
    <row r="139" spans="1:33" x14ac:dyDescent="0.2">
      <c r="A139">
        <v>7</v>
      </c>
      <c r="B139" t="s">
        <v>179</v>
      </c>
      <c r="C139" s="18" t="s">
        <v>104</v>
      </c>
      <c r="G139" s="23">
        <f t="shared" si="86"/>
        <v>20</v>
      </c>
      <c r="H139" s="4">
        <v>371800000</v>
      </c>
      <c r="I139" s="20">
        <f t="shared" si="106"/>
        <v>18590000</v>
      </c>
      <c r="J139" s="20"/>
      <c r="K139" s="20"/>
      <c r="L139" s="20"/>
      <c r="M139" s="20"/>
      <c r="N139" s="20"/>
      <c r="O139" s="20"/>
      <c r="P139" s="20">
        <f>+H139-I139</f>
        <v>353210000</v>
      </c>
      <c r="Q139" s="20">
        <f t="shared" si="92"/>
        <v>334620000</v>
      </c>
      <c r="R139" s="20">
        <f t="shared" si="93"/>
        <v>316030000</v>
      </c>
      <c r="S139" s="20">
        <f t="shared" si="94"/>
        <v>297440000</v>
      </c>
      <c r="T139" s="20">
        <f t="shared" si="95"/>
        <v>278850000</v>
      </c>
      <c r="U139" s="20">
        <f t="shared" si="96"/>
        <v>260260000</v>
      </c>
      <c r="V139" s="20">
        <f t="shared" si="97"/>
        <v>241670000</v>
      </c>
      <c r="W139" s="20">
        <f t="shared" si="98"/>
        <v>223080000</v>
      </c>
      <c r="X139" s="20">
        <f t="shared" si="99"/>
        <v>204490000</v>
      </c>
      <c r="Y139" s="20">
        <f t="shared" si="100"/>
        <v>185900000</v>
      </c>
      <c r="Z139" s="20">
        <f t="shared" si="101"/>
        <v>167310000</v>
      </c>
      <c r="AA139" s="20">
        <f t="shared" si="102"/>
        <v>148720000</v>
      </c>
      <c r="AB139" s="20">
        <f t="shared" si="103"/>
        <v>130130000</v>
      </c>
      <c r="AC139" s="20">
        <f t="shared" si="104"/>
        <v>111540000</v>
      </c>
      <c r="AE139" s="21">
        <f>SUM(I133:I139)</f>
        <v>121290000</v>
      </c>
      <c r="AF139" s="21">
        <f>SUM(P133:P139)</f>
        <v>1954405000</v>
      </c>
      <c r="AG139" s="21">
        <f t="shared" si="105"/>
        <v>250510000</v>
      </c>
    </row>
    <row r="140" spans="1:33" x14ac:dyDescent="0.2">
      <c r="A140">
        <v>8</v>
      </c>
      <c r="B140" t="s">
        <v>179</v>
      </c>
      <c r="C140" s="18" t="s">
        <v>103</v>
      </c>
      <c r="G140" s="23">
        <f t="shared" si="86"/>
        <v>20</v>
      </c>
      <c r="H140" s="4">
        <v>404100000</v>
      </c>
      <c r="I140" s="20">
        <f t="shared" si="106"/>
        <v>20205000</v>
      </c>
      <c r="J140" s="20"/>
      <c r="K140" s="20"/>
      <c r="L140" s="20"/>
      <c r="M140" s="20"/>
      <c r="N140" s="20"/>
      <c r="O140" s="20"/>
      <c r="P140" s="20"/>
      <c r="Q140" s="20">
        <f>+H140-I140</f>
        <v>383895000</v>
      </c>
      <c r="R140" s="20">
        <f t="shared" si="93"/>
        <v>363690000</v>
      </c>
      <c r="S140" s="20">
        <f t="shared" si="94"/>
        <v>343485000</v>
      </c>
      <c r="T140" s="20">
        <f t="shared" si="95"/>
        <v>323280000</v>
      </c>
      <c r="U140" s="20">
        <f t="shared" si="96"/>
        <v>303075000</v>
      </c>
      <c r="V140" s="20">
        <f t="shared" si="97"/>
        <v>282870000</v>
      </c>
      <c r="W140" s="20">
        <f t="shared" si="98"/>
        <v>262665000</v>
      </c>
      <c r="X140" s="20">
        <f t="shared" si="99"/>
        <v>242460000</v>
      </c>
      <c r="Y140" s="20">
        <f t="shared" si="100"/>
        <v>222255000</v>
      </c>
      <c r="Z140" s="20">
        <f t="shared" si="101"/>
        <v>202050000</v>
      </c>
      <c r="AA140" s="20">
        <f t="shared" si="102"/>
        <v>181845000</v>
      </c>
      <c r="AB140" s="20">
        <f t="shared" si="103"/>
        <v>161640000</v>
      </c>
      <c r="AC140" s="20">
        <f t="shared" si="104"/>
        <v>141435000</v>
      </c>
      <c r="AE140" s="21">
        <f>SUM(I133:I140)</f>
        <v>141495000</v>
      </c>
      <c r="AF140" s="21">
        <f>SUM(Q133:Q140)</f>
        <v>2217010000</v>
      </c>
      <c r="AG140" s="21">
        <f t="shared" si="105"/>
        <v>262605000</v>
      </c>
    </row>
    <row r="141" spans="1:33" x14ac:dyDescent="0.2">
      <c r="A141">
        <v>9</v>
      </c>
      <c r="B141" t="s">
        <v>179</v>
      </c>
      <c r="C141" s="18" t="s">
        <v>102</v>
      </c>
      <c r="D141" s="4">
        <v>3924000000</v>
      </c>
      <c r="E141" s="4">
        <v>5268000000</v>
      </c>
      <c r="F141" s="4">
        <v>7339000000</v>
      </c>
      <c r="G141" s="19">
        <v>20</v>
      </c>
      <c r="H141" s="4">
        <v>413700000</v>
      </c>
      <c r="I141" s="20">
        <f t="shared" si="106"/>
        <v>20685000</v>
      </c>
      <c r="J141" s="20"/>
      <c r="K141" s="20"/>
      <c r="L141" s="20"/>
      <c r="M141" s="20"/>
      <c r="N141" s="20"/>
      <c r="O141" s="20"/>
      <c r="P141" s="20"/>
      <c r="Q141" s="20"/>
      <c r="R141" s="20">
        <f>+H141-I141</f>
        <v>393015000</v>
      </c>
      <c r="S141" s="20">
        <f t="shared" si="94"/>
        <v>372330000</v>
      </c>
      <c r="T141" s="20">
        <f t="shared" si="95"/>
        <v>351645000</v>
      </c>
      <c r="U141" s="20">
        <f t="shared" si="96"/>
        <v>330960000</v>
      </c>
      <c r="V141" s="20">
        <f t="shared" si="97"/>
        <v>310275000</v>
      </c>
      <c r="W141" s="20">
        <f t="shared" si="98"/>
        <v>289590000</v>
      </c>
      <c r="X141" s="20">
        <f t="shared" si="99"/>
        <v>268905000</v>
      </c>
      <c r="Y141" s="20">
        <f t="shared" si="100"/>
        <v>248220000</v>
      </c>
      <c r="Z141" s="20">
        <f t="shared" si="101"/>
        <v>227535000</v>
      </c>
      <c r="AA141" s="20">
        <f t="shared" si="102"/>
        <v>206850000</v>
      </c>
      <c r="AB141" s="20">
        <f t="shared" si="103"/>
        <v>186165000</v>
      </c>
      <c r="AC141" s="20">
        <f t="shared" si="104"/>
        <v>165480000</v>
      </c>
      <c r="AE141" s="21">
        <f>SUM(I133:I141)</f>
        <v>162180000</v>
      </c>
      <c r="AF141" s="21">
        <f>SUM(R133:R141)</f>
        <v>2468530000</v>
      </c>
      <c r="AG141" s="21">
        <f t="shared" si="105"/>
        <v>251520000</v>
      </c>
    </row>
    <row r="142" spans="1:33" x14ac:dyDescent="0.2">
      <c r="A142">
        <v>10</v>
      </c>
      <c r="B142" t="s">
        <v>179</v>
      </c>
      <c r="C142" s="18" t="s">
        <v>101</v>
      </c>
      <c r="D142" s="22">
        <f>$D141</f>
        <v>3924000000</v>
      </c>
      <c r="E142" s="22">
        <f>$E141</f>
        <v>5268000000</v>
      </c>
      <c r="F142" s="22">
        <f>$F141</f>
        <v>7339000000</v>
      </c>
      <c r="G142" s="23">
        <f>$G$13</f>
        <v>20</v>
      </c>
      <c r="H142" s="4">
        <v>414399999.99999994</v>
      </c>
      <c r="I142" s="20">
        <f t="shared" si="106"/>
        <v>20719999.999999996</v>
      </c>
      <c r="J142" s="20"/>
      <c r="K142" s="20"/>
      <c r="L142" s="20"/>
      <c r="M142" s="20"/>
      <c r="N142" s="20"/>
      <c r="O142" s="20"/>
      <c r="P142" s="20"/>
      <c r="Q142" s="20"/>
      <c r="R142" s="20"/>
      <c r="S142" s="20">
        <f>+H142-I142</f>
        <v>393679999.99999994</v>
      </c>
      <c r="T142" s="20">
        <f t="shared" si="95"/>
        <v>372959999.99999994</v>
      </c>
      <c r="U142" s="20">
        <f t="shared" si="96"/>
        <v>352239999.99999994</v>
      </c>
      <c r="V142" s="20">
        <f t="shared" si="97"/>
        <v>331519999.99999994</v>
      </c>
      <c r="W142" s="20">
        <f t="shared" si="98"/>
        <v>310799999.99999994</v>
      </c>
      <c r="X142" s="20">
        <f t="shared" si="99"/>
        <v>290079999.99999994</v>
      </c>
      <c r="Y142" s="20">
        <f t="shared" si="100"/>
        <v>269359999.99999994</v>
      </c>
      <c r="Z142" s="20">
        <f t="shared" si="101"/>
        <v>248639999.99999994</v>
      </c>
      <c r="AA142" s="20">
        <f t="shared" si="102"/>
        <v>227919999.99999994</v>
      </c>
      <c r="AB142" s="20">
        <f t="shared" si="103"/>
        <v>207199999.99999994</v>
      </c>
      <c r="AC142" s="20">
        <f t="shared" si="104"/>
        <v>186479999.99999994</v>
      </c>
      <c r="AE142" s="21">
        <f>SUM(I133:I142)</f>
        <v>182900000</v>
      </c>
      <c r="AF142" s="21">
        <f>SUM(S133:S142)</f>
        <v>2700030000</v>
      </c>
      <c r="AG142" s="21">
        <f t="shared" si="105"/>
        <v>231499999.99999994</v>
      </c>
    </row>
    <row r="143" spans="1:33" x14ac:dyDescent="0.2">
      <c r="A143">
        <v>11</v>
      </c>
      <c r="B143" t="s">
        <v>179</v>
      </c>
      <c r="C143" s="18" t="s">
        <v>100</v>
      </c>
      <c r="D143" s="22">
        <f>$D141</f>
        <v>3924000000</v>
      </c>
      <c r="E143" s="22">
        <f>$E141</f>
        <v>5268000000</v>
      </c>
      <c r="F143" s="22">
        <f>$F141</f>
        <v>7339000000</v>
      </c>
      <c r="G143" s="23">
        <f t="shared" ref="G143:G152" si="107">$G$13</f>
        <v>20</v>
      </c>
      <c r="H143" s="4">
        <v>409500000</v>
      </c>
      <c r="I143" s="20">
        <f t="shared" si="106"/>
        <v>20475000</v>
      </c>
      <c r="J143" s="20"/>
      <c r="K143" s="20"/>
      <c r="L143" s="20"/>
      <c r="M143" s="20"/>
      <c r="N143" s="20"/>
      <c r="O143" s="20"/>
      <c r="P143" s="20"/>
      <c r="Q143" s="20"/>
      <c r="R143" s="20"/>
      <c r="S143" s="20"/>
      <c r="T143" s="20">
        <f>+H143-I143</f>
        <v>389025000</v>
      </c>
      <c r="U143" s="20">
        <f t="shared" si="96"/>
        <v>368550000</v>
      </c>
      <c r="V143" s="20">
        <f t="shared" si="97"/>
        <v>348075000</v>
      </c>
      <c r="W143" s="20">
        <f t="shared" si="98"/>
        <v>327600000</v>
      </c>
      <c r="X143" s="20">
        <f t="shared" si="99"/>
        <v>307125000</v>
      </c>
      <c r="Y143" s="20">
        <f t="shared" si="100"/>
        <v>286650000</v>
      </c>
      <c r="Z143" s="20">
        <f t="shared" si="101"/>
        <v>266175000</v>
      </c>
      <c r="AA143" s="20">
        <f t="shared" si="102"/>
        <v>245700000</v>
      </c>
      <c r="AB143" s="20">
        <f t="shared" si="103"/>
        <v>225225000</v>
      </c>
      <c r="AC143" s="20">
        <f t="shared" si="104"/>
        <v>204750000</v>
      </c>
      <c r="AE143" s="21">
        <f>SUM(I133:I143)</f>
        <v>203375000</v>
      </c>
      <c r="AF143" s="21">
        <f>SUM(T133:T143)</f>
        <v>2906155000</v>
      </c>
      <c r="AG143" s="21">
        <f t="shared" si="105"/>
        <v>206125000</v>
      </c>
    </row>
    <row r="144" spans="1:33" x14ac:dyDescent="0.2">
      <c r="A144">
        <v>12</v>
      </c>
      <c r="B144" t="s">
        <v>179</v>
      </c>
      <c r="C144" s="18" t="s">
        <v>99</v>
      </c>
      <c r="D144" s="22">
        <f>$D141</f>
        <v>3924000000</v>
      </c>
      <c r="E144" s="22">
        <f>$E141</f>
        <v>5268000000</v>
      </c>
      <c r="F144" s="22">
        <f>$F141</f>
        <v>7339000000</v>
      </c>
      <c r="G144" s="23">
        <f t="shared" si="107"/>
        <v>20</v>
      </c>
      <c r="H144" s="4">
        <v>447900000</v>
      </c>
      <c r="I144" s="20">
        <f t="shared" si="106"/>
        <v>22395000</v>
      </c>
      <c r="J144" s="20"/>
      <c r="K144" s="20"/>
      <c r="L144" s="20"/>
      <c r="M144" s="20"/>
      <c r="N144" s="20"/>
      <c r="O144" s="20"/>
      <c r="P144" s="20"/>
      <c r="Q144" s="20"/>
      <c r="R144" s="20"/>
      <c r="S144" s="20"/>
      <c r="T144" s="20"/>
      <c r="U144" s="20">
        <f>+H144-I144</f>
        <v>425505000</v>
      </c>
      <c r="V144" s="20">
        <f t="shared" si="97"/>
        <v>403110000</v>
      </c>
      <c r="W144" s="20">
        <f t="shared" si="98"/>
        <v>380715000</v>
      </c>
      <c r="X144" s="20">
        <f t="shared" si="99"/>
        <v>358320000</v>
      </c>
      <c r="Y144" s="20">
        <f t="shared" si="100"/>
        <v>335925000</v>
      </c>
      <c r="Z144" s="20">
        <f t="shared" si="101"/>
        <v>313530000</v>
      </c>
      <c r="AA144" s="20">
        <f t="shared" si="102"/>
        <v>291135000</v>
      </c>
      <c r="AB144" s="20">
        <f t="shared" si="103"/>
        <v>268740000</v>
      </c>
      <c r="AC144" s="20">
        <f t="shared" si="104"/>
        <v>246345000</v>
      </c>
      <c r="AE144" s="21">
        <f>SUM(I133:I144)</f>
        <v>225770000</v>
      </c>
      <c r="AF144" s="21">
        <f>SUM(U133:U144)</f>
        <v>3128285000</v>
      </c>
      <c r="AG144" s="21">
        <f t="shared" si="105"/>
        <v>222130000</v>
      </c>
    </row>
    <row r="145" spans="1:33" x14ac:dyDescent="0.2">
      <c r="A145">
        <v>13</v>
      </c>
      <c r="B145" t="s">
        <v>179</v>
      </c>
      <c r="C145" s="18" t="s">
        <v>98</v>
      </c>
      <c r="D145" s="22">
        <f>$D141</f>
        <v>3924000000</v>
      </c>
      <c r="E145" s="22">
        <f>$E141</f>
        <v>5268000000</v>
      </c>
      <c r="F145" s="22">
        <f>$F141</f>
        <v>7339000000</v>
      </c>
      <c r="G145" s="23">
        <f t="shared" si="107"/>
        <v>20</v>
      </c>
      <c r="H145" s="4">
        <v>457200000</v>
      </c>
      <c r="I145" s="20">
        <f t="shared" si="106"/>
        <v>22860000</v>
      </c>
      <c r="J145" s="20"/>
      <c r="K145" s="20"/>
      <c r="L145" s="20"/>
      <c r="M145" s="20"/>
      <c r="N145" s="20"/>
      <c r="O145" s="20"/>
      <c r="P145" s="20"/>
      <c r="Q145" s="20"/>
      <c r="R145" s="20"/>
      <c r="S145" s="20"/>
      <c r="T145" s="20"/>
      <c r="U145" s="20"/>
      <c r="V145" s="20">
        <f>+H145-I145</f>
        <v>434340000</v>
      </c>
      <c r="W145" s="20">
        <f t="shared" si="98"/>
        <v>411480000</v>
      </c>
      <c r="X145" s="20">
        <f t="shared" si="99"/>
        <v>388620000</v>
      </c>
      <c r="Y145" s="20">
        <f t="shared" si="100"/>
        <v>365760000</v>
      </c>
      <c r="Z145" s="20">
        <f t="shared" si="101"/>
        <v>342900000</v>
      </c>
      <c r="AA145" s="20">
        <f t="shared" si="102"/>
        <v>320040000</v>
      </c>
      <c r="AB145" s="20">
        <f t="shared" si="103"/>
        <v>297180000</v>
      </c>
      <c r="AC145" s="20">
        <f t="shared" si="104"/>
        <v>274320000</v>
      </c>
      <c r="AE145" s="21">
        <f>SUM(I133:I145)</f>
        <v>248630000</v>
      </c>
      <c r="AF145" s="21">
        <f>SUM(V133:V145)</f>
        <v>3336855000</v>
      </c>
      <c r="AG145" s="21">
        <f t="shared" si="105"/>
        <v>208570000</v>
      </c>
    </row>
    <row r="146" spans="1:33" x14ac:dyDescent="0.2">
      <c r="A146">
        <v>14</v>
      </c>
      <c r="B146" t="s">
        <v>179</v>
      </c>
      <c r="C146" s="18" t="s">
        <v>97</v>
      </c>
      <c r="D146" s="22">
        <f>$D141</f>
        <v>3924000000</v>
      </c>
      <c r="E146" s="22">
        <f>$E141</f>
        <v>5268000000</v>
      </c>
      <c r="F146" s="22">
        <f>$F141</f>
        <v>7339000000</v>
      </c>
      <c r="G146" s="23">
        <f t="shared" si="107"/>
        <v>20</v>
      </c>
      <c r="H146" s="4">
        <v>494800000.00000006</v>
      </c>
      <c r="I146" s="20">
        <f t="shared" si="106"/>
        <v>24740000.000000004</v>
      </c>
      <c r="J146" s="20"/>
      <c r="K146" s="20"/>
      <c r="L146" s="20"/>
      <c r="M146" s="20"/>
      <c r="N146" s="20"/>
      <c r="O146" s="20"/>
      <c r="P146" s="20"/>
      <c r="Q146" s="20"/>
      <c r="R146" s="20"/>
      <c r="S146" s="20"/>
      <c r="T146" s="20"/>
      <c r="U146" s="20"/>
      <c r="V146" s="20"/>
      <c r="W146" s="20">
        <f>+H146-I146</f>
        <v>470060000.00000006</v>
      </c>
      <c r="X146" s="20">
        <f t="shared" si="99"/>
        <v>445320000.00000006</v>
      </c>
      <c r="Y146" s="20">
        <f t="shared" si="100"/>
        <v>420580000.00000006</v>
      </c>
      <c r="Z146" s="20">
        <f t="shared" si="101"/>
        <v>395840000.00000006</v>
      </c>
      <c r="AA146" s="20">
        <f t="shared" si="102"/>
        <v>371100000.00000006</v>
      </c>
      <c r="AB146" s="20">
        <f t="shared" si="103"/>
        <v>346360000.00000006</v>
      </c>
      <c r="AC146" s="20">
        <f t="shared" si="104"/>
        <v>321620000.00000006</v>
      </c>
      <c r="AE146" s="21">
        <f>SUM(I133:I146)</f>
        <v>273370000</v>
      </c>
      <c r="AF146" s="21">
        <f>SUM(W133:W146)</f>
        <v>3558285000</v>
      </c>
      <c r="AG146" s="21">
        <f t="shared" si="105"/>
        <v>221430000.00000006</v>
      </c>
    </row>
    <row r="147" spans="1:33" x14ac:dyDescent="0.2">
      <c r="A147">
        <v>15</v>
      </c>
      <c r="B147" t="s">
        <v>179</v>
      </c>
      <c r="C147" s="18" t="s">
        <v>96</v>
      </c>
      <c r="D147" s="22">
        <f>$D141</f>
        <v>3924000000</v>
      </c>
      <c r="E147" s="22">
        <f>$E141</f>
        <v>5268000000</v>
      </c>
      <c r="F147" s="22">
        <f>$F141</f>
        <v>7339000000</v>
      </c>
      <c r="G147" s="23">
        <f t="shared" si="107"/>
        <v>20</v>
      </c>
      <c r="H147" s="4">
        <v>480400000</v>
      </c>
      <c r="I147" s="20">
        <f t="shared" si="106"/>
        <v>24020000</v>
      </c>
      <c r="J147" s="20"/>
      <c r="K147" s="20"/>
      <c r="L147" s="20"/>
      <c r="M147" s="20"/>
      <c r="N147" s="20"/>
      <c r="O147" s="20"/>
      <c r="P147" s="20"/>
      <c r="Q147" s="20"/>
      <c r="R147" s="20"/>
      <c r="S147" s="20"/>
      <c r="T147" s="20"/>
      <c r="U147" s="20"/>
      <c r="V147" s="20"/>
      <c r="W147" s="20"/>
      <c r="X147" s="20">
        <f>+H147-I147</f>
        <v>456380000</v>
      </c>
      <c r="Y147" s="20">
        <f t="shared" si="100"/>
        <v>432360000</v>
      </c>
      <c r="Z147" s="20">
        <f t="shared" si="101"/>
        <v>408340000</v>
      </c>
      <c r="AA147" s="20">
        <f t="shared" si="102"/>
        <v>384320000</v>
      </c>
      <c r="AB147" s="20">
        <f t="shared" si="103"/>
        <v>360300000</v>
      </c>
      <c r="AC147" s="20">
        <f t="shared" si="104"/>
        <v>336280000</v>
      </c>
      <c r="AE147" s="21">
        <f>SUM(I133:I147)</f>
        <v>297390000</v>
      </c>
      <c r="AF147" s="21">
        <f>SUM(X133:X147)</f>
        <v>3741295000</v>
      </c>
      <c r="AG147" s="21">
        <f t="shared" si="105"/>
        <v>183010000</v>
      </c>
    </row>
    <row r="148" spans="1:33" x14ac:dyDescent="0.2">
      <c r="A148">
        <v>16</v>
      </c>
      <c r="B148" t="s">
        <v>179</v>
      </c>
      <c r="C148" s="18" t="s">
        <v>95</v>
      </c>
      <c r="D148" s="22">
        <f>$D141</f>
        <v>3924000000</v>
      </c>
      <c r="E148" s="22">
        <f>$E141</f>
        <v>5268000000</v>
      </c>
      <c r="F148" s="22">
        <f>$F141</f>
        <v>7339000000</v>
      </c>
      <c r="G148" s="23">
        <f t="shared" si="107"/>
        <v>20</v>
      </c>
      <c r="H148" s="4">
        <v>505700000</v>
      </c>
      <c r="I148" s="20">
        <f t="shared" si="106"/>
        <v>25285000</v>
      </c>
      <c r="J148" s="20"/>
      <c r="K148" s="20"/>
      <c r="L148" s="20"/>
      <c r="M148" s="20"/>
      <c r="N148" s="20"/>
      <c r="O148" s="20"/>
      <c r="P148" s="20"/>
      <c r="Q148" s="20"/>
      <c r="R148" s="20"/>
      <c r="S148" s="20"/>
      <c r="T148" s="20"/>
      <c r="U148" s="20"/>
      <c r="V148" s="20"/>
      <c r="W148" s="20"/>
      <c r="X148" s="20"/>
      <c r="Y148" s="20">
        <f>+H148-I148</f>
        <v>480415000</v>
      </c>
      <c r="Z148" s="20">
        <f t="shared" si="101"/>
        <v>455130000</v>
      </c>
      <c r="AA148" s="20">
        <f t="shared" si="102"/>
        <v>429845000</v>
      </c>
      <c r="AB148" s="20">
        <f t="shared" si="103"/>
        <v>404560000</v>
      </c>
      <c r="AC148" s="20">
        <f t="shared" si="104"/>
        <v>379275000</v>
      </c>
      <c r="AE148" s="21">
        <f>SUM(I133:I148)</f>
        <v>322675000</v>
      </c>
      <c r="AF148" s="21">
        <f>SUM(Y133:Y148)</f>
        <v>3924320000</v>
      </c>
      <c r="AG148" s="21">
        <f t="shared" si="105"/>
        <v>183025000</v>
      </c>
    </row>
    <row r="149" spans="1:33" x14ac:dyDescent="0.2">
      <c r="A149">
        <v>17</v>
      </c>
      <c r="B149" t="s">
        <v>179</v>
      </c>
      <c r="C149" s="18" t="s">
        <v>94</v>
      </c>
      <c r="D149" s="22">
        <f>$D141</f>
        <v>3924000000</v>
      </c>
      <c r="E149" s="22">
        <f>$E141</f>
        <v>5268000000</v>
      </c>
      <c r="F149" s="22">
        <f>$F141</f>
        <v>7339000000</v>
      </c>
      <c r="G149" s="23">
        <f t="shared" si="107"/>
        <v>20</v>
      </c>
      <c r="H149" s="4">
        <v>494500000</v>
      </c>
      <c r="I149" s="20">
        <f t="shared" si="106"/>
        <v>24725000</v>
      </c>
      <c r="J149" s="20"/>
      <c r="K149" s="20"/>
      <c r="L149" s="20"/>
      <c r="M149" s="20"/>
      <c r="N149" s="20"/>
      <c r="O149" s="20"/>
      <c r="P149" s="20"/>
      <c r="Q149" s="20"/>
      <c r="R149" s="20"/>
      <c r="S149" s="20"/>
      <c r="T149" s="20"/>
      <c r="U149" s="20"/>
      <c r="V149" s="20"/>
      <c r="W149" s="20"/>
      <c r="X149" s="20"/>
      <c r="Y149" s="20"/>
      <c r="Z149" s="20">
        <f>+H149-I149</f>
        <v>469775000</v>
      </c>
      <c r="AA149" s="20">
        <f t="shared" si="102"/>
        <v>445050000</v>
      </c>
      <c r="AB149" s="20">
        <f t="shared" si="103"/>
        <v>420325000</v>
      </c>
      <c r="AC149" s="20">
        <f t="shared" si="104"/>
        <v>395600000</v>
      </c>
      <c r="AE149" s="21">
        <f>SUM(I133:I149)</f>
        <v>347400000</v>
      </c>
      <c r="AF149" s="21">
        <f>SUM(Z133:Z149)</f>
        <v>4071420000</v>
      </c>
      <c r="AG149" s="21">
        <f t="shared" si="105"/>
        <v>147100000</v>
      </c>
    </row>
    <row r="150" spans="1:33" x14ac:dyDescent="0.2">
      <c r="A150">
        <v>18</v>
      </c>
      <c r="B150" t="s">
        <v>179</v>
      </c>
      <c r="C150" s="18" t="s">
        <v>93</v>
      </c>
      <c r="D150" s="22">
        <f>$D141</f>
        <v>3924000000</v>
      </c>
      <c r="E150" s="22">
        <f>$E141</f>
        <v>5268000000</v>
      </c>
      <c r="F150" s="22">
        <f>$F141</f>
        <v>7339000000</v>
      </c>
      <c r="G150" s="23">
        <f t="shared" si="107"/>
        <v>20</v>
      </c>
      <c r="H150" s="4">
        <v>503499999.99999988</v>
      </c>
      <c r="I150" s="20">
        <f t="shared" si="106"/>
        <v>25174999.999999993</v>
      </c>
      <c r="J150" s="20"/>
      <c r="K150" s="20"/>
      <c r="L150" s="20"/>
      <c r="M150" s="20"/>
      <c r="N150" s="20"/>
      <c r="O150" s="20"/>
      <c r="P150" s="20"/>
      <c r="Q150" s="20"/>
      <c r="R150" s="20"/>
      <c r="S150" s="20"/>
      <c r="T150" s="20"/>
      <c r="U150" s="20"/>
      <c r="V150" s="20"/>
      <c r="W150" s="20"/>
      <c r="X150" s="20"/>
      <c r="Y150" s="20"/>
      <c r="Z150" s="20"/>
      <c r="AA150" s="20">
        <f>+H150-I150</f>
        <v>478324999.99999988</v>
      </c>
      <c r="AB150" s="20">
        <f t="shared" si="103"/>
        <v>453149999.99999988</v>
      </c>
      <c r="AC150" s="20">
        <f t="shared" si="104"/>
        <v>427974999.99999988</v>
      </c>
      <c r="AE150" s="21">
        <f>SUM(I133:I150)</f>
        <v>372575000</v>
      </c>
      <c r="AF150" s="21">
        <f>SUM(AA133:AA150)</f>
        <v>4202345000</v>
      </c>
      <c r="AG150" s="21">
        <f t="shared" si="105"/>
        <v>130924999.99999988</v>
      </c>
    </row>
    <row r="151" spans="1:33" x14ac:dyDescent="0.2">
      <c r="A151">
        <v>19</v>
      </c>
      <c r="B151" t="s">
        <v>179</v>
      </c>
      <c r="C151" s="18" t="s">
        <v>141</v>
      </c>
      <c r="D151" s="22">
        <f>$D141</f>
        <v>3924000000</v>
      </c>
      <c r="E151" s="22">
        <f>$E141</f>
        <v>5268000000</v>
      </c>
      <c r="F151" s="22">
        <f>$F141</f>
        <v>7339000000</v>
      </c>
      <c r="G151" s="23">
        <f t="shared" si="107"/>
        <v>20</v>
      </c>
      <c r="H151" s="4">
        <v>528000000</v>
      </c>
      <c r="I151" s="20">
        <f t="shared" si="106"/>
        <v>26400000</v>
      </c>
      <c r="J151" s="20"/>
      <c r="K151" s="20"/>
      <c r="L151" s="20"/>
      <c r="M151" s="20"/>
      <c r="N151" s="20"/>
      <c r="O151" s="20"/>
      <c r="P151" s="20"/>
      <c r="Q151" s="20"/>
      <c r="R151" s="20"/>
      <c r="S151" s="20"/>
      <c r="T151" s="20"/>
      <c r="U151" s="20"/>
      <c r="V151" s="20"/>
      <c r="W151" s="20"/>
      <c r="X151" s="20"/>
      <c r="Y151" s="20"/>
      <c r="Z151" s="20"/>
      <c r="AA151" s="20"/>
      <c r="AB151" s="20">
        <f>+H151-I151</f>
        <v>501600000</v>
      </c>
      <c r="AC151" s="20">
        <f t="shared" si="104"/>
        <v>475200000</v>
      </c>
      <c r="AE151" s="21">
        <f>SUM(I133:I151)</f>
        <v>398975000</v>
      </c>
      <c r="AF151" s="21">
        <f>SUM(AB133:AB151)</f>
        <v>4331370000</v>
      </c>
      <c r="AG151" s="21">
        <f t="shared" si="105"/>
        <v>129025000</v>
      </c>
    </row>
    <row r="152" spans="1:33" x14ac:dyDescent="0.2">
      <c r="A152">
        <v>20</v>
      </c>
      <c r="B152" t="s">
        <v>179</v>
      </c>
      <c r="C152" s="18" t="s">
        <v>160</v>
      </c>
      <c r="D152" s="22">
        <f>$D141</f>
        <v>3924000000</v>
      </c>
      <c r="E152" s="22">
        <f>$E141</f>
        <v>5268000000</v>
      </c>
      <c r="F152" s="22">
        <f>$F141</f>
        <v>7339000000</v>
      </c>
      <c r="G152" s="23">
        <f t="shared" si="107"/>
        <v>20</v>
      </c>
      <c r="H152" s="4">
        <v>511000000</v>
      </c>
      <c r="I152" s="20">
        <f t="shared" si="106"/>
        <v>25550000</v>
      </c>
      <c r="J152" s="20"/>
      <c r="K152" s="20"/>
      <c r="L152" s="20"/>
      <c r="M152" s="20"/>
      <c r="N152" s="20"/>
      <c r="O152" s="20"/>
      <c r="P152" s="20"/>
      <c r="Q152" s="20"/>
      <c r="R152" s="20"/>
      <c r="S152" s="20"/>
      <c r="T152" s="20"/>
      <c r="U152" s="20"/>
      <c r="V152" s="20"/>
      <c r="W152" s="20"/>
      <c r="X152" s="20"/>
      <c r="Y152" s="20"/>
      <c r="Z152" s="20"/>
      <c r="AA152" s="20"/>
      <c r="AB152" s="20"/>
      <c r="AC152" s="20">
        <f>+H152-I152</f>
        <v>485450000</v>
      </c>
      <c r="AE152" s="21">
        <f>SUM(I133:I152)</f>
        <v>424525000</v>
      </c>
      <c r="AF152" s="21">
        <f>SUM(AC133:AC152)</f>
        <v>4417845000</v>
      </c>
      <c r="AG152" s="21">
        <f t="shared" si="105"/>
        <v>86475000</v>
      </c>
    </row>
    <row r="155" spans="1:33" x14ac:dyDescent="0.2">
      <c r="I155" s="3"/>
    </row>
    <row r="156" spans="1:33" x14ac:dyDescent="0.2">
      <c r="C156" t="s">
        <v>303</v>
      </c>
    </row>
    <row r="157" spans="1:33" x14ac:dyDescent="0.2">
      <c r="C157" s="6" t="s">
        <v>107</v>
      </c>
      <c r="D157" s="6" t="s">
        <v>438</v>
      </c>
      <c r="E157" s="6" t="s">
        <v>439</v>
      </c>
      <c r="F157" s="6" t="s">
        <v>440</v>
      </c>
      <c r="G157" s="6" t="s">
        <v>441</v>
      </c>
      <c r="H157" s="6" t="s">
        <v>442</v>
      </c>
      <c r="I157" s="15"/>
      <c r="J157" s="6" t="s">
        <v>443</v>
      </c>
      <c r="K157" s="6" t="s">
        <v>444</v>
      </c>
      <c r="L157" s="6" t="s">
        <v>445</v>
      </c>
      <c r="M157" s="6" t="s">
        <v>446</v>
      </c>
      <c r="N157" s="6" t="s">
        <v>447</v>
      </c>
      <c r="O157" s="6" t="s">
        <v>448</v>
      </c>
      <c r="P157" s="6" t="s">
        <v>449</v>
      </c>
      <c r="Q157" s="6" t="s">
        <v>450</v>
      </c>
      <c r="R157" s="6" t="s">
        <v>451</v>
      </c>
      <c r="S157" s="6" t="s">
        <v>452</v>
      </c>
      <c r="T157" s="6" t="s">
        <v>453</v>
      </c>
      <c r="U157" s="6" t="s">
        <v>454</v>
      </c>
      <c r="V157" s="6" t="s">
        <v>455</v>
      </c>
      <c r="W157" s="6" t="s">
        <v>456</v>
      </c>
      <c r="X157" s="6" t="s">
        <v>457</v>
      </c>
      <c r="Y157" s="6" t="s">
        <v>458</v>
      </c>
      <c r="Z157" s="6" t="s">
        <v>459</v>
      </c>
      <c r="AA157" s="6" t="s">
        <v>460</v>
      </c>
      <c r="AB157" s="6" t="s">
        <v>461</v>
      </c>
      <c r="AC157" s="6" t="s">
        <v>462</v>
      </c>
      <c r="AD157" s="15"/>
      <c r="AE157" s="6" t="s">
        <v>106</v>
      </c>
      <c r="AF157" s="6" t="s">
        <v>105</v>
      </c>
      <c r="AG157" s="6" t="s">
        <v>463</v>
      </c>
    </row>
    <row r="158" spans="1:33" x14ac:dyDescent="0.2">
      <c r="C158" s="16" t="s">
        <v>464</v>
      </c>
      <c r="J158" s="17">
        <v>20</v>
      </c>
      <c r="K158" s="17">
        <v>19</v>
      </c>
      <c r="L158" s="17">
        <v>18</v>
      </c>
      <c r="M158" s="17">
        <v>17</v>
      </c>
      <c r="N158" s="17">
        <v>16</v>
      </c>
      <c r="O158" s="17">
        <v>15</v>
      </c>
      <c r="P158" s="17">
        <v>14</v>
      </c>
      <c r="Q158" s="17">
        <v>13</v>
      </c>
      <c r="R158" s="17">
        <v>12</v>
      </c>
      <c r="S158" s="17">
        <v>11</v>
      </c>
      <c r="T158" s="17">
        <v>10</v>
      </c>
      <c r="U158" s="17">
        <v>9</v>
      </c>
      <c r="V158" s="17">
        <v>8</v>
      </c>
      <c r="W158" s="17">
        <v>7</v>
      </c>
      <c r="X158" s="17">
        <v>6</v>
      </c>
      <c r="Y158" s="17">
        <v>5</v>
      </c>
      <c r="Z158" s="17">
        <v>4</v>
      </c>
      <c r="AA158" s="17">
        <v>3</v>
      </c>
      <c r="AB158" s="17">
        <v>2</v>
      </c>
      <c r="AC158" s="17">
        <v>1</v>
      </c>
    </row>
    <row r="159" spans="1:33" x14ac:dyDescent="0.2">
      <c r="B159" t="s">
        <v>303</v>
      </c>
      <c r="C159" s="18" t="s">
        <v>104</v>
      </c>
      <c r="D159" s="4">
        <v>0</v>
      </c>
      <c r="E159" s="4">
        <v>0</v>
      </c>
      <c r="F159" s="4">
        <v>0</v>
      </c>
      <c r="G159" s="19">
        <v>20</v>
      </c>
      <c r="H159" s="4">
        <v>0</v>
      </c>
      <c r="J159" s="20">
        <f t="shared" ref="J159:J170" si="108">H159</f>
        <v>0</v>
      </c>
      <c r="K159" s="20">
        <f>$F159/4</f>
        <v>0</v>
      </c>
      <c r="L159" s="20">
        <f>$F159/4</f>
        <v>0</v>
      </c>
      <c r="M159" s="20">
        <f>$F159/4</f>
        <v>0</v>
      </c>
      <c r="N159" s="20">
        <f>$F159/4</f>
        <v>0</v>
      </c>
      <c r="O159" s="20">
        <f>$E159/4</f>
        <v>0</v>
      </c>
      <c r="P159" s="20">
        <f>$E159/4</f>
        <v>0</v>
      </c>
      <c r="Q159" s="20">
        <f>$E159/4</f>
        <v>0</v>
      </c>
      <c r="R159" s="20">
        <f>$E159/4</f>
        <v>0</v>
      </c>
      <c r="S159" s="20">
        <f>$D159/4</f>
        <v>0</v>
      </c>
      <c r="T159" s="20">
        <f>$D159/4</f>
        <v>0</v>
      </c>
      <c r="U159" s="20">
        <f>$D159/4</f>
        <v>0</v>
      </c>
      <c r="V159" s="20">
        <f>$D159/4</f>
        <v>0</v>
      </c>
      <c r="W159" s="20">
        <v>0</v>
      </c>
      <c r="X159" s="20">
        <v>0</v>
      </c>
      <c r="Y159" s="20">
        <v>0</v>
      </c>
      <c r="Z159" s="20">
        <v>0</v>
      </c>
      <c r="AA159" s="20">
        <v>0</v>
      </c>
      <c r="AB159" s="20">
        <v>0</v>
      </c>
      <c r="AC159" s="20">
        <v>0</v>
      </c>
      <c r="AE159" s="21">
        <f>SUM(J159:AC159)/$G159</f>
        <v>0</v>
      </c>
      <c r="AF159" s="21">
        <f>SUMPRODUCT($J$158:$AC$158,J159:AC159)/$G159</f>
        <v>0</v>
      </c>
      <c r="AG159" s="21">
        <f t="shared" ref="AG159:AG170" si="109">H159-AE159</f>
        <v>0</v>
      </c>
    </row>
    <row r="160" spans="1:33" x14ac:dyDescent="0.2">
      <c r="B160" t="s">
        <v>303</v>
      </c>
      <c r="C160" s="18" t="s">
        <v>103</v>
      </c>
      <c r="D160" s="22">
        <f>$D159</f>
        <v>0</v>
      </c>
      <c r="E160" s="22">
        <f>$E159</f>
        <v>0</v>
      </c>
      <c r="F160" s="22">
        <f>$F159</f>
        <v>0</v>
      </c>
      <c r="G160" s="23">
        <f>$G$159</f>
        <v>20</v>
      </c>
      <c r="H160" s="4">
        <v>0</v>
      </c>
      <c r="J160" s="20">
        <f t="shared" si="108"/>
        <v>0</v>
      </c>
      <c r="K160" s="20">
        <f t="shared" ref="K160:K170" si="110">H159</f>
        <v>0</v>
      </c>
      <c r="L160" s="20">
        <f>$F159/4</f>
        <v>0</v>
      </c>
      <c r="M160" s="20">
        <f>$F159/4</f>
        <v>0</v>
      </c>
      <c r="N160" s="20">
        <f>$F159/4</f>
        <v>0</v>
      </c>
      <c r="O160" s="20">
        <f>$F159/4</f>
        <v>0</v>
      </c>
      <c r="P160" s="20">
        <f>$E159/4</f>
        <v>0</v>
      </c>
      <c r="Q160" s="20">
        <f>$E159/4</f>
        <v>0</v>
      </c>
      <c r="R160" s="20">
        <f>$E159/4</f>
        <v>0</v>
      </c>
      <c r="S160" s="20">
        <f>$E159/4</f>
        <v>0</v>
      </c>
      <c r="T160" s="20">
        <f>$D159/4</f>
        <v>0</v>
      </c>
      <c r="U160" s="20">
        <f>$D159/4</f>
        <v>0</v>
      </c>
      <c r="V160" s="20">
        <f>$D159/4</f>
        <v>0</v>
      </c>
      <c r="W160" s="20">
        <f>$D159/4</f>
        <v>0</v>
      </c>
      <c r="X160" s="20">
        <v>0</v>
      </c>
      <c r="Y160" s="20">
        <v>0</v>
      </c>
      <c r="Z160" s="20">
        <v>0</v>
      </c>
      <c r="AA160" s="20">
        <v>0</v>
      </c>
      <c r="AB160" s="20">
        <v>0</v>
      </c>
      <c r="AC160" s="20">
        <v>0</v>
      </c>
      <c r="AE160" s="21">
        <f t="shared" ref="AE160:AE170" si="111">SUM(J160:AC160)/$G160</f>
        <v>0</v>
      </c>
      <c r="AF160" s="21">
        <f t="shared" ref="AF160:AF170" si="112">SUMPRODUCT($J$158:$AC$158,J160:AC160)/$G160</f>
        <v>0</v>
      </c>
      <c r="AG160" s="21">
        <f t="shared" si="109"/>
        <v>0</v>
      </c>
    </row>
    <row r="161" spans="2:33" x14ac:dyDescent="0.2">
      <c r="B161" t="s">
        <v>303</v>
      </c>
      <c r="C161" s="18" t="s">
        <v>102</v>
      </c>
      <c r="D161" s="22">
        <f>$D159</f>
        <v>0</v>
      </c>
      <c r="E161" s="22">
        <f>$E159</f>
        <v>0</v>
      </c>
      <c r="F161" s="22">
        <f>$F159</f>
        <v>0</v>
      </c>
      <c r="G161" s="23">
        <f t="shared" ref="G161:G170" si="113">$G$159</f>
        <v>20</v>
      </c>
      <c r="H161" s="4">
        <v>0</v>
      </c>
      <c r="J161" s="20">
        <f t="shared" si="108"/>
        <v>0</v>
      </c>
      <c r="K161" s="20">
        <f t="shared" si="110"/>
        <v>0</v>
      </c>
      <c r="L161" s="20">
        <f t="shared" ref="L161:L170" si="114">H159</f>
        <v>0</v>
      </c>
      <c r="M161" s="20">
        <f>$F159/4</f>
        <v>0</v>
      </c>
      <c r="N161" s="20">
        <f>$F159/4</f>
        <v>0</v>
      </c>
      <c r="O161" s="20">
        <f>$F159/4</f>
        <v>0</v>
      </c>
      <c r="P161" s="20">
        <f>$F159/4</f>
        <v>0</v>
      </c>
      <c r="Q161" s="20">
        <f>$E159/4</f>
        <v>0</v>
      </c>
      <c r="R161" s="20">
        <f>$E159/4</f>
        <v>0</v>
      </c>
      <c r="S161" s="20">
        <f>$E159/4</f>
        <v>0</v>
      </c>
      <c r="T161" s="20">
        <f>$E159/4</f>
        <v>0</v>
      </c>
      <c r="U161" s="20">
        <f>$D159/4</f>
        <v>0</v>
      </c>
      <c r="V161" s="20">
        <f>$D159/4</f>
        <v>0</v>
      </c>
      <c r="W161" s="20">
        <f>$D159/4</f>
        <v>0</v>
      </c>
      <c r="X161" s="20">
        <f>$D159/4</f>
        <v>0</v>
      </c>
      <c r="Y161" s="20">
        <v>0</v>
      </c>
      <c r="Z161" s="20">
        <v>0</v>
      </c>
      <c r="AA161" s="20">
        <v>0</v>
      </c>
      <c r="AB161" s="20">
        <v>0</v>
      </c>
      <c r="AC161" s="20">
        <v>0</v>
      </c>
      <c r="AE161" s="21">
        <f t="shared" si="111"/>
        <v>0</v>
      </c>
      <c r="AF161" s="21">
        <f t="shared" si="112"/>
        <v>0</v>
      </c>
      <c r="AG161" s="21">
        <f t="shared" si="109"/>
        <v>0</v>
      </c>
    </row>
    <row r="162" spans="2:33" x14ac:dyDescent="0.2">
      <c r="B162" t="s">
        <v>303</v>
      </c>
      <c r="C162" s="18" t="s">
        <v>101</v>
      </c>
      <c r="D162" s="22">
        <f>$D159</f>
        <v>0</v>
      </c>
      <c r="E162" s="22">
        <f>$E159</f>
        <v>0</v>
      </c>
      <c r="F162" s="22">
        <f>$F159</f>
        <v>0</v>
      </c>
      <c r="G162" s="23">
        <f t="shared" si="113"/>
        <v>20</v>
      </c>
      <c r="H162" s="4">
        <v>0</v>
      </c>
      <c r="J162" s="20">
        <f t="shared" si="108"/>
        <v>0</v>
      </c>
      <c r="K162" s="20">
        <f t="shared" si="110"/>
        <v>0</v>
      </c>
      <c r="L162" s="20">
        <f t="shared" si="114"/>
        <v>0</v>
      </c>
      <c r="M162" s="20">
        <f t="shared" ref="M162:M170" si="115">H159</f>
        <v>0</v>
      </c>
      <c r="N162" s="20">
        <f>$F159/4</f>
        <v>0</v>
      </c>
      <c r="O162" s="20">
        <f>$F159/4</f>
        <v>0</v>
      </c>
      <c r="P162" s="20">
        <f>$F159/4</f>
        <v>0</v>
      </c>
      <c r="Q162" s="20">
        <f>$F159/4</f>
        <v>0</v>
      </c>
      <c r="R162" s="20">
        <f>$E159/4</f>
        <v>0</v>
      </c>
      <c r="S162" s="20">
        <f>$E159/4</f>
        <v>0</v>
      </c>
      <c r="T162" s="20">
        <f>$E159/4</f>
        <v>0</v>
      </c>
      <c r="U162" s="20">
        <f>$E159/4</f>
        <v>0</v>
      </c>
      <c r="V162" s="20">
        <f>$D159/4</f>
        <v>0</v>
      </c>
      <c r="W162" s="20">
        <f>$D159/4</f>
        <v>0</v>
      </c>
      <c r="X162" s="20">
        <f>$D159/4</f>
        <v>0</v>
      </c>
      <c r="Y162" s="20">
        <f>$D159/4</f>
        <v>0</v>
      </c>
      <c r="Z162" s="20">
        <v>0</v>
      </c>
      <c r="AA162" s="20">
        <v>0</v>
      </c>
      <c r="AB162" s="20">
        <v>0</v>
      </c>
      <c r="AC162" s="20">
        <v>0</v>
      </c>
      <c r="AE162" s="21">
        <f t="shared" si="111"/>
        <v>0</v>
      </c>
      <c r="AF162" s="21">
        <f t="shared" si="112"/>
        <v>0</v>
      </c>
      <c r="AG162" s="21">
        <f t="shared" si="109"/>
        <v>0</v>
      </c>
    </row>
    <row r="163" spans="2:33" x14ac:dyDescent="0.2">
      <c r="B163" t="s">
        <v>303</v>
      </c>
      <c r="C163" s="18" t="s">
        <v>100</v>
      </c>
      <c r="D163" s="22">
        <f>$D159</f>
        <v>0</v>
      </c>
      <c r="E163" s="22">
        <f>$E159</f>
        <v>0</v>
      </c>
      <c r="F163" s="22">
        <f>$F159</f>
        <v>0</v>
      </c>
      <c r="G163" s="23">
        <f t="shared" si="113"/>
        <v>20</v>
      </c>
      <c r="H163" s="4">
        <v>0</v>
      </c>
      <c r="J163" s="20">
        <f t="shared" si="108"/>
        <v>0</v>
      </c>
      <c r="K163" s="20">
        <f t="shared" si="110"/>
        <v>0</v>
      </c>
      <c r="L163" s="20">
        <f t="shared" si="114"/>
        <v>0</v>
      </c>
      <c r="M163" s="20">
        <f t="shared" si="115"/>
        <v>0</v>
      </c>
      <c r="N163" s="20">
        <f t="shared" ref="N163:N170" si="116">H159</f>
        <v>0</v>
      </c>
      <c r="O163" s="20">
        <f>$F159/4</f>
        <v>0</v>
      </c>
      <c r="P163" s="20">
        <f>$F159/4</f>
        <v>0</v>
      </c>
      <c r="Q163" s="20">
        <f>$F159/4</f>
        <v>0</v>
      </c>
      <c r="R163" s="20">
        <f>$F159/4</f>
        <v>0</v>
      </c>
      <c r="S163" s="20">
        <f>$E159/4</f>
        <v>0</v>
      </c>
      <c r="T163" s="20">
        <f>$E159/4</f>
        <v>0</v>
      </c>
      <c r="U163" s="20">
        <f>$E159/4</f>
        <v>0</v>
      </c>
      <c r="V163" s="20">
        <f>$E159/4</f>
        <v>0</v>
      </c>
      <c r="W163" s="20">
        <f>$D159/4</f>
        <v>0</v>
      </c>
      <c r="X163" s="20">
        <f>$D159/4</f>
        <v>0</v>
      </c>
      <c r="Y163" s="20">
        <f>$D159/4</f>
        <v>0</v>
      </c>
      <c r="Z163" s="20">
        <f>$D159/4</f>
        <v>0</v>
      </c>
      <c r="AA163" s="20">
        <v>0</v>
      </c>
      <c r="AB163" s="20">
        <v>0</v>
      </c>
      <c r="AC163" s="20">
        <v>0</v>
      </c>
      <c r="AE163" s="21">
        <f t="shared" si="111"/>
        <v>0</v>
      </c>
      <c r="AF163" s="21">
        <f t="shared" si="112"/>
        <v>0</v>
      </c>
      <c r="AG163" s="21">
        <f t="shared" si="109"/>
        <v>0</v>
      </c>
    </row>
    <row r="164" spans="2:33" x14ac:dyDescent="0.2">
      <c r="B164" t="s">
        <v>303</v>
      </c>
      <c r="C164" s="18" t="s">
        <v>99</v>
      </c>
      <c r="D164" s="22">
        <f>$D159</f>
        <v>0</v>
      </c>
      <c r="E164" s="22">
        <f>$E159</f>
        <v>0</v>
      </c>
      <c r="F164" s="22">
        <f>$F159</f>
        <v>0</v>
      </c>
      <c r="G164" s="23">
        <f t="shared" si="113"/>
        <v>20</v>
      </c>
      <c r="H164" s="4">
        <v>10719142</v>
      </c>
      <c r="J164" s="20">
        <f t="shared" si="108"/>
        <v>10719142</v>
      </c>
      <c r="K164" s="20">
        <f t="shared" si="110"/>
        <v>0</v>
      </c>
      <c r="L164" s="20">
        <f t="shared" si="114"/>
        <v>0</v>
      </c>
      <c r="M164" s="20">
        <f t="shared" si="115"/>
        <v>0</v>
      </c>
      <c r="N164" s="20">
        <f t="shared" si="116"/>
        <v>0</v>
      </c>
      <c r="O164" s="20">
        <f t="shared" ref="O164:O170" si="117">H159</f>
        <v>0</v>
      </c>
      <c r="P164" s="20">
        <f>$F159/4</f>
        <v>0</v>
      </c>
      <c r="Q164" s="20">
        <f>$F159/4</f>
        <v>0</v>
      </c>
      <c r="R164" s="20">
        <f>$F159/4</f>
        <v>0</v>
      </c>
      <c r="S164" s="20">
        <f>$F159/4</f>
        <v>0</v>
      </c>
      <c r="T164" s="20">
        <f>$E159/4</f>
        <v>0</v>
      </c>
      <c r="U164" s="20">
        <f>$E159/4</f>
        <v>0</v>
      </c>
      <c r="V164" s="20">
        <f>$E159/4</f>
        <v>0</v>
      </c>
      <c r="W164" s="20">
        <f>$E159/4</f>
        <v>0</v>
      </c>
      <c r="X164" s="20">
        <f>$D159/4</f>
        <v>0</v>
      </c>
      <c r="Y164" s="20">
        <f>$D159/4</f>
        <v>0</v>
      </c>
      <c r="Z164" s="20">
        <f>$D159/4</f>
        <v>0</v>
      </c>
      <c r="AA164" s="20">
        <f>$D159/4</f>
        <v>0</v>
      </c>
      <c r="AB164" s="20">
        <v>0</v>
      </c>
      <c r="AC164" s="20">
        <v>0</v>
      </c>
      <c r="AE164" s="21">
        <f t="shared" si="111"/>
        <v>535957.1</v>
      </c>
      <c r="AF164" s="21">
        <f t="shared" si="112"/>
        <v>10719142</v>
      </c>
      <c r="AG164" s="21">
        <f t="shared" si="109"/>
        <v>10183184.9</v>
      </c>
    </row>
    <row r="165" spans="2:33" x14ac:dyDescent="0.2">
      <c r="B165" t="s">
        <v>303</v>
      </c>
      <c r="C165" s="18" t="s">
        <v>98</v>
      </c>
      <c r="D165" s="22">
        <f>$D159</f>
        <v>0</v>
      </c>
      <c r="E165" s="22">
        <f>$E159</f>
        <v>0</v>
      </c>
      <c r="F165" s="22">
        <f>$F159</f>
        <v>0</v>
      </c>
      <c r="G165" s="23">
        <f t="shared" si="113"/>
        <v>20</v>
      </c>
      <c r="H165" s="4">
        <v>5049070</v>
      </c>
      <c r="J165" s="20">
        <f t="shared" si="108"/>
        <v>5049070</v>
      </c>
      <c r="K165" s="20">
        <f t="shared" si="110"/>
        <v>10719142</v>
      </c>
      <c r="L165" s="20">
        <f t="shared" si="114"/>
        <v>0</v>
      </c>
      <c r="M165" s="20">
        <f t="shared" si="115"/>
        <v>0</v>
      </c>
      <c r="N165" s="20">
        <f t="shared" si="116"/>
        <v>0</v>
      </c>
      <c r="O165" s="20">
        <f t="shared" si="117"/>
        <v>0</v>
      </c>
      <c r="P165" s="20">
        <f t="shared" ref="P165:P170" si="118">H159</f>
        <v>0</v>
      </c>
      <c r="Q165" s="20">
        <f>$F159/4</f>
        <v>0</v>
      </c>
      <c r="R165" s="20">
        <f>$F159/4</f>
        <v>0</v>
      </c>
      <c r="S165" s="20">
        <f>$F159/4</f>
        <v>0</v>
      </c>
      <c r="T165" s="20">
        <f>$F159/4</f>
        <v>0</v>
      </c>
      <c r="U165" s="20">
        <f>$E159/4</f>
        <v>0</v>
      </c>
      <c r="V165" s="20">
        <f>$E159/4</f>
        <v>0</v>
      </c>
      <c r="W165" s="20">
        <f>$E159/4</f>
        <v>0</v>
      </c>
      <c r="X165" s="20">
        <f>$E159/4</f>
        <v>0</v>
      </c>
      <c r="Y165" s="20">
        <f>$D159/4</f>
        <v>0</v>
      </c>
      <c r="Z165" s="20">
        <f>$D159/4</f>
        <v>0</v>
      </c>
      <c r="AA165" s="20">
        <f>$D159/4</f>
        <v>0</v>
      </c>
      <c r="AB165" s="20">
        <f>$D159/4</f>
        <v>0</v>
      </c>
      <c r="AC165" s="20">
        <v>0</v>
      </c>
      <c r="AE165" s="21">
        <f t="shared" si="111"/>
        <v>788410.6</v>
      </c>
      <c r="AF165" s="21">
        <f t="shared" si="112"/>
        <v>15232254.9</v>
      </c>
      <c r="AG165" s="21">
        <f t="shared" si="109"/>
        <v>4260659.4000000004</v>
      </c>
    </row>
    <row r="166" spans="2:33" x14ac:dyDescent="0.2">
      <c r="B166" t="s">
        <v>303</v>
      </c>
      <c r="C166" s="18" t="s">
        <v>97</v>
      </c>
      <c r="D166" s="22">
        <f>$D159</f>
        <v>0</v>
      </c>
      <c r="E166" s="22">
        <f>$E159</f>
        <v>0</v>
      </c>
      <c r="F166" s="22">
        <f>$F159</f>
        <v>0</v>
      </c>
      <c r="G166" s="23">
        <f t="shared" si="113"/>
        <v>20</v>
      </c>
      <c r="H166" s="4">
        <v>10942788</v>
      </c>
      <c r="J166" s="20">
        <f t="shared" si="108"/>
        <v>10942788</v>
      </c>
      <c r="K166" s="20">
        <f t="shared" si="110"/>
        <v>5049070</v>
      </c>
      <c r="L166" s="20">
        <f t="shared" si="114"/>
        <v>10719142</v>
      </c>
      <c r="M166" s="20">
        <f t="shared" si="115"/>
        <v>0</v>
      </c>
      <c r="N166" s="20">
        <f t="shared" si="116"/>
        <v>0</v>
      </c>
      <c r="O166" s="20">
        <f t="shared" si="117"/>
        <v>0</v>
      </c>
      <c r="P166" s="20">
        <f t="shared" si="118"/>
        <v>0</v>
      </c>
      <c r="Q166" s="20">
        <f>H159</f>
        <v>0</v>
      </c>
      <c r="R166" s="20">
        <f>$F159/4</f>
        <v>0</v>
      </c>
      <c r="S166" s="20">
        <f>$F159/4</f>
        <v>0</v>
      </c>
      <c r="T166" s="20">
        <f>$F159/4</f>
        <v>0</v>
      </c>
      <c r="U166" s="20">
        <f>$F159/4</f>
        <v>0</v>
      </c>
      <c r="V166" s="20">
        <f>$E159/4</f>
        <v>0</v>
      </c>
      <c r="W166" s="20">
        <f>$E159/4</f>
        <v>0</v>
      </c>
      <c r="X166" s="20">
        <f>$E159/4</f>
        <v>0</v>
      </c>
      <c r="Y166" s="20">
        <f>$E159/4</f>
        <v>0</v>
      </c>
      <c r="Z166" s="20">
        <f>$D159/4</f>
        <v>0</v>
      </c>
      <c r="AA166" s="20">
        <f>$D159/4</f>
        <v>0</v>
      </c>
      <c r="AB166" s="20">
        <f>$D159/4</f>
        <v>0</v>
      </c>
      <c r="AC166" s="20">
        <f>$D159/4</f>
        <v>0</v>
      </c>
      <c r="AE166" s="21">
        <f t="shared" si="111"/>
        <v>1335550</v>
      </c>
      <c r="AF166" s="21">
        <f t="shared" si="112"/>
        <v>25386632.300000001</v>
      </c>
      <c r="AG166" s="21">
        <f t="shared" si="109"/>
        <v>9607238</v>
      </c>
    </row>
    <row r="167" spans="2:33" x14ac:dyDescent="0.2">
      <c r="B167" t="s">
        <v>303</v>
      </c>
      <c r="C167" s="18" t="s">
        <v>96</v>
      </c>
      <c r="D167" s="22">
        <f>$D159</f>
        <v>0</v>
      </c>
      <c r="E167" s="22">
        <f>$E159</f>
        <v>0</v>
      </c>
      <c r="F167" s="22">
        <f>$F159</f>
        <v>0</v>
      </c>
      <c r="G167" s="23">
        <f t="shared" si="113"/>
        <v>20</v>
      </c>
      <c r="H167" s="4">
        <v>7846000</v>
      </c>
      <c r="J167" s="20">
        <f t="shared" si="108"/>
        <v>7846000</v>
      </c>
      <c r="K167" s="20">
        <f t="shared" si="110"/>
        <v>10942788</v>
      </c>
      <c r="L167" s="20">
        <f t="shared" si="114"/>
        <v>5049070</v>
      </c>
      <c r="M167" s="20">
        <f t="shared" si="115"/>
        <v>10719142</v>
      </c>
      <c r="N167" s="20">
        <f t="shared" si="116"/>
        <v>0</v>
      </c>
      <c r="O167" s="20">
        <f t="shared" si="117"/>
        <v>0</v>
      </c>
      <c r="P167" s="20">
        <f t="shared" si="118"/>
        <v>0</v>
      </c>
      <c r="Q167" s="20">
        <f>H160</f>
        <v>0</v>
      </c>
      <c r="R167" s="20">
        <f>H159</f>
        <v>0</v>
      </c>
      <c r="S167" s="20">
        <f>$F159/4</f>
        <v>0</v>
      </c>
      <c r="T167" s="20">
        <f>$F159/4</f>
        <v>0</v>
      </c>
      <c r="U167" s="20">
        <f>$F159/4</f>
        <v>0</v>
      </c>
      <c r="V167" s="20">
        <f>$F159/4</f>
        <v>0</v>
      </c>
      <c r="W167" s="20">
        <f>$E159/4</f>
        <v>0</v>
      </c>
      <c r="X167" s="20">
        <f>$E159/4</f>
        <v>0</v>
      </c>
      <c r="Y167" s="20">
        <f>$E159/4</f>
        <v>0</v>
      </c>
      <c r="Z167" s="20">
        <f>$E159/4</f>
        <v>0</v>
      </c>
      <c r="AA167" s="20">
        <f>$D159/4</f>
        <v>0</v>
      </c>
      <c r="AB167" s="20">
        <f>$D159/4</f>
        <v>0</v>
      </c>
      <c r="AC167" s="20">
        <f>$D159/4</f>
        <v>0</v>
      </c>
      <c r="AE167" s="21">
        <f t="shared" si="111"/>
        <v>1727850</v>
      </c>
      <c r="AF167" s="21">
        <f t="shared" si="112"/>
        <v>31897082.300000001</v>
      </c>
      <c r="AG167" s="21">
        <f t="shared" si="109"/>
        <v>6118150</v>
      </c>
    </row>
    <row r="168" spans="2:33" x14ac:dyDescent="0.2">
      <c r="B168" t="s">
        <v>303</v>
      </c>
      <c r="C168" s="18" t="s">
        <v>95</v>
      </c>
      <c r="D168" s="22">
        <f>$D159</f>
        <v>0</v>
      </c>
      <c r="E168" s="22">
        <f>$E159</f>
        <v>0</v>
      </c>
      <c r="F168" s="22">
        <f>$F159</f>
        <v>0</v>
      </c>
      <c r="G168" s="23">
        <f t="shared" si="113"/>
        <v>20</v>
      </c>
      <c r="H168" s="4">
        <v>11468000</v>
      </c>
      <c r="J168" s="20">
        <f t="shared" si="108"/>
        <v>11468000</v>
      </c>
      <c r="K168" s="20">
        <f t="shared" si="110"/>
        <v>7846000</v>
      </c>
      <c r="L168" s="20">
        <f t="shared" si="114"/>
        <v>10942788</v>
      </c>
      <c r="M168" s="20">
        <f t="shared" si="115"/>
        <v>5049070</v>
      </c>
      <c r="N168" s="20">
        <f t="shared" si="116"/>
        <v>10719142</v>
      </c>
      <c r="O168" s="20">
        <f t="shared" si="117"/>
        <v>0</v>
      </c>
      <c r="P168" s="20">
        <f t="shared" si="118"/>
        <v>0</v>
      </c>
      <c r="Q168" s="20">
        <f>H161</f>
        <v>0</v>
      </c>
      <c r="R168" s="20">
        <f>H160</f>
        <v>0</v>
      </c>
      <c r="S168" s="20">
        <f>H159</f>
        <v>0</v>
      </c>
      <c r="T168" s="20">
        <f>$F159/4</f>
        <v>0</v>
      </c>
      <c r="U168" s="20">
        <f>$F159/4</f>
        <v>0</v>
      </c>
      <c r="V168" s="20">
        <f>$F159/4</f>
        <v>0</v>
      </c>
      <c r="W168" s="20">
        <f>$F159/4</f>
        <v>0</v>
      </c>
      <c r="X168" s="20">
        <f>$E159/4</f>
        <v>0</v>
      </c>
      <c r="Y168" s="20">
        <f>$E159/4</f>
        <v>0</v>
      </c>
      <c r="Z168" s="20">
        <f>$E159/4</f>
        <v>0</v>
      </c>
      <c r="AA168" s="20">
        <f>$E159/4</f>
        <v>0</v>
      </c>
      <c r="AB168" s="20">
        <f>$D159/4</f>
        <v>0</v>
      </c>
      <c r="AC168" s="20">
        <f>$D159/4</f>
        <v>0</v>
      </c>
      <c r="AE168" s="21">
        <f t="shared" si="111"/>
        <v>2301250</v>
      </c>
      <c r="AF168" s="21">
        <f t="shared" si="112"/>
        <v>41637232.299999997</v>
      </c>
      <c r="AG168" s="21">
        <f t="shared" si="109"/>
        <v>9166750</v>
      </c>
    </row>
    <row r="169" spans="2:33" x14ac:dyDescent="0.2">
      <c r="B169" t="s">
        <v>303</v>
      </c>
      <c r="C169" s="18" t="s">
        <v>94</v>
      </c>
      <c r="D169" s="22">
        <f>$D159</f>
        <v>0</v>
      </c>
      <c r="E169" s="22">
        <f>$E159</f>
        <v>0</v>
      </c>
      <c r="F169" s="22">
        <f>$F159</f>
        <v>0</v>
      </c>
      <c r="G169" s="23">
        <f t="shared" si="113"/>
        <v>20</v>
      </c>
      <c r="H169" s="4">
        <v>14945000</v>
      </c>
      <c r="J169" s="20">
        <f t="shared" si="108"/>
        <v>14945000</v>
      </c>
      <c r="K169" s="20">
        <f t="shared" si="110"/>
        <v>11468000</v>
      </c>
      <c r="L169" s="20">
        <f t="shared" si="114"/>
        <v>7846000</v>
      </c>
      <c r="M169" s="20">
        <f t="shared" si="115"/>
        <v>10942788</v>
      </c>
      <c r="N169" s="20">
        <f t="shared" si="116"/>
        <v>5049070</v>
      </c>
      <c r="O169" s="20">
        <f t="shared" si="117"/>
        <v>10719142</v>
      </c>
      <c r="P169" s="20">
        <f t="shared" si="118"/>
        <v>0</v>
      </c>
      <c r="Q169" s="20">
        <f>H162</f>
        <v>0</v>
      </c>
      <c r="R169" s="20">
        <f>H161</f>
        <v>0</v>
      </c>
      <c r="S169" s="20">
        <f>H160</f>
        <v>0</v>
      </c>
      <c r="T169" s="20">
        <f>H159</f>
        <v>0</v>
      </c>
      <c r="U169" s="20">
        <f>$F159/4</f>
        <v>0</v>
      </c>
      <c r="V169" s="20">
        <f>$F159/4</f>
        <v>0</v>
      </c>
      <c r="W169" s="20">
        <f>$F159/4</f>
        <v>0</v>
      </c>
      <c r="X169" s="20">
        <f>$F159/4</f>
        <v>0</v>
      </c>
      <c r="Y169" s="20">
        <f>$E159/4</f>
        <v>0</v>
      </c>
      <c r="Z169" s="20">
        <f>$E159/4</f>
        <v>0</v>
      </c>
      <c r="AA169" s="20">
        <f>$E159/4</f>
        <v>0</v>
      </c>
      <c r="AB169" s="20">
        <f>$E159/4</f>
        <v>0</v>
      </c>
      <c r="AC169" s="20">
        <f>$D159/4</f>
        <v>0</v>
      </c>
      <c r="AE169" s="21">
        <f t="shared" si="111"/>
        <v>3048500</v>
      </c>
      <c r="AF169" s="21">
        <f t="shared" si="112"/>
        <v>54280982.299999997</v>
      </c>
      <c r="AG169" s="21">
        <f t="shared" si="109"/>
        <v>11896500</v>
      </c>
    </row>
    <row r="170" spans="2:33" x14ac:dyDescent="0.2">
      <c r="B170" t="s">
        <v>303</v>
      </c>
      <c r="C170" s="18" t="s">
        <v>93</v>
      </c>
      <c r="D170" s="22">
        <f>$D159</f>
        <v>0</v>
      </c>
      <c r="E170" s="22">
        <f>$E159</f>
        <v>0</v>
      </c>
      <c r="F170" s="22">
        <f>$F159</f>
        <v>0</v>
      </c>
      <c r="G170" s="23">
        <f t="shared" si="113"/>
        <v>20</v>
      </c>
      <c r="H170" s="4">
        <v>24593000</v>
      </c>
      <c r="J170" s="20">
        <f t="shared" si="108"/>
        <v>24593000</v>
      </c>
      <c r="K170" s="20">
        <f t="shared" si="110"/>
        <v>14945000</v>
      </c>
      <c r="L170" s="20">
        <f t="shared" si="114"/>
        <v>11468000</v>
      </c>
      <c r="M170" s="20">
        <f t="shared" si="115"/>
        <v>7846000</v>
      </c>
      <c r="N170" s="20">
        <f t="shared" si="116"/>
        <v>10942788</v>
      </c>
      <c r="O170" s="20">
        <f t="shared" si="117"/>
        <v>5049070</v>
      </c>
      <c r="P170" s="20">
        <f t="shared" si="118"/>
        <v>10719142</v>
      </c>
      <c r="Q170" s="20">
        <f>H163</f>
        <v>0</v>
      </c>
      <c r="R170" s="20">
        <f>H162</f>
        <v>0</v>
      </c>
      <c r="S170" s="20">
        <f>H161</f>
        <v>0</v>
      </c>
      <c r="T170" s="20">
        <f>H160</f>
        <v>0</v>
      </c>
      <c r="U170" s="20">
        <f>H159</f>
        <v>0</v>
      </c>
      <c r="V170" s="20">
        <f>$F159/4</f>
        <v>0</v>
      </c>
      <c r="W170" s="20">
        <f>$F159/4</f>
        <v>0</v>
      </c>
      <c r="X170" s="20">
        <f>$F159/4</f>
        <v>0</v>
      </c>
      <c r="Y170" s="20">
        <f>$F159/4</f>
        <v>0</v>
      </c>
      <c r="Z170" s="20">
        <f>$E159/4</f>
        <v>0</v>
      </c>
      <c r="AA170" s="20">
        <f>$E159/4</f>
        <v>0</v>
      </c>
      <c r="AB170" s="20">
        <f>$E159/4</f>
        <v>0</v>
      </c>
      <c r="AC170" s="20">
        <f>$E159/4</f>
        <v>0</v>
      </c>
      <c r="AE170" s="21">
        <f t="shared" si="111"/>
        <v>4278150</v>
      </c>
      <c r="AF170" s="21">
        <f t="shared" si="112"/>
        <v>75825482.299999997</v>
      </c>
      <c r="AG170" s="21">
        <f t="shared" si="109"/>
        <v>20314850</v>
      </c>
    </row>
    <row r="171" spans="2:33" x14ac:dyDescent="0.2">
      <c r="I171" s="3"/>
    </row>
    <row r="172" spans="2:33" x14ac:dyDescent="0.2">
      <c r="I172" s="3"/>
    </row>
    <row r="173" spans="2:33" x14ac:dyDescent="0.2">
      <c r="C173" t="s">
        <v>342</v>
      </c>
    </row>
    <row r="174" spans="2:33" x14ac:dyDescent="0.2">
      <c r="C174" s="6" t="s">
        <v>107</v>
      </c>
      <c r="D174" s="6" t="s">
        <v>439</v>
      </c>
      <c r="E174" s="6" t="s">
        <v>440</v>
      </c>
      <c r="F174" s="6" t="s">
        <v>471</v>
      </c>
      <c r="G174" s="6" t="s">
        <v>441</v>
      </c>
      <c r="H174" s="6" t="s">
        <v>442</v>
      </c>
      <c r="I174" s="15"/>
      <c r="J174" s="6" t="s">
        <v>443</v>
      </c>
      <c r="K174" s="6" t="s">
        <v>444</v>
      </c>
      <c r="L174" s="6" t="s">
        <v>445</v>
      </c>
      <c r="M174" s="6" t="s">
        <v>446</v>
      </c>
      <c r="N174" s="6" t="s">
        <v>447</v>
      </c>
      <c r="O174" s="6" t="s">
        <v>448</v>
      </c>
      <c r="P174" s="6" t="s">
        <v>449</v>
      </c>
      <c r="Q174" s="6" t="s">
        <v>450</v>
      </c>
      <c r="R174" s="6" t="s">
        <v>451</v>
      </c>
      <c r="S174" s="6" t="s">
        <v>452</v>
      </c>
      <c r="T174" s="6" t="s">
        <v>453</v>
      </c>
      <c r="U174" s="6" t="s">
        <v>454</v>
      </c>
      <c r="V174" s="6" t="s">
        <v>455</v>
      </c>
      <c r="W174" s="6" t="s">
        <v>456</v>
      </c>
      <c r="X174" s="6" t="s">
        <v>457</v>
      </c>
      <c r="Y174" s="6" t="s">
        <v>458</v>
      </c>
      <c r="Z174" s="6" t="s">
        <v>459</v>
      </c>
      <c r="AA174" s="6" t="s">
        <v>460</v>
      </c>
      <c r="AB174" s="6" t="s">
        <v>461</v>
      </c>
      <c r="AC174" s="6" t="s">
        <v>462</v>
      </c>
      <c r="AD174" s="15"/>
      <c r="AE174" s="6" t="s">
        <v>106</v>
      </c>
      <c r="AF174" s="6" t="s">
        <v>105</v>
      </c>
      <c r="AG174" s="6" t="s">
        <v>463</v>
      </c>
    </row>
    <row r="175" spans="2:33" x14ac:dyDescent="0.2">
      <c r="C175" s="16" t="s">
        <v>464</v>
      </c>
      <c r="J175" s="17">
        <v>20</v>
      </c>
      <c r="K175" s="17">
        <v>19</v>
      </c>
      <c r="L175" s="17">
        <v>18</v>
      </c>
      <c r="M175" s="17">
        <v>17</v>
      </c>
      <c r="N175" s="17">
        <v>16</v>
      </c>
      <c r="O175" s="17">
        <v>15</v>
      </c>
      <c r="P175" s="17">
        <v>14</v>
      </c>
      <c r="Q175" s="17">
        <v>13</v>
      </c>
      <c r="R175" s="17">
        <v>12</v>
      </c>
      <c r="S175" s="17">
        <v>11</v>
      </c>
      <c r="T175" s="17">
        <v>10</v>
      </c>
      <c r="U175" s="17">
        <v>9</v>
      </c>
      <c r="V175" s="17">
        <v>8</v>
      </c>
      <c r="W175" s="17">
        <v>7</v>
      </c>
      <c r="X175" s="17">
        <v>6</v>
      </c>
      <c r="Y175" s="17">
        <v>5</v>
      </c>
      <c r="Z175" s="17">
        <v>4</v>
      </c>
      <c r="AA175" s="17">
        <v>3</v>
      </c>
      <c r="AB175" s="17">
        <v>2</v>
      </c>
      <c r="AC175" s="17">
        <v>1</v>
      </c>
    </row>
    <row r="176" spans="2:33" x14ac:dyDescent="0.2">
      <c r="B176" t="s">
        <v>342</v>
      </c>
      <c r="C176" s="5" t="s">
        <v>100</v>
      </c>
      <c r="D176" s="4">
        <v>77740000</v>
      </c>
      <c r="E176" s="4">
        <v>136274000</v>
      </c>
      <c r="F176" s="4">
        <v>207008000</v>
      </c>
      <c r="G176" s="19">
        <v>20</v>
      </c>
      <c r="H176" s="4">
        <v>55263000</v>
      </c>
      <c r="J176" s="20">
        <f t="shared" ref="J176:J187" si="119">H176</f>
        <v>55263000</v>
      </c>
      <c r="K176" s="20">
        <f>$F176/4</f>
        <v>51752000</v>
      </c>
      <c r="L176" s="20">
        <f>$F176/4</f>
        <v>51752000</v>
      </c>
      <c r="M176" s="20">
        <f>$F176/4</f>
        <v>51752000</v>
      </c>
      <c r="N176" s="20">
        <f>$F176/4</f>
        <v>51752000</v>
      </c>
      <c r="O176" s="20">
        <f>$E176/4</f>
        <v>34068500</v>
      </c>
      <c r="P176" s="20">
        <f>$E176/4</f>
        <v>34068500</v>
      </c>
      <c r="Q176" s="20">
        <f>$E176/4</f>
        <v>34068500</v>
      </c>
      <c r="R176" s="20">
        <f>$E176/4</f>
        <v>34068500</v>
      </c>
      <c r="S176" s="20">
        <f>$D176/4</f>
        <v>19435000</v>
      </c>
      <c r="T176" s="20">
        <f>$D176/4</f>
        <v>19435000</v>
      </c>
      <c r="U176" s="20">
        <f>$D176/4</f>
        <v>19435000</v>
      </c>
      <c r="V176" s="20">
        <f>$D176/4</f>
        <v>19435000</v>
      </c>
      <c r="W176" s="20">
        <v>0</v>
      </c>
      <c r="X176" s="20">
        <v>0</v>
      </c>
      <c r="Y176" s="20">
        <v>0</v>
      </c>
      <c r="Z176" s="20">
        <v>0</v>
      </c>
      <c r="AA176" s="20">
        <v>0</v>
      </c>
      <c r="AB176" s="20">
        <v>0</v>
      </c>
      <c r="AC176" s="20">
        <v>0</v>
      </c>
      <c r="AE176" s="21">
        <f>SUM(J176:AC176)/$G176</f>
        <v>23814250</v>
      </c>
      <c r="AF176" s="21">
        <f>SUMPRODUCT($J$175:$AC$175,J176:AC176)/$G176</f>
        <v>365306450</v>
      </c>
      <c r="AG176" s="21">
        <f t="shared" ref="AG176:AG187" si="120">H176-AE176</f>
        <v>31448750</v>
      </c>
    </row>
    <row r="177" spans="1:33" x14ac:dyDescent="0.2">
      <c r="B177" t="s">
        <v>342</v>
      </c>
      <c r="C177" s="5" t="s">
        <v>99</v>
      </c>
      <c r="D177" s="22">
        <f>$D176</f>
        <v>77740000</v>
      </c>
      <c r="E177" s="22">
        <f>$E176</f>
        <v>136274000</v>
      </c>
      <c r="F177" s="22">
        <f>$F176</f>
        <v>207008000</v>
      </c>
      <c r="G177" s="23">
        <f>$G$176</f>
        <v>20</v>
      </c>
      <c r="H177" s="4">
        <v>54161000</v>
      </c>
      <c r="J177" s="20">
        <f t="shared" si="119"/>
        <v>54161000</v>
      </c>
      <c r="K177" s="20">
        <f t="shared" ref="K177:K187" si="121">H176</f>
        <v>55263000</v>
      </c>
      <c r="L177" s="20">
        <f>$F176/4</f>
        <v>51752000</v>
      </c>
      <c r="M177" s="20">
        <f>$F176/4</f>
        <v>51752000</v>
      </c>
      <c r="N177" s="20">
        <f>$F176/4</f>
        <v>51752000</v>
      </c>
      <c r="O177" s="20">
        <f>$F176/4</f>
        <v>51752000</v>
      </c>
      <c r="P177" s="20">
        <f>$E176/4</f>
        <v>34068500</v>
      </c>
      <c r="Q177" s="20">
        <f>$E176/4</f>
        <v>34068500</v>
      </c>
      <c r="R177" s="20">
        <f>$E176/4</f>
        <v>34068500</v>
      </c>
      <c r="S177" s="20">
        <f>$E176/4</f>
        <v>34068500</v>
      </c>
      <c r="T177" s="20">
        <f>$D176/4</f>
        <v>19435000</v>
      </c>
      <c r="U177" s="20">
        <f>$D176/4</f>
        <v>19435000</v>
      </c>
      <c r="V177" s="20">
        <f>$D176/4</f>
        <v>19435000</v>
      </c>
      <c r="W177" s="20">
        <f>$D176/4</f>
        <v>19435000</v>
      </c>
      <c r="X177" s="20">
        <v>0</v>
      </c>
      <c r="Y177" s="20">
        <v>0</v>
      </c>
      <c r="Z177" s="20">
        <v>0</v>
      </c>
      <c r="AA177" s="20">
        <v>0</v>
      </c>
      <c r="AB177" s="20">
        <v>0</v>
      </c>
      <c r="AC177" s="20">
        <v>0</v>
      </c>
      <c r="AE177" s="21">
        <f t="shared" ref="AE177:AE187" si="122">SUM(J177:AC177)/$G177</f>
        <v>26522300</v>
      </c>
      <c r="AF177" s="21">
        <f t="shared" ref="AF177:AF187" si="123">SUMPRODUCT($J$175:$AC$175,J177:AC177)/$G177</f>
        <v>395653200</v>
      </c>
      <c r="AG177" s="21">
        <f t="shared" si="120"/>
        <v>27638700</v>
      </c>
    </row>
    <row r="178" spans="1:33" x14ac:dyDescent="0.2">
      <c r="B178" t="s">
        <v>342</v>
      </c>
      <c r="C178" s="5" t="s">
        <v>98</v>
      </c>
      <c r="D178" s="22">
        <f>$D176</f>
        <v>77740000</v>
      </c>
      <c r="E178" s="22">
        <f>$E176</f>
        <v>136274000</v>
      </c>
      <c r="F178" s="22">
        <f>$F176</f>
        <v>207008000</v>
      </c>
      <c r="G178" s="23">
        <f t="shared" ref="G178:G187" si="124">$G$176</f>
        <v>20</v>
      </c>
      <c r="H178" s="4">
        <v>52306000</v>
      </c>
      <c r="J178" s="20">
        <f t="shared" si="119"/>
        <v>52306000</v>
      </c>
      <c r="K178" s="20">
        <f t="shared" si="121"/>
        <v>54161000</v>
      </c>
      <c r="L178" s="20">
        <f t="shared" ref="L178:L187" si="125">H176</f>
        <v>55263000</v>
      </c>
      <c r="M178" s="20">
        <f>$F176/4</f>
        <v>51752000</v>
      </c>
      <c r="N178" s="20">
        <f>$F176/4</f>
        <v>51752000</v>
      </c>
      <c r="O178" s="20">
        <f>$F176/4</f>
        <v>51752000</v>
      </c>
      <c r="P178" s="20">
        <f>$F176/4</f>
        <v>51752000</v>
      </c>
      <c r="Q178" s="20">
        <f>$E176/4</f>
        <v>34068500</v>
      </c>
      <c r="R178" s="20">
        <f>$E176/4</f>
        <v>34068500</v>
      </c>
      <c r="S178" s="20">
        <f>$E176/4</f>
        <v>34068500</v>
      </c>
      <c r="T178" s="20">
        <f>$E176/4</f>
        <v>34068500</v>
      </c>
      <c r="U178" s="20">
        <f>$D176/4</f>
        <v>19435000</v>
      </c>
      <c r="V178" s="20">
        <f>$D176/4</f>
        <v>19435000</v>
      </c>
      <c r="W178" s="20">
        <f>$D176/4</f>
        <v>19435000</v>
      </c>
      <c r="X178" s="20">
        <f>$D176/4</f>
        <v>19435000</v>
      </c>
      <c r="Y178" s="20">
        <v>0</v>
      </c>
      <c r="Z178" s="20">
        <v>0</v>
      </c>
      <c r="AA178" s="20">
        <v>0</v>
      </c>
      <c r="AB178" s="20">
        <v>0</v>
      </c>
      <c r="AC178" s="20">
        <v>0</v>
      </c>
      <c r="AE178" s="21">
        <f t="shared" si="122"/>
        <v>29137600</v>
      </c>
      <c r="AF178" s="21">
        <f t="shared" si="123"/>
        <v>421436900</v>
      </c>
      <c r="AG178" s="21">
        <f t="shared" si="120"/>
        <v>23168400</v>
      </c>
    </row>
    <row r="179" spans="1:33" x14ac:dyDescent="0.2">
      <c r="B179" t="s">
        <v>342</v>
      </c>
      <c r="C179" s="5" t="s">
        <v>97</v>
      </c>
      <c r="D179" s="22">
        <f>$D176</f>
        <v>77740000</v>
      </c>
      <c r="E179" s="22">
        <f>$E176</f>
        <v>136274000</v>
      </c>
      <c r="F179" s="22">
        <f>$F176</f>
        <v>207008000</v>
      </c>
      <c r="G179" s="23">
        <f t="shared" si="124"/>
        <v>20</v>
      </c>
      <c r="H179" s="4">
        <v>56446000</v>
      </c>
      <c r="J179" s="20">
        <f t="shared" si="119"/>
        <v>56446000</v>
      </c>
      <c r="K179" s="20">
        <f t="shared" si="121"/>
        <v>52306000</v>
      </c>
      <c r="L179" s="20">
        <f t="shared" si="125"/>
        <v>54161000</v>
      </c>
      <c r="M179" s="20">
        <f t="shared" ref="M179:M187" si="126">H176</f>
        <v>55263000</v>
      </c>
      <c r="N179" s="20">
        <f>$F176/4</f>
        <v>51752000</v>
      </c>
      <c r="O179" s="20">
        <f>$F176/4</f>
        <v>51752000</v>
      </c>
      <c r="P179" s="20">
        <f>$F176/4</f>
        <v>51752000</v>
      </c>
      <c r="Q179" s="20">
        <f>$F176/4</f>
        <v>51752000</v>
      </c>
      <c r="R179" s="20">
        <f>$E176/4</f>
        <v>34068500</v>
      </c>
      <c r="S179" s="20">
        <f>$E176/4</f>
        <v>34068500</v>
      </c>
      <c r="T179" s="20">
        <f>$E176/4</f>
        <v>34068500</v>
      </c>
      <c r="U179" s="20">
        <f>$E176/4</f>
        <v>34068500</v>
      </c>
      <c r="V179" s="20">
        <f>$D176/4</f>
        <v>19435000</v>
      </c>
      <c r="W179" s="20">
        <f>$D176/4</f>
        <v>19435000</v>
      </c>
      <c r="X179" s="20">
        <f>$D176/4</f>
        <v>19435000</v>
      </c>
      <c r="Y179" s="20">
        <f>$D176/4</f>
        <v>19435000</v>
      </c>
      <c r="Z179" s="20">
        <v>0</v>
      </c>
      <c r="AA179" s="20">
        <v>0</v>
      </c>
      <c r="AB179" s="20">
        <v>0</v>
      </c>
      <c r="AC179" s="20">
        <v>0</v>
      </c>
      <c r="AE179" s="21">
        <f t="shared" si="122"/>
        <v>31959900</v>
      </c>
      <c r="AF179" s="21">
        <f t="shared" si="123"/>
        <v>448745300</v>
      </c>
      <c r="AG179" s="21">
        <f t="shared" si="120"/>
        <v>24486100</v>
      </c>
    </row>
    <row r="180" spans="1:33" x14ac:dyDescent="0.2">
      <c r="B180" t="s">
        <v>342</v>
      </c>
      <c r="C180" s="5" t="s">
        <v>96</v>
      </c>
      <c r="D180" s="22">
        <f>$D176</f>
        <v>77740000</v>
      </c>
      <c r="E180" s="22">
        <f>$E176</f>
        <v>136274000</v>
      </c>
      <c r="F180" s="22">
        <f>$F176</f>
        <v>207008000</v>
      </c>
      <c r="G180" s="23">
        <f t="shared" si="124"/>
        <v>20</v>
      </c>
      <c r="H180" s="4">
        <v>58321000</v>
      </c>
      <c r="J180" s="20">
        <f t="shared" si="119"/>
        <v>58321000</v>
      </c>
      <c r="K180" s="20">
        <f t="shared" si="121"/>
        <v>56446000</v>
      </c>
      <c r="L180" s="20">
        <f t="shared" si="125"/>
        <v>52306000</v>
      </c>
      <c r="M180" s="20">
        <f t="shared" si="126"/>
        <v>54161000</v>
      </c>
      <c r="N180" s="20">
        <f t="shared" ref="N180:N187" si="127">H176</f>
        <v>55263000</v>
      </c>
      <c r="O180" s="20">
        <f>$F176/4</f>
        <v>51752000</v>
      </c>
      <c r="P180" s="20">
        <f>$F176/4</f>
        <v>51752000</v>
      </c>
      <c r="Q180" s="20">
        <f>$F176/4</f>
        <v>51752000</v>
      </c>
      <c r="R180" s="20">
        <f>$F176/4</f>
        <v>51752000</v>
      </c>
      <c r="S180" s="20">
        <f>$E176/4</f>
        <v>34068500</v>
      </c>
      <c r="T180" s="20">
        <f>$E176/4</f>
        <v>34068500</v>
      </c>
      <c r="U180" s="20">
        <f>$E176/4</f>
        <v>34068500</v>
      </c>
      <c r="V180" s="20">
        <f>$E176/4</f>
        <v>34068500</v>
      </c>
      <c r="W180" s="20">
        <f>$D176/4</f>
        <v>19435000</v>
      </c>
      <c r="X180" s="20">
        <f>$D176/4</f>
        <v>19435000</v>
      </c>
      <c r="Y180" s="20">
        <f>$D176/4</f>
        <v>19435000</v>
      </c>
      <c r="Z180" s="20">
        <f>$D176/4</f>
        <v>19435000</v>
      </c>
      <c r="AA180" s="20">
        <v>0</v>
      </c>
      <c r="AB180" s="20">
        <v>0</v>
      </c>
      <c r="AC180" s="20">
        <v>0</v>
      </c>
      <c r="AE180" s="21">
        <f t="shared" si="122"/>
        <v>34875950</v>
      </c>
      <c r="AF180" s="21">
        <f t="shared" si="123"/>
        <v>475106400</v>
      </c>
      <c r="AG180" s="21">
        <f t="shared" si="120"/>
        <v>23445050</v>
      </c>
    </row>
    <row r="181" spans="1:33" x14ac:dyDescent="0.2">
      <c r="B181" t="s">
        <v>342</v>
      </c>
      <c r="C181" s="5" t="s">
        <v>95</v>
      </c>
      <c r="D181" s="22">
        <f>$D176</f>
        <v>77740000</v>
      </c>
      <c r="E181" s="22">
        <f>$E176</f>
        <v>136274000</v>
      </c>
      <c r="F181" s="22">
        <f>$F176</f>
        <v>207008000</v>
      </c>
      <c r="G181" s="23">
        <f t="shared" si="124"/>
        <v>20</v>
      </c>
      <c r="H181" s="4">
        <v>63602000</v>
      </c>
      <c r="J181" s="20">
        <f t="shared" si="119"/>
        <v>63602000</v>
      </c>
      <c r="K181" s="20">
        <f t="shared" si="121"/>
        <v>58321000</v>
      </c>
      <c r="L181" s="20">
        <f t="shared" si="125"/>
        <v>56446000</v>
      </c>
      <c r="M181" s="20">
        <f t="shared" si="126"/>
        <v>52306000</v>
      </c>
      <c r="N181" s="20">
        <f t="shared" si="127"/>
        <v>54161000</v>
      </c>
      <c r="O181" s="20">
        <f t="shared" ref="O181:O187" si="128">H176</f>
        <v>55263000</v>
      </c>
      <c r="P181" s="20">
        <f>$F176/4</f>
        <v>51752000</v>
      </c>
      <c r="Q181" s="20">
        <f>$F176/4</f>
        <v>51752000</v>
      </c>
      <c r="R181" s="20">
        <f>$F176/4</f>
        <v>51752000</v>
      </c>
      <c r="S181" s="20">
        <f>$F176/4</f>
        <v>51752000</v>
      </c>
      <c r="T181" s="20">
        <f>$E176/4</f>
        <v>34068500</v>
      </c>
      <c r="U181" s="20">
        <f>$E176/4</f>
        <v>34068500</v>
      </c>
      <c r="V181" s="20">
        <f>$E176/4</f>
        <v>34068500</v>
      </c>
      <c r="W181" s="20">
        <f>$E176/4</f>
        <v>34068500</v>
      </c>
      <c r="X181" s="20">
        <f>$D176/4</f>
        <v>19435000</v>
      </c>
      <c r="Y181" s="20">
        <f>$D176/4</f>
        <v>19435000</v>
      </c>
      <c r="Z181" s="20">
        <f>$D176/4</f>
        <v>19435000</v>
      </c>
      <c r="AA181" s="20">
        <f>$D176/4</f>
        <v>19435000</v>
      </c>
      <c r="AB181" s="20">
        <v>0</v>
      </c>
      <c r="AC181" s="20">
        <v>0</v>
      </c>
      <c r="AE181" s="21">
        <f t="shared" si="122"/>
        <v>38056050</v>
      </c>
      <c r="AF181" s="21">
        <f t="shared" si="123"/>
        <v>503832450</v>
      </c>
      <c r="AG181" s="21">
        <f t="shared" si="120"/>
        <v>25545950</v>
      </c>
    </row>
    <row r="182" spans="1:33" x14ac:dyDescent="0.2">
      <c r="B182" t="s">
        <v>342</v>
      </c>
      <c r="C182" s="5" t="s">
        <v>94</v>
      </c>
      <c r="D182" s="22">
        <f>$D176</f>
        <v>77740000</v>
      </c>
      <c r="E182" s="22">
        <f>$E176</f>
        <v>136274000</v>
      </c>
      <c r="F182" s="22">
        <f>$F176</f>
        <v>207008000</v>
      </c>
      <c r="G182" s="23">
        <f t="shared" si="124"/>
        <v>20</v>
      </c>
      <c r="H182" s="4">
        <v>70453000</v>
      </c>
      <c r="J182" s="20">
        <f t="shared" si="119"/>
        <v>70453000</v>
      </c>
      <c r="K182" s="20">
        <f t="shared" si="121"/>
        <v>63602000</v>
      </c>
      <c r="L182" s="20">
        <f t="shared" si="125"/>
        <v>58321000</v>
      </c>
      <c r="M182" s="20">
        <f t="shared" si="126"/>
        <v>56446000</v>
      </c>
      <c r="N182" s="20">
        <f t="shared" si="127"/>
        <v>52306000</v>
      </c>
      <c r="O182" s="20">
        <f t="shared" si="128"/>
        <v>54161000</v>
      </c>
      <c r="P182" s="20">
        <f t="shared" ref="P182:P187" si="129">H176</f>
        <v>55263000</v>
      </c>
      <c r="Q182" s="20">
        <f>$F176/4</f>
        <v>51752000</v>
      </c>
      <c r="R182" s="20">
        <f>$F176/4</f>
        <v>51752000</v>
      </c>
      <c r="S182" s="20">
        <f>$F176/4</f>
        <v>51752000</v>
      </c>
      <c r="T182" s="20">
        <f>$F176/4</f>
        <v>51752000</v>
      </c>
      <c r="U182" s="20">
        <f>$E176/4</f>
        <v>34068500</v>
      </c>
      <c r="V182" s="20">
        <f>$E176/4</f>
        <v>34068500</v>
      </c>
      <c r="W182" s="20">
        <f>$E176/4</f>
        <v>34068500</v>
      </c>
      <c r="X182" s="20">
        <f>$E176/4</f>
        <v>34068500</v>
      </c>
      <c r="Y182" s="20">
        <f>$D176/4</f>
        <v>19435000</v>
      </c>
      <c r="Z182" s="20">
        <f>$D176/4</f>
        <v>19435000</v>
      </c>
      <c r="AA182" s="20">
        <f>$D176/4</f>
        <v>19435000</v>
      </c>
      <c r="AB182" s="20">
        <f>$D176/4</f>
        <v>19435000</v>
      </c>
      <c r="AC182" s="20">
        <v>0</v>
      </c>
      <c r="AE182" s="21">
        <f t="shared" si="122"/>
        <v>41578700</v>
      </c>
      <c r="AF182" s="21">
        <f t="shared" si="123"/>
        <v>536229400</v>
      </c>
      <c r="AG182" s="21">
        <f t="shared" si="120"/>
        <v>28874300</v>
      </c>
    </row>
    <row r="183" spans="1:33" x14ac:dyDescent="0.2">
      <c r="B183" t="s">
        <v>342</v>
      </c>
      <c r="C183" s="5" t="s">
        <v>93</v>
      </c>
      <c r="D183" s="22">
        <f>$D176</f>
        <v>77740000</v>
      </c>
      <c r="E183" s="22">
        <f>$E176</f>
        <v>136274000</v>
      </c>
      <c r="F183" s="22">
        <f>$F176</f>
        <v>207008000</v>
      </c>
      <c r="G183" s="23">
        <f t="shared" si="124"/>
        <v>20</v>
      </c>
      <c r="H183" s="4">
        <v>74626000</v>
      </c>
      <c r="J183" s="20">
        <f t="shared" si="119"/>
        <v>74626000</v>
      </c>
      <c r="K183" s="20">
        <f t="shared" si="121"/>
        <v>70453000</v>
      </c>
      <c r="L183" s="20">
        <f t="shared" si="125"/>
        <v>63602000</v>
      </c>
      <c r="M183" s="20">
        <f t="shared" si="126"/>
        <v>58321000</v>
      </c>
      <c r="N183" s="20">
        <f t="shared" si="127"/>
        <v>56446000</v>
      </c>
      <c r="O183" s="20">
        <f t="shared" si="128"/>
        <v>52306000</v>
      </c>
      <c r="P183" s="20">
        <f t="shared" si="129"/>
        <v>54161000</v>
      </c>
      <c r="Q183" s="20">
        <f>H176</f>
        <v>55263000</v>
      </c>
      <c r="R183" s="20">
        <f>$F176/4</f>
        <v>51752000</v>
      </c>
      <c r="S183" s="20">
        <f>$F176/4</f>
        <v>51752000</v>
      </c>
      <c r="T183" s="20">
        <f>$F176/4</f>
        <v>51752000</v>
      </c>
      <c r="U183" s="20">
        <f>$F176/4</f>
        <v>51752000</v>
      </c>
      <c r="V183" s="20">
        <f>$E176/4</f>
        <v>34068500</v>
      </c>
      <c r="W183" s="20">
        <f>$E176/4</f>
        <v>34068500</v>
      </c>
      <c r="X183" s="20">
        <f>$E176/4</f>
        <v>34068500</v>
      </c>
      <c r="Y183" s="20">
        <f>$E176/4</f>
        <v>34068500</v>
      </c>
      <c r="Z183" s="20">
        <f>$D176/4</f>
        <v>19435000</v>
      </c>
      <c r="AA183" s="20">
        <f>$D176/4</f>
        <v>19435000</v>
      </c>
      <c r="AB183" s="20">
        <f>$D176/4</f>
        <v>19435000</v>
      </c>
      <c r="AC183" s="20">
        <f>$D176/4</f>
        <v>19435000</v>
      </c>
      <c r="AE183" s="21">
        <f t="shared" si="122"/>
        <v>45310000</v>
      </c>
      <c r="AF183" s="21">
        <f t="shared" si="123"/>
        <v>569276700</v>
      </c>
      <c r="AG183" s="21">
        <f t="shared" si="120"/>
        <v>29316000</v>
      </c>
    </row>
    <row r="184" spans="1:33" x14ac:dyDescent="0.2">
      <c r="B184" t="s">
        <v>342</v>
      </c>
      <c r="C184" s="5" t="s">
        <v>141</v>
      </c>
      <c r="D184" s="22">
        <f>$D176</f>
        <v>77740000</v>
      </c>
      <c r="E184" s="22">
        <f>$E176</f>
        <v>136274000</v>
      </c>
      <c r="F184" s="22">
        <f>$F176</f>
        <v>207008000</v>
      </c>
      <c r="G184" s="23">
        <f t="shared" si="124"/>
        <v>20</v>
      </c>
      <c r="H184" s="4">
        <v>72253000</v>
      </c>
      <c r="J184" s="20">
        <f t="shared" si="119"/>
        <v>72253000</v>
      </c>
      <c r="K184" s="20">
        <f t="shared" si="121"/>
        <v>74626000</v>
      </c>
      <c r="L184" s="20">
        <f t="shared" si="125"/>
        <v>70453000</v>
      </c>
      <c r="M184" s="20">
        <f t="shared" si="126"/>
        <v>63602000</v>
      </c>
      <c r="N184" s="20">
        <f t="shared" si="127"/>
        <v>58321000</v>
      </c>
      <c r="O184" s="20">
        <f t="shared" si="128"/>
        <v>56446000</v>
      </c>
      <c r="P184" s="20">
        <f t="shared" si="129"/>
        <v>52306000</v>
      </c>
      <c r="Q184" s="20">
        <f>H177</f>
        <v>54161000</v>
      </c>
      <c r="R184" s="20">
        <f>H176</f>
        <v>55263000</v>
      </c>
      <c r="S184" s="20">
        <f>$F176/4</f>
        <v>51752000</v>
      </c>
      <c r="T184" s="20">
        <f>$F176/4</f>
        <v>51752000</v>
      </c>
      <c r="U184" s="20">
        <f>$F176/4</f>
        <v>51752000</v>
      </c>
      <c r="V184" s="20">
        <f>$F176/4</f>
        <v>51752000</v>
      </c>
      <c r="W184" s="20">
        <f>$E176/4</f>
        <v>34068500</v>
      </c>
      <c r="X184" s="20">
        <f>$E176/4</f>
        <v>34068500</v>
      </c>
      <c r="Y184" s="20">
        <f>$E176/4</f>
        <v>34068500</v>
      </c>
      <c r="Z184" s="20">
        <f>$E176/4</f>
        <v>34068500</v>
      </c>
      <c r="AA184" s="20">
        <f>$D176/4</f>
        <v>19435000</v>
      </c>
      <c r="AB184" s="20">
        <f>$D176/4</f>
        <v>19435000</v>
      </c>
      <c r="AC184" s="20">
        <f>$D176/4</f>
        <v>19435000</v>
      </c>
      <c r="AE184" s="21">
        <f t="shared" si="122"/>
        <v>47950900</v>
      </c>
      <c r="AF184" s="21">
        <f t="shared" si="123"/>
        <v>596219700</v>
      </c>
      <c r="AG184" s="21">
        <f t="shared" si="120"/>
        <v>24302100</v>
      </c>
    </row>
    <row r="185" spans="1:33" x14ac:dyDescent="0.2">
      <c r="B185" t="s">
        <v>342</v>
      </c>
      <c r="C185" s="5" t="s">
        <v>160</v>
      </c>
      <c r="D185" s="22">
        <f>$D176</f>
        <v>77740000</v>
      </c>
      <c r="E185" s="22">
        <f>$E176</f>
        <v>136274000</v>
      </c>
      <c r="F185" s="22">
        <f>$F176</f>
        <v>207008000</v>
      </c>
      <c r="G185" s="23">
        <f t="shared" si="124"/>
        <v>20</v>
      </c>
      <c r="H185" s="4">
        <v>79091000</v>
      </c>
      <c r="J185" s="20">
        <f t="shared" si="119"/>
        <v>79091000</v>
      </c>
      <c r="K185" s="20">
        <f t="shared" si="121"/>
        <v>72253000</v>
      </c>
      <c r="L185" s="20">
        <f t="shared" si="125"/>
        <v>74626000</v>
      </c>
      <c r="M185" s="20">
        <f t="shared" si="126"/>
        <v>70453000</v>
      </c>
      <c r="N185" s="20">
        <f t="shared" si="127"/>
        <v>63602000</v>
      </c>
      <c r="O185" s="20">
        <f t="shared" si="128"/>
        <v>58321000</v>
      </c>
      <c r="P185" s="20">
        <f t="shared" si="129"/>
        <v>56446000</v>
      </c>
      <c r="Q185" s="20">
        <f>H178</f>
        <v>52306000</v>
      </c>
      <c r="R185" s="20">
        <f>H177</f>
        <v>54161000</v>
      </c>
      <c r="S185" s="20">
        <f>H176</f>
        <v>55263000</v>
      </c>
      <c r="T185" s="20">
        <f>$F176/4</f>
        <v>51752000</v>
      </c>
      <c r="U185" s="20">
        <f>$F176/4</f>
        <v>51752000</v>
      </c>
      <c r="V185" s="20">
        <f>$F176/4</f>
        <v>51752000</v>
      </c>
      <c r="W185" s="20">
        <f>$F176/4</f>
        <v>51752000</v>
      </c>
      <c r="X185" s="20">
        <f>$E176/4</f>
        <v>34068500</v>
      </c>
      <c r="Y185" s="20">
        <f>$E176/4</f>
        <v>34068500</v>
      </c>
      <c r="Z185" s="20">
        <f>$E176/4</f>
        <v>34068500</v>
      </c>
      <c r="AA185" s="20">
        <f>$E176/4</f>
        <v>34068500</v>
      </c>
      <c r="AB185" s="20">
        <f>$D176/4</f>
        <v>19435000</v>
      </c>
      <c r="AC185" s="20">
        <f>$D176/4</f>
        <v>19435000</v>
      </c>
      <c r="AE185" s="21">
        <f t="shared" si="122"/>
        <v>50933700</v>
      </c>
      <c r="AF185" s="21">
        <f t="shared" si="123"/>
        <v>627359800</v>
      </c>
      <c r="AG185" s="21">
        <f t="shared" si="120"/>
        <v>28157300</v>
      </c>
    </row>
    <row r="186" spans="1:33" x14ac:dyDescent="0.2">
      <c r="B186" t="s">
        <v>342</v>
      </c>
      <c r="C186" s="5" t="s">
        <v>161</v>
      </c>
      <c r="D186" s="22">
        <f>$D176</f>
        <v>77740000</v>
      </c>
      <c r="E186" s="22">
        <f>$E176</f>
        <v>136274000</v>
      </c>
      <c r="F186" s="22">
        <f>$F176</f>
        <v>207008000</v>
      </c>
      <c r="G186" s="23">
        <f t="shared" si="124"/>
        <v>20</v>
      </c>
      <c r="H186" s="4">
        <v>83146000</v>
      </c>
      <c r="J186" s="20">
        <f t="shared" si="119"/>
        <v>83146000</v>
      </c>
      <c r="K186" s="20">
        <f t="shared" si="121"/>
        <v>79091000</v>
      </c>
      <c r="L186" s="20">
        <f t="shared" si="125"/>
        <v>72253000</v>
      </c>
      <c r="M186" s="20">
        <f t="shared" si="126"/>
        <v>74626000</v>
      </c>
      <c r="N186" s="20">
        <f t="shared" si="127"/>
        <v>70453000</v>
      </c>
      <c r="O186" s="20">
        <f t="shared" si="128"/>
        <v>63602000</v>
      </c>
      <c r="P186" s="20">
        <f t="shared" si="129"/>
        <v>58321000</v>
      </c>
      <c r="Q186" s="20">
        <f>H179</f>
        <v>56446000</v>
      </c>
      <c r="R186" s="20">
        <f>H178</f>
        <v>52306000</v>
      </c>
      <c r="S186" s="20">
        <f>H177</f>
        <v>54161000</v>
      </c>
      <c r="T186" s="20">
        <f>H176</f>
        <v>55263000</v>
      </c>
      <c r="U186" s="20">
        <f>$F176/4</f>
        <v>51752000</v>
      </c>
      <c r="V186" s="20">
        <f>$F176/4</f>
        <v>51752000</v>
      </c>
      <c r="W186" s="20">
        <f>$F176/4</f>
        <v>51752000</v>
      </c>
      <c r="X186" s="20">
        <f>$F176/4</f>
        <v>51752000</v>
      </c>
      <c r="Y186" s="20">
        <f>$E176/4</f>
        <v>34068500</v>
      </c>
      <c r="Z186" s="20">
        <f>$E176/4</f>
        <v>34068500</v>
      </c>
      <c r="AA186" s="20">
        <f>$E176/4</f>
        <v>34068500</v>
      </c>
      <c r="AB186" s="20">
        <f>$E176/4</f>
        <v>34068500</v>
      </c>
      <c r="AC186" s="20">
        <f>$D176/4</f>
        <v>19435000</v>
      </c>
      <c r="AE186" s="21">
        <f t="shared" si="122"/>
        <v>54119250</v>
      </c>
      <c r="AF186" s="21">
        <f t="shared" si="123"/>
        <v>659572100</v>
      </c>
      <c r="AG186" s="21">
        <f t="shared" si="120"/>
        <v>29026750</v>
      </c>
    </row>
    <row r="187" spans="1:33" x14ac:dyDescent="0.2">
      <c r="B187" t="s">
        <v>342</v>
      </c>
      <c r="C187" s="5" t="s">
        <v>162</v>
      </c>
      <c r="D187" s="22">
        <f>$D176</f>
        <v>77740000</v>
      </c>
      <c r="E187" s="22">
        <f>$E176</f>
        <v>136274000</v>
      </c>
      <c r="F187" s="22">
        <f>$F176</f>
        <v>207008000</v>
      </c>
      <c r="G187" s="23">
        <f t="shared" si="124"/>
        <v>20</v>
      </c>
      <c r="H187" s="4">
        <v>89363000</v>
      </c>
      <c r="J187" s="20">
        <f t="shared" si="119"/>
        <v>89363000</v>
      </c>
      <c r="K187" s="20">
        <f t="shared" si="121"/>
        <v>83146000</v>
      </c>
      <c r="L187" s="20">
        <f t="shared" si="125"/>
        <v>79091000</v>
      </c>
      <c r="M187" s="20">
        <f t="shared" si="126"/>
        <v>72253000</v>
      </c>
      <c r="N187" s="20">
        <f t="shared" si="127"/>
        <v>74626000</v>
      </c>
      <c r="O187" s="20">
        <f t="shared" si="128"/>
        <v>70453000</v>
      </c>
      <c r="P187" s="20">
        <f t="shared" si="129"/>
        <v>63602000</v>
      </c>
      <c r="Q187" s="20">
        <f>H180</f>
        <v>58321000</v>
      </c>
      <c r="R187" s="20">
        <f>H179</f>
        <v>56446000</v>
      </c>
      <c r="S187" s="20">
        <f>H178</f>
        <v>52306000</v>
      </c>
      <c r="T187" s="20">
        <f>H177</f>
        <v>54161000</v>
      </c>
      <c r="U187" s="20">
        <f>H176</f>
        <v>55263000</v>
      </c>
      <c r="V187" s="20">
        <f>$F176/4</f>
        <v>51752000</v>
      </c>
      <c r="W187" s="20">
        <f>$F176/4</f>
        <v>51752000</v>
      </c>
      <c r="X187" s="20">
        <f>$F176/4</f>
        <v>51752000</v>
      </c>
      <c r="Y187" s="20">
        <f>$F176/4</f>
        <v>51752000</v>
      </c>
      <c r="Z187" s="20">
        <f>$E176/4</f>
        <v>34068500</v>
      </c>
      <c r="AA187" s="20">
        <f>$E176/4</f>
        <v>34068500</v>
      </c>
      <c r="AB187" s="20">
        <f>$E176/4</f>
        <v>34068500</v>
      </c>
      <c r="AC187" s="20">
        <f>$E176/4</f>
        <v>34068500</v>
      </c>
      <c r="AE187" s="21">
        <f t="shared" si="122"/>
        <v>57615650</v>
      </c>
      <c r="AF187" s="21">
        <f t="shared" si="123"/>
        <v>694815850</v>
      </c>
      <c r="AG187" s="21">
        <f t="shared" si="120"/>
        <v>31747350</v>
      </c>
    </row>
    <row r="188" spans="1:33" x14ac:dyDescent="0.2">
      <c r="I188" s="3"/>
    </row>
    <row r="189" spans="1:33" x14ac:dyDescent="0.2">
      <c r="C189" t="s">
        <v>338</v>
      </c>
    </row>
    <row r="190" spans="1:33" x14ac:dyDescent="0.2">
      <c r="C190" s="6" t="s">
        <v>107</v>
      </c>
      <c r="D190" s="6" t="s">
        <v>439</v>
      </c>
      <c r="E190" s="6" t="s">
        <v>440</v>
      </c>
      <c r="F190" s="6" t="s">
        <v>471</v>
      </c>
      <c r="G190" s="6" t="s">
        <v>441</v>
      </c>
      <c r="H190" s="6" t="s">
        <v>442</v>
      </c>
      <c r="I190" s="15"/>
      <c r="J190" s="6" t="s">
        <v>443</v>
      </c>
      <c r="K190" s="6" t="s">
        <v>444</v>
      </c>
      <c r="L190" s="6" t="s">
        <v>445</v>
      </c>
      <c r="M190" s="6" t="s">
        <v>446</v>
      </c>
      <c r="N190" s="6" t="s">
        <v>447</v>
      </c>
      <c r="O190" s="6" t="s">
        <v>448</v>
      </c>
      <c r="P190" s="6" t="s">
        <v>449</v>
      </c>
      <c r="Q190" s="6" t="s">
        <v>450</v>
      </c>
      <c r="R190" s="6" t="s">
        <v>451</v>
      </c>
      <c r="S190" s="6" t="s">
        <v>452</v>
      </c>
      <c r="T190" s="6" t="s">
        <v>453</v>
      </c>
      <c r="U190" s="6" t="s">
        <v>454</v>
      </c>
      <c r="V190" s="6" t="s">
        <v>455</v>
      </c>
      <c r="W190" s="6" t="s">
        <v>456</v>
      </c>
      <c r="X190" s="6" t="s">
        <v>457</v>
      </c>
      <c r="Y190" s="6" t="s">
        <v>458</v>
      </c>
      <c r="Z190" s="6" t="s">
        <v>459</v>
      </c>
      <c r="AA190" s="6" t="s">
        <v>460</v>
      </c>
      <c r="AB190" s="6" t="s">
        <v>461</v>
      </c>
      <c r="AC190" s="6" t="s">
        <v>462</v>
      </c>
      <c r="AD190" s="15"/>
      <c r="AE190" s="6" t="s">
        <v>106</v>
      </c>
      <c r="AF190" s="6" t="s">
        <v>105</v>
      </c>
      <c r="AG190" s="6" t="s">
        <v>463</v>
      </c>
    </row>
    <row r="191" spans="1:33" x14ac:dyDescent="0.2">
      <c r="C191" s="16" t="s">
        <v>464</v>
      </c>
      <c r="J191" s="17">
        <v>20</v>
      </c>
      <c r="K191" s="17">
        <v>19</v>
      </c>
      <c r="L191" s="17">
        <v>18</v>
      </c>
      <c r="M191" s="17">
        <v>17</v>
      </c>
      <c r="N191" s="17">
        <v>16</v>
      </c>
      <c r="O191" s="17">
        <v>15</v>
      </c>
      <c r="P191" s="17">
        <v>14</v>
      </c>
      <c r="Q191" s="17">
        <v>13</v>
      </c>
      <c r="R191" s="17">
        <v>12</v>
      </c>
      <c r="S191" s="17">
        <v>11</v>
      </c>
      <c r="T191" s="17">
        <v>10</v>
      </c>
      <c r="U191" s="17">
        <v>9</v>
      </c>
      <c r="V191" s="17">
        <v>8</v>
      </c>
      <c r="W191" s="17">
        <v>7</v>
      </c>
      <c r="X191" s="17">
        <v>6</v>
      </c>
      <c r="Y191" s="17">
        <v>5</v>
      </c>
      <c r="Z191" s="17">
        <v>4</v>
      </c>
      <c r="AA191" s="17">
        <v>3</v>
      </c>
      <c r="AB191" s="17">
        <v>2</v>
      </c>
      <c r="AC191" s="17">
        <v>1</v>
      </c>
    </row>
    <row r="192" spans="1:33" x14ac:dyDescent="0.2">
      <c r="A192">
        <v>1</v>
      </c>
      <c r="B192" t="s">
        <v>338</v>
      </c>
      <c r="C192" s="18" t="s">
        <v>488</v>
      </c>
      <c r="G192" s="23">
        <f t="shared" ref="G192:G199" si="130">$G$13</f>
        <v>20</v>
      </c>
      <c r="H192" s="4">
        <v>96871750</v>
      </c>
      <c r="I192" s="20">
        <f>+H192/20</f>
        <v>4843587.5</v>
      </c>
      <c r="J192" s="20">
        <f>+H192-$I192</f>
        <v>92028162.5</v>
      </c>
      <c r="K192" s="20">
        <f>+J192-$I192</f>
        <v>87184575</v>
      </c>
      <c r="L192" s="20">
        <f t="shared" ref="L192" si="131">+K192-$I192</f>
        <v>82340987.5</v>
      </c>
      <c r="M192" s="20">
        <f t="shared" ref="M192:M193" si="132">+L192-$I192</f>
        <v>77497400</v>
      </c>
      <c r="N192" s="20">
        <f t="shared" ref="N192:N194" si="133">+M192-$I192</f>
        <v>72653812.5</v>
      </c>
      <c r="O192" s="20">
        <f t="shared" ref="O192:O196" si="134">+N192-$I192</f>
        <v>67810225</v>
      </c>
      <c r="P192" s="20">
        <f t="shared" ref="P192:P197" si="135">+O192-$I192</f>
        <v>62966637.5</v>
      </c>
      <c r="Q192" s="20">
        <f t="shared" ref="Q192:Q198" si="136">+P192-$I192</f>
        <v>58123050</v>
      </c>
      <c r="R192" s="20">
        <f t="shared" ref="R192:R199" si="137">+Q192-$I192</f>
        <v>53279462.5</v>
      </c>
      <c r="S192" s="20">
        <f t="shared" ref="S192:S200" si="138">+R192-$I192</f>
        <v>48435875</v>
      </c>
      <c r="T192" s="20">
        <f t="shared" ref="T192:T201" si="139">+S192-$I192</f>
        <v>43592287.5</v>
      </c>
      <c r="U192" s="20">
        <f t="shared" ref="U192:U202" si="140">+T192-$I192</f>
        <v>38748700</v>
      </c>
      <c r="V192" s="20">
        <f t="shared" ref="V192:V203" si="141">+U192-$I192</f>
        <v>33905112.5</v>
      </c>
      <c r="W192" s="20">
        <f t="shared" ref="W192:W204" si="142">+V192-$I192</f>
        <v>29061525</v>
      </c>
      <c r="X192" s="20">
        <f t="shared" ref="X192:X205" si="143">+W192-$I192</f>
        <v>24217937.5</v>
      </c>
      <c r="Y192" s="20">
        <f t="shared" ref="Y192:Y206" si="144">+X192-$I192</f>
        <v>19374350</v>
      </c>
      <c r="Z192" s="20">
        <f t="shared" ref="Z192:Z207" si="145">+Y192-$I192</f>
        <v>14530762.5</v>
      </c>
      <c r="AA192" s="20">
        <f t="shared" ref="AA192:AA208" si="146">+Z192-$I192</f>
        <v>9687175</v>
      </c>
      <c r="AB192" s="20">
        <f t="shared" ref="AB192:AB209" si="147">+AA192-$I192</f>
        <v>4843587.5</v>
      </c>
      <c r="AC192" s="20">
        <f t="shared" ref="AC192:AC210" si="148">+AB192-$I192</f>
        <v>0</v>
      </c>
      <c r="AE192" s="21">
        <f>SUM(I192)</f>
        <v>4843587.5</v>
      </c>
      <c r="AF192" s="21">
        <f>SUM(J192:J192)</f>
        <v>92028162.5</v>
      </c>
      <c r="AG192" s="21">
        <f t="shared" ref="AG192:AG211" si="149">H192-AE192</f>
        <v>92028162.5</v>
      </c>
    </row>
    <row r="193" spans="1:33" x14ac:dyDescent="0.2">
      <c r="A193">
        <v>2</v>
      </c>
      <c r="B193" t="s">
        <v>338</v>
      </c>
      <c r="C193" s="18" t="s">
        <v>489</v>
      </c>
      <c r="G193" s="23">
        <f t="shared" si="130"/>
        <v>20</v>
      </c>
      <c r="H193" s="4">
        <v>110524000</v>
      </c>
      <c r="I193" s="20">
        <f t="shared" ref="I193:I211" si="150">+H193/20</f>
        <v>5526200</v>
      </c>
      <c r="J193" s="20"/>
      <c r="K193" s="20">
        <f>+H193-I193</f>
        <v>104997800</v>
      </c>
      <c r="L193" s="20">
        <f>+K193-$I193</f>
        <v>99471600</v>
      </c>
      <c r="M193" s="20">
        <f t="shared" si="132"/>
        <v>93945400</v>
      </c>
      <c r="N193" s="20">
        <f t="shared" si="133"/>
        <v>88419200</v>
      </c>
      <c r="O193" s="20">
        <f t="shared" si="134"/>
        <v>82893000</v>
      </c>
      <c r="P193" s="20">
        <f t="shared" si="135"/>
        <v>77366800</v>
      </c>
      <c r="Q193" s="20">
        <f t="shared" si="136"/>
        <v>71840600</v>
      </c>
      <c r="R193" s="20">
        <f t="shared" si="137"/>
        <v>66314400</v>
      </c>
      <c r="S193" s="20">
        <f t="shared" si="138"/>
        <v>60788200</v>
      </c>
      <c r="T193" s="20">
        <f t="shared" si="139"/>
        <v>55262000</v>
      </c>
      <c r="U193" s="20">
        <f t="shared" si="140"/>
        <v>49735800</v>
      </c>
      <c r="V193" s="20">
        <f t="shared" si="141"/>
        <v>44209600</v>
      </c>
      <c r="W193" s="20">
        <f t="shared" si="142"/>
        <v>38683400</v>
      </c>
      <c r="X193" s="20">
        <f t="shared" si="143"/>
        <v>33157200</v>
      </c>
      <c r="Y193" s="20">
        <f t="shared" si="144"/>
        <v>27631000</v>
      </c>
      <c r="Z193" s="20">
        <f t="shared" si="145"/>
        <v>22104800</v>
      </c>
      <c r="AA193" s="20">
        <f t="shared" si="146"/>
        <v>16578600</v>
      </c>
      <c r="AB193" s="20">
        <f t="shared" si="147"/>
        <v>11052400</v>
      </c>
      <c r="AC193" s="20">
        <f t="shared" si="148"/>
        <v>5526200</v>
      </c>
      <c r="AE193" s="21">
        <f>SUM(I192:I193)</f>
        <v>10369787.5</v>
      </c>
      <c r="AF193" s="21">
        <f>SUM(K192:K193)</f>
        <v>192182375</v>
      </c>
      <c r="AG193" s="21">
        <f t="shared" si="149"/>
        <v>100154212.5</v>
      </c>
    </row>
    <row r="194" spans="1:33" x14ac:dyDescent="0.2">
      <c r="A194">
        <v>3</v>
      </c>
      <c r="B194" t="s">
        <v>338</v>
      </c>
      <c r="C194" s="18" t="s">
        <v>490</v>
      </c>
      <c r="G194" s="23">
        <f t="shared" si="130"/>
        <v>20</v>
      </c>
      <c r="H194" s="4">
        <v>94316000</v>
      </c>
      <c r="I194" s="20">
        <f t="shared" si="150"/>
        <v>4715800</v>
      </c>
      <c r="J194" s="20"/>
      <c r="K194" s="20"/>
      <c r="L194" s="20">
        <f>+H194-I194</f>
        <v>89600200</v>
      </c>
      <c r="M194" s="20">
        <f>+L194-$I194</f>
        <v>84884400</v>
      </c>
      <c r="N194" s="20">
        <f t="shared" si="133"/>
        <v>80168600</v>
      </c>
      <c r="O194" s="20">
        <f t="shared" si="134"/>
        <v>75452800</v>
      </c>
      <c r="P194" s="20">
        <f t="shared" si="135"/>
        <v>70737000</v>
      </c>
      <c r="Q194" s="20">
        <f t="shared" si="136"/>
        <v>66021200</v>
      </c>
      <c r="R194" s="20">
        <f t="shared" si="137"/>
        <v>61305400</v>
      </c>
      <c r="S194" s="20">
        <f t="shared" si="138"/>
        <v>56589600</v>
      </c>
      <c r="T194" s="20">
        <f t="shared" si="139"/>
        <v>51873800</v>
      </c>
      <c r="U194" s="20">
        <f t="shared" si="140"/>
        <v>47158000</v>
      </c>
      <c r="V194" s="20">
        <f t="shared" si="141"/>
        <v>42442200</v>
      </c>
      <c r="W194" s="20">
        <f t="shared" si="142"/>
        <v>37726400</v>
      </c>
      <c r="X194" s="20">
        <f t="shared" si="143"/>
        <v>33010600</v>
      </c>
      <c r="Y194" s="20">
        <f t="shared" si="144"/>
        <v>28294800</v>
      </c>
      <c r="Z194" s="20">
        <f t="shared" si="145"/>
        <v>23579000</v>
      </c>
      <c r="AA194" s="20">
        <f t="shared" si="146"/>
        <v>18863200</v>
      </c>
      <c r="AB194" s="20">
        <f t="shared" si="147"/>
        <v>14147400</v>
      </c>
      <c r="AC194" s="20">
        <f t="shared" si="148"/>
        <v>9431600</v>
      </c>
      <c r="AE194" s="21">
        <f>SUM(I192:I194)</f>
        <v>15085587.5</v>
      </c>
      <c r="AF194" s="21">
        <f>SUM(L192:L194)</f>
        <v>271412787.5</v>
      </c>
      <c r="AG194" s="21">
        <f t="shared" si="149"/>
        <v>79230412.5</v>
      </c>
    </row>
    <row r="195" spans="1:33" x14ac:dyDescent="0.2">
      <c r="A195">
        <v>4</v>
      </c>
      <c r="B195" t="s">
        <v>338</v>
      </c>
      <c r="C195" s="18" t="s">
        <v>491</v>
      </c>
      <c r="G195" s="23">
        <f t="shared" si="130"/>
        <v>20</v>
      </c>
      <c r="H195" s="4">
        <v>84176000</v>
      </c>
      <c r="I195" s="20">
        <f t="shared" si="150"/>
        <v>4208800</v>
      </c>
      <c r="J195" s="20"/>
      <c r="K195" s="20"/>
      <c r="L195" s="20"/>
      <c r="M195" s="20">
        <f>+H195-I195</f>
        <v>79967200</v>
      </c>
      <c r="N195" s="20">
        <f>+M195-$I195</f>
        <v>75758400</v>
      </c>
      <c r="O195" s="20">
        <f t="shared" si="134"/>
        <v>71549600</v>
      </c>
      <c r="P195" s="20">
        <f t="shared" si="135"/>
        <v>67340800</v>
      </c>
      <c r="Q195" s="20">
        <f t="shared" si="136"/>
        <v>63132000</v>
      </c>
      <c r="R195" s="20">
        <f t="shared" si="137"/>
        <v>58923200</v>
      </c>
      <c r="S195" s="20">
        <f t="shared" si="138"/>
        <v>54714400</v>
      </c>
      <c r="T195" s="20">
        <f t="shared" si="139"/>
        <v>50505600</v>
      </c>
      <c r="U195" s="20">
        <f t="shared" si="140"/>
        <v>46296800</v>
      </c>
      <c r="V195" s="20">
        <f t="shared" si="141"/>
        <v>42088000</v>
      </c>
      <c r="W195" s="20">
        <f t="shared" si="142"/>
        <v>37879200</v>
      </c>
      <c r="X195" s="20">
        <f t="shared" si="143"/>
        <v>33670400</v>
      </c>
      <c r="Y195" s="20">
        <f t="shared" si="144"/>
        <v>29461600</v>
      </c>
      <c r="Z195" s="20">
        <f t="shared" si="145"/>
        <v>25252800</v>
      </c>
      <c r="AA195" s="20">
        <f t="shared" si="146"/>
        <v>21044000</v>
      </c>
      <c r="AB195" s="20">
        <f t="shared" si="147"/>
        <v>16835200</v>
      </c>
      <c r="AC195" s="20">
        <f t="shared" si="148"/>
        <v>12626400</v>
      </c>
      <c r="AE195" s="21">
        <f>SUM(I192:I195)</f>
        <v>19294387.5</v>
      </c>
      <c r="AF195" s="21">
        <f>SUM(M192:M195)</f>
        <v>336294400</v>
      </c>
      <c r="AG195" s="21">
        <f t="shared" si="149"/>
        <v>64881612.5</v>
      </c>
    </row>
    <row r="196" spans="1:33" x14ac:dyDescent="0.2">
      <c r="A196">
        <v>5</v>
      </c>
      <c r="B196" t="s">
        <v>338</v>
      </c>
      <c r="C196" s="18" t="s">
        <v>484</v>
      </c>
      <c r="G196" s="23">
        <f t="shared" si="130"/>
        <v>20</v>
      </c>
      <c r="H196" s="4">
        <v>88601000</v>
      </c>
      <c r="I196" s="20">
        <f t="shared" si="150"/>
        <v>4430050</v>
      </c>
      <c r="J196" s="20"/>
      <c r="K196" s="20"/>
      <c r="L196" s="20"/>
      <c r="M196" s="20"/>
      <c r="N196" s="20">
        <f>+H196-I196</f>
        <v>84170950</v>
      </c>
      <c r="O196" s="20">
        <f t="shared" si="134"/>
        <v>79740900</v>
      </c>
      <c r="P196" s="20">
        <f t="shared" si="135"/>
        <v>75310850</v>
      </c>
      <c r="Q196" s="20">
        <f t="shared" si="136"/>
        <v>70880800</v>
      </c>
      <c r="R196" s="20">
        <f t="shared" si="137"/>
        <v>66450750</v>
      </c>
      <c r="S196" s="20">
        <f t="shared" si="138"/>
        <v>62020700</v>
      </c>
      <c r="T196" s="20">
        <f t="shared" si="139"/>
        <v>57590650</v>
      </c>
      <c r="U196" s="20">
        <f t="shared" si="140"/>
        <v>53160600</v>
      </c>
      <c r="V196" s="20">
        <f t="shared" si="141"/>
        <v>48730550</v>
      </c>
      <c r="W196" s="20">
        <f t="shared" si="142"/>
        <v>44300500</v>
      </c>
      <c r="X196" s="20">
        <f t="shared" si="143"/>
        <v>39870450</v>
      </c>
      <c r="Y196" s="20">
        <f t="shared" si="144"/>
        <v>35440400</v>
      </c>
      <c r="Z196" s="20">
        <f t="shared" si="145"/>
        <v>31010350</v>
      </c>
      <c r="AA196" s="20">
        <f t="shared" si="146"/>
        <v>26580300</v>
      </c>
      <c r="AB196" s="20">
        <f t="shared" si="147"/>
        <v>22150250</v>
      </c>
      <c r="AC196" s="20">
        <f t="shared" si="148"/>
        <v>17720200</v>
      </c>
      <c r="AE196" s="21">
        <f>SUM(I192:I196)</f>
        <v>23724437.5</v>
      </c>
      <c r="AF196" s="21">
        <f>SUM(N192:N196)</f>
        <v>401170962.5</v>
      </c>
      <c r="AG196" s="21">
        <f t="shared" si="149"/>
        <v>64876562.5</v>
      </c>
    </row>
    <row r="197" spans="1:33" x14ac:dyDescent="0.2">
      <c r="A197">
        <v>6</v>
      </c>
      <c r="B197" t="s">
        <v>338</v>
      </c>
      <c r="C197" s="18" t="s">
        <v>485</v>
      </c>
      <c r="G197" s="23">
        <f t="shared" si="130"/>
        <v>20</v>
      </c>
      <c r="H197" s="4">
        <v>88171000</v>
      </c>
      <c r="I197" s="20">
        <f t="shared" si="150"/>
        <v>4408550</v>
      </c>
      <c r="J197" s="20"/>
      <c r="K197" s="20"/>
      <c r="L197" s="20"/>
      <c r="M197" s="20"/>
      <c r="N197" s="20"/>
      <c r="O197" s="20">
        <f>+H197-I197</f>
        <v>83762450</v>
      </c>
      <c r="P197" s="20">
        <f t="shared" si="135"/>
        <v>79353900</v>
      </c>
      <c r="Q197" s="20">
        <f t="shared" si="136"/>
        <v>74945350</v>
      </c>
      <c r="R197" s="20">
        <f t="shared" si="137"/>
        <v>70536800</v>
      </c>
      <c r="S197" s="20">
        <f t="shared" si="138"/>
        <v>66128250</v>
      </c>
      <c r="T197" s="20">
        <f t="shared" si="139"/>
        <v>61719700</v>
      </c>
      <c r="U197" s="20">
        <f t="shared" si="140"/>
        <v>57311150</v>
      </c>
      <c r="V197" s="20">
        <f t="shared" si="141"/>
        <v>52902600</v>
      </c>
      <c r="W197" s="20">
        <f t="shared" si="142"/>
        <v>48494050</v>
      </c>
      <c r="X197" s="20">
        <f t="shared" si="143"/>
        <v>44085500</v>
      </c>
      <c r="Y197" s="20">
        <f t="shared" si="144"/>
        <v>39676950</v>
      </c>
      <c r="Z197" s="20">
        <f t="shared" si="145"/>
        <v>35268400</v>
      </c>
      <c r="AA197" s="20">
        <f t="shared" si="146"/>
        <v>30859850</v>
      </c>
      <c r="AB197" s="20">
        <f t="shared" si="147"/>
        <v>26451300</v>
      </c>
      <c r="AC197" s="20">
        <f t="shared" si="148"/>
        <v>22042750</v>
      </c>
      <c r="AE197" s="21">
        <f>SUM(I192:I197)</f>
        <v>28132987.5</v>
      </c>
      <c r="AF197" s="21">
        <f>SUM(O192:O197)</f>
        <v>461208975</v>
      </c>
      <c r="AG197" s="21">
        <f t="shared" si="149"/>
        <v>60038012.5</v>
      </c>
    </row>
    <row r="198" spans="1:33" x14ac:dyDescent="0.2">
      <c r="A198">
        <v>7</v>
      </c>
      <c r="B198" t="s">
        <v>338</v>
      </c>
      <c r="C198" s="18" t="s">
        <v>486</v>
      </c>
      <c r="G198" s="23">
        <f t="shared" si="130"/>
        <v>20</v>
      </c>
      <c r="H198" s="4">
        <v>100863000</v>
      </c>
      <c r="I198" s="20">
        <f t="shared" si="150"/>
        <v>5043150</v>
      </c>
      <c r="J198" s="20"/>
      <c r="K198" s="20"/>
      <c r="L198" s="20"/>
      <c r="M198" s="20"/>
      <c r="N198" s="20"/>
      <c r="O198" s="20"/>
      <c r="P198" s="20">
        <f>+H198-I198</f>
        <v>95819850</v>
      </c>
      <c r="Q198" s="20">
        <f t="shared" si="136"/>
        <v>90776700</v>
      </c>
      <c r="R198" s="20">
        <f t="shared" si="137"/>
        <v>85733550</v>
      </c>
      <c r="S198" s="20">
        <f t="shared" si="138"/>
        <v>80690400</v>
      </c>
      <c r="T198" s="20">
        <f t="shared" si="139"/>
        <v>75647250</v>
      </c>
      <c r="U198" s="20">
        <f t="shared" si="140"/>
        <v>70604100</v>
      </c>
      <c r="V198" s="20">
        <f t="shared" si="141"/>
        <v>65560950</v>
      </c>
      <c r="W198" s="20">
        <f t="shared" si="142"/>
        <v>60517800</v>
      </c>
      <c r="X198" s="20">
        <f t="shared" si="143"/>
        <v>55474650</v>
      </c>
      <c r="Y198" s="20">
        <f t="shared" si="144"/>
        <v>50431500</v>
      </c>
      <c r="Z198" s="20">
        <f t="shared" si="145"/>
        <v>45388350</v>
      </c>
      <c r="AA198" s="20">
        <f t="shared" si="146"/>
        <v>40345200</v>
      </c>
      <c r="AB198" s="20">
        <f t="shared" si="147"/>
        <v>35302050</v>
      </c>
      <c r="AC198" s="20">
        <f t="shared" si="148"/>
        <v>30258900</v>
      </c>
      <c r="AE198" s="21">
        <f>SUM(I192:I198)</f>
        <v>33176137.5</v>
      </c>
      <c r="AF198" s="21">
        <f>SUM(P192:P198)</f>
        <v>528895837.5</v>
      </c>
      <c r="AG198" s="21">
        <f t="shared" si="149"/>
        <v>67686862.5</v>
      </c>
    </row>
    <row r="199" spans="1:33" x14ac:dyDescent="0.2">
      <c r="A199">
        <v>8</v>
      </c>
      <c r="B199" t="s">
        <v>338</v>
      </c>
      <c r="C199" s="18" t="s">
        <v>487</v>
      </c>
      <c r="G199" s="23">
        <f t="shared" si="130"/>
        <v>20</v>
      </c>
      <c r="H199" s="4">
        <v>82044000</v>
      </c>
      <c r="I199" s="20">
        <f t="shared" si="150"/>
        <v>4102200</v>
      </c>
      <c r="J199" s="20"/>
      <c r="K199" s="20"/>
      <c r="L199" s="20"/>
      <c r="M199" s="20"/>
      <c r="N199" s="20"/>
      <c r="O199" s="20"/>
      <c r="P199" s="20"/>
      <c r="Q199" s="20">
        <f>+H199-I199</f>
        <v>77941800</v>
      </c>
      <c r="R199" s="20">
        <f t="shared" si="137"/>
        <v>73839600</v>
      </c>
      <c r="S199" s="20">
        <f t="shared" si="138"/>
        <v>69737400</v>
      </c>
      <c r="T199" s="20">
        <f t="shared" si="139"/>
        <v>65635200</v>
      </c>
      <c r="U199" s="20">
        <f t="shared" si="140"/>
        <v>61533000</v>
      </c>
      <c r="V199" s="20">
        <f t="shared" si="141"/>
        <v>57430800</v>
      </c>
      <c r="W199" s="20">
        <f t="shared" si="142"/>
        <v>53328600</v>
      </c>
      <c r="X199" s="20">
        <f t="shared" si="143"/>
        <v>49226400</v>
      </c>
      <c r="Y199" s="20">
        <f t="shared" si="144"/>
        <v>45124200</v>
      </c>
      <c r="Z199" s="20">
        <f t="shared" si="145"/>
        <v>41022000</v>
      </c>
      <c r="AA199" s="20">
        <f t="shared" si="146"/>
        <v>36919800</v>
      </c>
      <c r="AB199" s="20">
        <f t="shared" si="147"/>
        <v>32817600</v>
      </c>
      <c r="AC199" s="20">
        <f t="shared" si="148"/>
        <v>28715400</v>
      </c>
      <c r="AE199" s="21">
        <f>SUM(I192:I199)</f>
        <v>37278337.5</v>
      </c>
      <c r="AF199" s="21">
        <f>SUM(Q192:Q199)</f>
        <v>573661500</v>
      </c>
      <c r="AG199" s="21">
        <f t="shared" si="149"/>
        <v>44765662.5</v>
      </c>
    </row>
    <row r="200" spans="1:33" x14ac:dyDescent="0.2">
      <c r="A200">
        <v>9</v>
      </c>
      <c r="B200" t="s">
        <v>338</v>
      </c>
      <c r="C200" s="18" t="s">
        <v>104</v>
      </c>
      <c r="D200" s="4">
        <v>3924000000</v>
      </c>
      <c r="E200" s="4">
        <v>5268000000</v>
      </c>
      <c r="F200" s="4">
        <v>7339000000</v>
      </c>
      <c r="G200" s="19">
        <v>20</v>
      </c>
      <c r="H200" s="4">
        <v>90100000</v>
      </c>
      <c r="I200" s="20">
        <f t="shared" si="150"/>
        <v>4505000</v>
      </c>
      <c r="J200" s="20"/>
      <c r="K200" s="20"/>
      <c r="L200" s="20"/>
      <c r="M200" s="20"/>
      <c r="N200" s="20"/>
      <c r="O200" s="20"/>
      <c r="P200" s="20"/>
      <c r="Q200" s="20"/>
      <c r="R200" s="20">
        <f>+H200-I200</f>
        <v>85595000</v>
      </c>
      <c r="S200" s="20">
        <f t="shared" si="138"/>
        <v>81090000</v>
      </c>
      <c r="T200" s="20">
        <f t="shared" si="139"/>
        <v>76585000</v>
      </c>
      <c r="U200" s="20">
        <f t="shared" si="140"/>
        <v>72080000</v>
      </c>
      <c r="V200" s="20">
        <f t="shared" si="141"/>
        <v>67575000</v>
      </c>
      <c r="W200" s="20">
        <f t="shared" si="142"/>
        <v>63070000</v>
      </c>
      <c r="X200" s="20">
        <f t="shared" si="143"/>
        <v>58565000</v>
      </c>
      <c r="Y200" s="20">
        <f t="shared" si="144"/>
        <v>54060000</v>
      </c>
      <c r="Z200" s="20">
        <f t="shared" si="145"/>
        <v>49555000</v>
      </c>
      <c r="AA200" s="20">
        <f t="shared" si="146"/>
        <v>45050000</v>
      </c>
      <c r="AB200" s="20">
        <f t="shared" si="147"/>
        <v>40545000</v>
      </c>
      <c r="AC200" s="20">
        <f t="shared" si="148"/>
        <v>36040000</v>
      </c>
      <c r="AE200" s="21">
        <f>SUM(I192:I200)</f>
        <v>41783337.5</v>
      </c>
      <c r="AF200" s="21">
        <f>SUM(R192:R200)</f>
        <v>621978162.5</v>
      </c>
      <c r="AG200" s="21">
        <f t="shared" si="149"/>
        <v>48316662.5</v>
      </c>
    </row>
    <row r="201" spans="1:33" x14ac:dyDescent="0.2">
      <c r="A201">
        <v>10</v>
      </c>
      <c r="B201" t="s">
        <v>338</v>
      </c>
      <c r="C201" s="18" t="s">
        <v>103</v>
      </c>
      <c r="D201" s="22">
        <f>$D200</f>
        <v>3924000000</v>
      </c>
      <c r="E201" s="22">
        <f>$E200</f>
        <v>5268000000</v>
      </c>
      <c r="F201" s="22">
        <f>$F200</f>
        <v>7339000000</v>
      </c>
      <c r="G201" s="23">
        <f>$G$13</f>
        <v>20</v>
      </c>
      <c r="H201" s="4">
        <v>99533000</v>
      </c>
      <c r="I201" s="20">
        <f t="shared" si="150"/>
        <v>4976650</v>
      </c>
      <c r="J201" s="20"/>
      <c r="K201" s="20"/>
      <c r="L201" s="20"/>
      <c r="M201" s="20"/>
      <c r="N201" s="20"/>
      <c r="O201" s="20"/>
      <c r="P201" s="20"/>
      <c r="Q201" s="20"/>
      <c r="R201" s="20"/>
      <c r="S201" s="20">
        <f>+H201-I201</f>
        <v>94556350</v>
      </c>
      <c r="T201" s="20">
        <f t="shared" si="139"/>
        <v>89579700</v>
      </c>
      <c r="U201" s="20">
        <f t="shared" si="140"/>
        <v>84603050</v>
      </c>
      <c r="V201" s="20">
        <f t="shared" si="141"/>
        <v>79626400</v>
      </c>
      <c r="W201" s="20">
        <f t="shared" si="142"/>
        <v>74649750</v>
      </c>
      <c r="X201" s="20">
        <f t="shared" si="143"/>
        <v>69673100</v>
      </c>
      <c r="Y201" s="20">
        <f t="shared" si="144"/>
        <v>64696450</v>
      </c>
      <c r="Z201" s="20">
        <f t="shared" si="145"/>
        <v>59719800</v>
      </c>
      <c r="AA201" s="20">
        <f t="shared" si="146"/>
        <v>54743150</v>
      </c>
      <c r="AB201" s="20">
        <f t="shared" si="147"/>
        <v>49766500</v>
      </c>
      <c r="AC201" s="20">
        <f t="shared" si="148"/>
        <v>44789850</v>
      </c>
      <c r="AE201" s="21">
        <f>SUM(I192:I201)</f>
        <v>46759987.5</v>
      </c>
      <c r="AF201" s="21">
        <f>SUM(S192:S201)</f>
        <v>674751175</v>
      </c>
      <c r="AG201" s="21">
        <f t="shared" si="149"/>
        <v>52773012.5</v>
      </c>
    </row>
    <row r="202" spans="1:33" x14ac:dyDescent="0.2">
      <c r="A202">
        <v>11</v>
      </c>
      <c r="B202" t="s">
        <v>338</v>
      </c>
      <c r="C202" s="18" t="s">
        <v>102</v>
      </c>
      <c r="D202" s="22">
        <f>$D200</f>
        <v>3924000000</v>
      </c>
      <c r="E202" s="22">
        <f>$E200</f>
        <v>5268000000</v>
      </c>
      <c r="F202" s="22">
        <f>$F200</f>
        <v>7339000000</v>
      </c>
      <c r="G202" s="23">
        <f t="shared" ref="G202:G211" si="151">$G$13</f>
        <v>20</v>
      </c>
      <c r="H202" s="4">
        <v>105708000</v>
      </c>
      <c r="I202" s="20">
        <f t="shared" si="150"/>
        <v>5285400</v>
      </c>
      <c r="J202" s="20"/>
      <c r="K202" s="20"/>
      <c r="L202" s="20"/>
      <c r="M202" s="20"/>
      <c r="N202" s="20"/>
      <c r="O202" s="20"/>
      <c r="P202" s="20"/>
      <c r="Q202" s="20"/>
      <c r="R202" s="20"/>
      <c r="S202" s="20"/>
      <c r="T202" s="20">
        <f>+H202-I202</f>
        <v>100422600</v>
      </c>
      <c r="U202" s="20">
        <f t="shared" si="140"/>
        <v>95137200</v>
      </c>
      <c r="V202" s="20">
        <f t="shared" si="141"/>
        <v>89851800</v>
      </c>
      <c r="W202" s="20">
        <f t="shared" si="142"/>
        <v>84566400</v>
      </c>
      <c r="X202" s="20">
        <f t="shared" si="143"/>
        <v>79281000</v>
      </c>
      <c r="Y202" s="20">
        <f t="shared" si="144"/>
        <v>73995600</v>
      </c>
      <c r="Z202" s="20">
        <f t="shared" si="145"/>
        <v>68710200</v>
      </c>
      <c r="AA202" s="20">
        <f t="shared" si="146"/>
        <v>63424800</v>
      </c>
      <c r="AB202" s="20">
        <f t="shared" si="147"/>
        <v>58139400</v>
      </c>
      <c r="AC202" s="20">
        <f t="shared" si="148"/>
        <v>52854000</v>
      </c>
      <c r="AE202" s="21">
        <f>SUM(I192:I202)</f>
        <v>52045387.5</v>
      </c>
      <c r="AF202" s="21">
        <f>SUM(T192:T202)</f>
        <v>728413787.5</v>
      </c>
      <c r="AG202" s="21">
        <f t="shared" si="149"/>
        <v>53662612.5</v>
      </c>
    </row>
    <row r="203" spans="1:33" x14ac:dyDescent="0.2">
      <c r="A203">
        <v>12</v>
      </c>
      <c r="B203" t="s">
        <v>338</v>
      </c>
      <c r="C203" s="18" t="s">
        <v>101</v>
      </c>
      <c r="D203" s="22">
        <f>$D200</f>
        <v>3924000000</v>
      </c>
      <c r="E203" s="22">
        <f>$E200</f>
        <v>5268000000</v>
      </c>
      <c r="F203" s="22">
        <f>$F200</f>
        <v>7339000000</v>
      </c>
      <c r="G203" s="23">
        <f t="shared" si="151"/>
        <v>20</v>
      </c>
      <c r="H203" s="4">
        <v>109283000</v>
      </c>
      <c r="I203" s="20">
        <f t="shared" si="150"/>
        <v>5464150</v>
      </c>
      <c r="J203" s="20"/>
      <c r="K203" s="20"/>
      <c r="L203" s="20"/>
      <c r="M203" s="20"/>
      <c r="N203" s="20"/>
      <c r="O203" s="20"/>
      <c r="P203" s="20"/>
      <c r="Q203" s="20"/>
      <c r="R203" s="20"/>
      <c r="S203" s="20"/>
      <c r="T203" s="20"/>
      <c r="U203" s="20">
        <f>+H203-I203</f>
        <v>103818850</v>
      </c>
      <c r="V203" s="20">
        <f t="shared" si="141"/>
        <v>98354700</v>
      </c>
      <c r="W203" s="20">
        <f t="shared" si="142"/>
        <v>92890550</v>
      </c>
      <c r="X203" s="20">
        <f t="shared" si="143"/>
        <v>87426400</v>
      </c>
      <c r="Y203" s="20">
        <f t="shared" si="144"/>
        <v>81962250</v>
      </c>
      <c r="Z203" s="20">
        <f t="shared" si="145"/>
        <v>76498100</v>
      </c>
      <c r="AA203" s="20">
        <f t="shared" si="146"/>
        <v>71033950</v>
      </c>
      <c r="AB203" s="20">
        <f t="shared" si="147"/>
        <v>65569800</v>
      </c>
      <c r="AC203" s="20">
        <f t="shared" si="148"/>
        <v>60105650</v>
      </c>
      <c r="AE203" s="21">
        <f>SUM(I192:I203)</f>
        <v>57509537.5</v>
      </c>
      <c r="AF203" s="21">
        <f>SUM(U192:U203)</f>
        <v>780187250</v>
      </c>
      <c r="AG203" s="21">
        <f t="shared" si="149"/>
        <v>51773462.5</v>
      </c>
    </row>
    <row r="204" spans="1:33" x14ac:dyDescent="0.2">
      <c r="A204">
        <v>13</v>
      </c>
      <c r="B204" t="s">
        <v>338</v>
      </c>
      <c r="C204" s="18" t="s">
        <v>100</v>
      </c>
      <c r="D204" s="22">
        <f>$D200</f>
        <v>3924000000</v>
      </c>
      <c r="E204" s="22">
        <f>$E200</f>
        <v>5268000000</v>
      </c>
      <c r="F204" s="22">
        <f>$F200</f>
        <v>7339000000</v>
      </c>
      <c r="G204" s="23">
        <f t="shared" si="151"/>
        <v>20</v>
      </c>
      <c r="H204" s="4">
        <v>110040000</v>
      </c>
      <c r="I204" s="20">
        <f t="shared" si="150"/>
        <v>5502000</v>
      </c>
      <c r="J204" s="20"/>
      <c r="K204" s="20"/>
      <c r="L204" s="20"/>
      <c r="M204" s="20"/>
      <c r="N204" s="20"/>
      <c r="O204" s="20"/>
      <c r="P204" s="20"/>
      <c r="Q204" s="20"/>
      <c r="R204" s="20"/>
      <c r="S204" s="20"/>
      <c r="T204" s="20"/>
      <c r="U204" s="20"/>
      <c r="V204" s="20">
        <f>+H204-I204</f>
        <v>104538000</v>
      </c>
      <c r="W204" s="20">
        <f t="shared" si="142"/>
        <v>99036000</v>
      </c>
      <c r="X204" s="20">
        <f t="shared" si="143"/>
        <v>93534000</v>
      </c>
      <c r="Y204" s="20">
        <f t="shared" si="144"/>
        <v>88032000</v>
      </c>
      <c r="Z204" s="20">
        <f t="shared" si="145"/>
        <v>82530000</v>
      </c>
      <c r="AA204" s="20">
        <f t="shared" si="146"/>
        <v>77028000</v>
      </c>
      <c r="AB204" s="20">
        <f t="shared" si="147"/>
        <v>71526000</v>
      </c>
      <c r="AC204" s="20">
        <f t="shared" si="148"/>
        <v>66024000</v>
      </c>
      <c r="AE204" s="21">
        <f>SUM(I192:I204)</f>
        <v>63011537.5</v>
      </c>
      <c r="AF204" s="21">
        <f>SUM(V192:V204)</f>
        <v>827215712.5</v>
      </c>
      <c r="AG204" s="21">
        <f t="shared" si="149"/>
        <v>47028462.5</v>
      </c>
    </row>
    <row r="205" spans="1:33" x14ac:dyDescent="0.2">
      <c r="A205">
        <v>14</v>
      </c>
      <c r="B205" t="s">
        <v>338</v>
      </c>
      <c r="C205" s="18" t="s">
        <v>99</v>
      </c>
      <c r="D205" s="22">
        <f>$D200</f>
        <v>3924000000</v>
      </c>
      <c r="E205" s="22">
        <f>$E200</f>
        <v>5268000000</v>
      </c>
      <c r="F205" s="22">
        <f>$F200</f>
        <v>7339000000</v>
      </c>
      <c r="G205" s="23">
        <f t="shared" si="151"/>
        <v>20</v>
      </c>
      <c r="H205" s="4">
        <v>108781000</v>
      </c>
      <c r="I205" s="20">
        <f t="shared" si="150"/>
        <v>5439050</v>
      </c>
      <c r="J205" s="20"/>
      <c r="K205" s="20"/>
      <c r="L205" s="20"/>
      <c r="M205" s="20"/>
      <c r="N205" s="20"/>
      <c r="O205" s="20"/>
      <c r="P205" s="20"/>
      <c r="Q205" s="20"/>
      <c r="R205" s="20"/>
      <c r="S205" s="20"/>
      <c r="T205" s="20"/>
      <c r="U205" s="20"/>
      <c r="V205" s="20"/>
      <c r="W205" s="20">
        <f>+H205-I205</f>
        <v>103341950</v>
      </c>
      <c r="X205" s="20">
        <f t="shared" si="143"/>
        <v>97902900</v>
      </c>
      <c r="Y205" s="20">
        <f t="shared" si="144"/>
        <v>92463850</v>
      </c>
      <c r="Z205" s="20">
        <f t="shared" si="145"/>
        <v>87024800</v>
      </c>
      <c r="AA205" s="20">
        <f t="shared" si="146"/>
        <v>81585750</v>
      </c>
      <c r="AB205" s="20">
        <f t="shared" si="147"/>
        <v>76146700</v>
      </c>
      <c r="AC205" s="20">
        <f t="shared" si="148"/>
        <v>70707650</v>
      </c>
      <c r="AE205" s="21">
        <f>SUM(I192:I205)</f>
        <v>68450587.5</v>
      </c>
      <c r="AF205" s="21">
        <f>SUM(W192:W205)</f>
        <v>867546125</v>
      </c>
      <c r="AG205" s="21">
        <f t="shared" si="149"/>
        <v>40330412.5</v>
      </c>
    </row>
    <row r="206" spans="1:33" x14ac:dyDescent="0.2">
      <c r="A206">
        <v>15</v>
      </c>
      <c r="B206" t="s">
        <v>338</v>
      </c>
      <c r="C206" s="18" t="s">
        <v>98</v>
      </c>
      <c r="D206" s="22">
        <f>$D200</f>
        <v>3924000000</v>
      </c>
      <c r="E206" s="22">
        <f>$E200</f>
        <v>5268000000</v>
      </c>
      <c r="F206" s="22">
        <f>$F200</f>
        <v>7339000000</v>
      </c>
      <c r="G206" s="23">
        <f t="shared" si="151"/>
        <v>20</v>
      </c>
      <c r="H206" s="4">
        <v>117555000</v>
      </c>
      <c r="I206" s="20">
        <f t="shared" si="150"/>
        <v>5877750</v>
      </c>
      <c r="J206" s="20"/>
      <c r="K206" s="20"/>
      <c r="L206" s="20"/>
      <c r="M206" s="20"/>
      <c r="N206" s="20"/>
      <c r="O206" s="20"/>
      <c r="P206" s="20"/>
      <c r="Q206" s="20"/>
      <c r="R206" s="20"/>
      <c r="S206" s="20"/>
      <c r="T206" s="20"/>
      <c r="U206" s="20"/>
      <c r="V206" s="20"/>
      <c r="W206" s="20"/>
      <c r="X206" s="20">
        <f>+H206-I206</f>
        <v>111677250</v>
      </c>
      <c r="Y206" s="20">
        <f t="shared" si="144"/>
        <v>105799500</v>
      </c>
      <c r="Z206" s="20">
        <f t="shared" si="145"/>
        <v>99921750</v>
      </c>
      <c r="AA206" s="20">
        <f t="shared" si="146"/>
        <v>94044000</v>
      </c>
      <c r="AB206" s="20">
        <f t="shared" si="147"/>
        <v>88166250</v>
      </c>
      <c r="AC206" s="20">
        <f t="shared" si="148"/>
        <v>82288500</v>
      </c>
      <c r="AE206" s="21">
        <f>SUM(I192:I206)</f>
        <v>74328337.5</v>
      </c>
      <c r="AF206" s="21">
        <f>SUM(X192:X206)</f>
        <v>910772787.5</v>
      </c>
      <c r="AG206" s="21">
        <f t="shared" si="149"/>
        <v>43226662.5</v>
      </c>
    </row>
    <row r="207" spans="1:33" x14ac:dyDescent="0.2">
      <c r="A207">
        <v>16</v>
      </c>
      <c r="B207" t="s">
        <v>338</v>
      </c>
      <c r="C207" s="18" t="s">
        <v>97</v>
      </c>
      <c r="D207" s="22">
        <f>$D200</f>
        <v>3924000000</v>
      </c>
      <c r="E207" s="22">
        <f>$E200</f>
        <v>5268000000</v>
      </c>
      <c r="F207" s="22">
        <f>$F200</f>
        <v>7339000000</v>
      </c>
      <c r="G207" s="23">
        <f t="shared" si="151"/>
        <v>20</v>
      </c>
      <c r="H207" s="4">
        <v>171502000</v>
      </c>
      <c r="I207" s="20">
        <f t="shared" si="150"/>
        <v>8575100</v>
      </c>
      <c r="J207" s="20"/>
      <c r="K207" s="20"/>
      <c r="L207" s="20"/>
      <c r="M207" s="20"/>
      <c r="N207" s="20"/>
      <c r="O207" s="20"/>
      <c r="P207" s="20"/>
      <c r="Q207" s="20"/>
      <c r="R207" s="20"/>
      <c r="S207" s="20"/>
      <c r="T207" s="20"/>
      <c r="U207" s="20"/>
      <c r="V207" s="20"/>
      <c r="W207" s="20"/>
      <c r="X207" s="20"/>
      <c r="Y207" s="20">
        <f>+H207-I207</f>
        <v>162926900</v>
      </c>
      <c r="Z207" s="20">
        <f t="shared" si="145"/>
        <v>154351800</v>
      </c>
      <c r="AA207" s="20">
        <f t="shared" si="146"/>
        <v>145776700</v>
      </c>
      <c r="AB207" s="20">
        <f t="shared" si="147"/>
        <v>137201600</v>
      </c>
      <c r="AC207" s="20">
        <f t="shared" si="148"/>
        <v>128626500</v>
      </c>
      <c r="AE207" s="21">
        <f>SUM(I192:I207)</f>
        <v>82903437.5</v>
      </c>
      <c r="AF207" s="21">
        <f>SUM(Y192:Y207)</f>
        <v>999371350</v>
      </c>
      <c r="AG207" s="21">
        <f t="shared" si="149"/>
        <v>88598562.5</v>
      </c>
    </row>
    <row r="208" spans="1:33" x14ac:dyDescent="0.2">
      <c r="A208">
        <v>17</v>
      </c>
      <c r="B208" t="s">
        <v>338</v>
      </c>
      <c r="C208" s="18" t="s">
        <v>96</v>
      </c>
      <c r="D208" s="22">
        <f>$D200</f>
        <v>3924000000</v>
      </c>
      <c r="E208" s="22">
        <f>$E200</f>
        <v>5268000000</v>
      </c>
      <c r="F208" s="22">
        <f>$F200</f>
        <v>7339000000</v>
      </c>
      <c r="G208" s="23">
        <f t="shared" si="151"/>
        <v>20</v>
      </c>
      <c r="H208" s="4">
        <v>134889000</v>
      </c>
      <c r="I208" s="20">
        <f t="shared" si="150"/>
        <v>6744450</v>
      </c>
      <c r="J208" s="20"/>
      <c r="K208" s="20"/>
      <c r="L208" s="20"/>
      <c r="M208" s="20"/>
      <c r="N208" s="20"/>
      <c r="O208" s="20"/>
      <c r="P208" s="20"/>
      <c r="Q208" s="20"/>
      <c r="R208" s="20"/>
      <c r="S208" s="20"/>
      <c r="T208" s="20"/>
      <c r="U208" s="20"/>
      <c r="V208" s="20"/>
      <c r="W208" s="20"/>
      <c r="X208" s="20"/>
      <c r="Y208" s="20"/>
      <c r="Z208" s="20">
        <f>+H208-I208</f>
        <v>128144550</v>
      </c>
      <c r="AA208" s="20">
        <f t="shared" si="146"/>
        <v>121400100</v>
      </c>
      <c r="AB208" s="20">
        <f t="shared" si="147"/>
        <v>114655650</v>
      </c>
      <c r="AC208" s="20">
        <f t="shared" si="148"/>
        <v>107911200</v>
      </c>
      <c r="AE208" s="21">
        <f>SUM(I192:I208)</f>
        <v>89647887.5</v>
      </c>
      <c r="AF208" s="21">
        <f>SUM(Z192:Z208)</f>
        <v>1044612462.5</v>
      </c>
      <c r="AG208" s="21">
        <f t="shared" si="149"/>
        <v>45241112.5</v>
      </c>
    </row>
    <row r="209" spans="1:33" x14ac:dyDescent="0.2">
      <c r="A209">
        <v>18</v>
      </c>
      <c r="B209" t="s">
        <v>338</v>
      </c>
      <c r="C209" s="18" t="s">
        <v>95</v>
      </c>
      <c r="D209" s="22">
        <f>$D200</f>
        <v>3924000000</v>
      </c>
      <c r="E209" s="22">
        <f>$E200</f>
        <v>5268000000</v>
      </c>
      <c r="F209" s="22">
        <f>$F200</f>
        <v>7339000000</v>
      </c>
      <c r="G209" s="23">
        <f t="shared" si="151"/>
        <v>20</v>
      </c>
      <c r="H209" s="4">
        <v>135043000</v>
      </c>
      <c r="I209" s="20">
        <f t="shared" si="150"/>
        <v>6752150</v>
      </c>
      <c r="J209" s="20"/>
      <c r="K209" s="20"/>
      <c r="L209" s="20"/>
      <c r="M209" s="20"/>
      <c r="N209" s="20"/>
      <c r="O209" s="20"/>
      <c r="P209" s="20"/>
      <c r="Q209" s="20"/>
      <c r="R209" s="20"/>
      <c r="S209" s="20"/>
      <c r="T209" s="20"/>
      <c r="U209" s="20"/>
      <c r="V209" s="20"/>
      <c r="W209" s="20"/>
      <c r="X209" s="20"/>
      <c r="Y209" s="20"/>
      <c r="Z209" s="20"/>
      <c r="AA209" s="20">
        <f>+H209-I209</f>
        <v>128290850</v>
      </c>
      <c r="AB209" s="20">
        <f t="shared" si="147"/>
        <v>121538700</v>
      </c>
      <c r="AC209" s="20">
        <f t="shared" si="148"/>
        <v>114786550</v>
      </c>
      <c r="AE209" s="21">
        <f>SUM(I192:I209)</f>
        <v>96400037.5</v>
      </c>
      <c r="AF209" s="21">
        <f>SUM(AA192:AA209)</f>
        <v>1083255425</v>
      </c>
      <c r="AG209" s="21">
        <f t="shared" si="149"/>
        <v>38642962.5</v>
      </c>
    </row>
    <row r="210" spans="1:33" x14ac:dyDescent="0.2">
      <c r="A210">
        <v>19</v>
      </c>
      <c r="B210" t="s">
        <v>338</v>
      </c>
      <c r="C210" s="18" t="s">
        <v>94</v>
      </c>
      <c r="D210" s="22">
        <f>$D200</f>
        <v>3924000000</v>
      </c>
      <c r="E210" s="22">
        <f>$E200</f>
        <v>5268000000</v>
      </c>
      <c r="F210" s="22">
        <f>$F200</f>
        <v>7339000000</v>
      </c>
      <c r="G210" s="23">
        <f t="shared" si="151"/>
        <v>20</v>
      </c>
      <c r="H210" s="4">
        <v>144191000</v>
      </c>
      <c r="I210" s="20">
        <f t="shared" si="150"/>
        <v>7209550</v>
      </c>
      <c r="J210" s="20"/>
      <c r="K210" s="20"/>
      <c r="L210" s="20"/>
      <c r="M210" s="20"/>
      <c r="N210" s="20"/>
      <c r="O210" s="20"/>
      <c r="P210" s="20"/>
      <c r="Q210" s="20"/>
      <c r="R210" s="20"/>
      <c r="S210" s="20"/>
      <c r="T210" s="20"/>
      <c r="U210" s="20"/>
      <c r="V210" s="20"/>
      <c r="W210" s="20"/>
      <c r="X210" s="20"/>
      <c r="Y210" s="20"/>
      <c r="Z210" s="20"/>
      <c r="AA210" s="20"/>
      <c r="AB210" s="20">
        <f>+H210-I210</f>
        <v>136981450</v>
      </c>
      <c r="AC210" s="20">
        <f t="shared" si="148"/>
        <v>129771900</v>
      </c>
      <c r="AE210" s="21">
        <f>SUM(I192:I210)</f>
        <v>103609587.5</v>
      </c>
      <c r="AF210" s="21">
        <f>SUM(AB192:AB210)</f>
        <v>1123836837.5</v>
      </c>
      <c r="AG210" s="21">
        <f t="shared" si="149"/>
        <v>40581412.5</v>
      </c>
    </row>
    <row r="211" spans="1:33" x14ac:dyDescent="0.2">
      <c r="A211">
        <v>20</v>
      </c>
      <c r="B211" t="s">
        <v>338</v>
      </c>
      <c r="C211" s="18" t="s">
        <v>93</v>
      </c>
      <c r="D211" s="22">
        <f>$D200</f>
        <v>3924000000</v>
      </c>
      <c r="E211" s="22">
        <f>$E200</f>
        <v>5268000000</v>
      </c>
      <c r="F211" s="22">
        <f>$F200</f>
        <v>7339000000</v>
      </c>
      <c r="G211" s="23">
        <f t="shared" si="151"/>
        <v>20</v>
      </c>
      <c r="H211" s="4">
        <v>143554000</v>
      </c>
      <c r="I211" s="20">
        <f t="shared" si="150"/>
        <v>7177700</v>
      </c>
      <c r="J211" s="20"/>
      <c r="K211" s="20"/>
      <c r="L211" s="20"/>
      <c r="M211" s="20"/>
      <c r="N211" s="20"/>
      <c r="O211" s="20"/>
      <c r="P211" s="20"/>
      <c r="Q211" s="20"/>
      <c r="R211" s="20"/>
      <c r="S211" s="20"/>
      <c r="T211" s="20"/>
      <c r="U211" s="20"/>
      <c r="V211" s="20"/>
      <c r="W211" s="20"/>
      <c r="X211" s="20"/>
      <c r="Y211" s="20"/>
      <c r="Z211" s="20"/>
      <c r="AA211" s="20"/>
      <c r="AB211" s="20"/>
      <c r="AC211" s="20">
        <f>+H211-I211</f>
        <v>136376300</v>
      </c>
      <c r="AE211" s="21">
        <f>SUM(I192:I211)</f>
        <v>110787287.5</v>
      </c>
      <c r="AF211" s="21">
        <f>SUM(AC192:AC211)</f>
        <v>1156603550</v>
      </c>
      <c r="AG211" s="21">
        <f t="shared" si="149"/>
        <v>32766712.5</v>
      </c>
    </row>
    <row r="214" spans="1:33" x14ac:dyDescent="0.2">
      <c r="C214" t="s">
        <v>338</v>
      </c>
    </row>
    <row r="215" spans="1:33" x14ac:dyDescent="0.2">
      <c r="C215" s="6" t="s">
        <v>107</v>
      </c>
      <c r="D215" s="6" t="s">
        <v>438</v>
      </c>
      <c r="E215" s="6" t="s">
        <v>439</v>
      </c>
      <c r="F215" s="6" t="s">
        <v>440</v>
      </c>
      <c r="G215" s="6" t="s">
        <v>441</v>
      </c>
      <c r="H215" s="6" t="s">
        <v>442</v>
      </c>
      <c r="I215" s="15"/>
      <c r="J215" s="6" t="s">
        <v>443</v>
      </c>
      <c r="K215" s="6" t="s">
        <v>444</v>
      </c>
      <c r="L215" s="6" t="s">
        <v>445</v>
      </c>
      <c r="M215" s="6" t="s">
        <v>446</v>
      </c>
      <c r="N215" s="6" t="s">
        <v>447</v>
      </c>
      <c r="O215" s="6" t="s">
        <v>448</v>
      </c>
      <c r="P215" s="6" t="s">
        <v>449</v>
      </c>
      <c r="Q215" s="6" t="s">
        <v>450</v>
      </c>
      <c r="R215" s="6" t="s">
        <v>451</v>
      </c>
      <c r="S215" s="6" t="s">
        <v>452</v>
      </c>
      <c r="T215" s="6" t="s">
        <v>453</v>
      </c>
      <c r="U215" s="6" t="s">
        <v>454</v>
      </c>
      <c r="V215" s="6" t="s">
        <v>455</v>
      </c>
      <c r="W215" s="6" t="s">
        <v>456</v>
      </c>
      <c r="X215" s="6" t="s">
        <v>457</v>
      </c>
      <c r="Y215" s="6" t="s">
        <v>458</v>
      </c>
      <c r="Z215" s="6" t="s">
        <v>459</v>
      </c>
      <c r="AA215" s="6" t="s">
        <v>460</v>
      </c>
      <c r="AB215" s="6" t="s">
        <v>461</v>
      </c>
      <c r="AC215" s="6" t="s">
        <v>462</v>
      </c>
      <c r="AD215" s="15"/>
      <c r="AE215" s="6" t="s">
        <v>106</v>
      </c>
      <c r="AF215" s="6" t="s">
        <v>105</v>
      </c>
      <c r="AG215" s="6" t="s">
        <v>463</v>
      </c>
    </row>
    <row r="216" spans="1:33" x14ac:dyDescent="0.2">
      <c r="C216" s="16" t="s">
        <v>464</v>
      </c>
      <c r="J216" s="17">
        <v>20</v>
      </c>
      <c r="K216" s="17">
        <v>19</v>
      </c>
      <c r="L216" s="17">
        <v>18</v>
      </c>
      <c r="M216" s="17">
        <v>17</v>
      </c>
      <c r="N216" s="17">
        <v>16</v>
      </c>
      <c r="O216" s="17">
        <v>15</v>
      </c>
      <c r="P216" s="17">
        <v>14</v>
      </c>
      <c r="Q216" s="17">
        <v>13</v>
      </c>
      <c r="R216" s="17">
        <v>12</v>
      </c>
      <c r="S216" s="17">
        <v>11</v>
      </c>
      <c r="T216" s="17">
        <v>10</v>
      </c>
      <c r="U216" s="17">
        <v>9</v>
      </c>
      <c r="V216" s="17">
        <v>8</v>
      </c>
      <c r="W216" s="17">
        <v>7</v>
      </c>
      <c r="X216" s="17">
        <v>6</v>
      </c>
      <c r="Y216" s="17">
        <v>5</v>
      </c>
      <c r="Z216" s="17">
        <v>4</v>
      </c>
      <c r="AA216" s="17">
        <v>3</v>
      </c>
      <c r="AB216" s="17">
        <v>2</v>
      </c>
      <c r="AC216" s="17">
        <v>1</v>
      </c>
    </row>
    <row r="217" spans="1:33" x14ac:dyDescent="0.2">
      <c r="B217" t="s">
        <v>338</v>
      </c>
      <c r="C217" s="5" t="s">
        <v>104</v>
      </c>
      <c r="D217" s="4">
        <v>560660000</v>
      </c>
      <c r="E217" s="4">
        <v>387487000</v>
      </c>
      <c r="F217" s="4">
        <v>359679000</v>
      </c>
      <c r="G217" s="19">
        <v>20</v>
      </c>
      <c r="H217" s="4">
        <v>90100000</v>
      </c>
      <c r="J217" s="20">
        <f t="shared" ref="J217:J228" si="152">H217</f>
        <v>90100000</v>
      </c>
      <c r="K217" s="20">
        <f>$F217/4</f>
        <v>89919750</v>
      </c>
      <c r="L217" s="20">
        <f>$F217/4</f>
        <v>89919750</v>
      </c>
      <c r="M217" s="20">
        <f>$F217/4</f>
        <v>89919750</v>
      </c>
      <c r="N217" s="20">
        <f>$F217/4</f>
        <v>89919750</v>
      </c>
      <c r="O217" s="20">
        <f>$E217/4</f>
        <v>96871750</v>
      </c>
      <c r="P217" s="20">
        <f>$E217/4</f>
        <v>96871750</v>
      </c>
      <c r="Q217" s="20">
        <f>$E217/4</f>
        <v>96871750</v>
      </c>
      <c r="R217" s="20">
        <f>$E217/4</f>
        <v>96871750</v>
      </c>
      <c r="S217" s="20">
        <f>$D217/4</f>
        <v>140165000</v>
      </c>
      <c r="T217" s="20">
        <f>$D217/4</f>
        <v>140165000</v>
      </c>
      <c r="U217" s="20">
        <f>$D217/4</f>
        <v>140165000</v>
      </c>
      <c r="V217" s="20">
        <f>$D217/4</f>
        <v>140165000</v>
      </c>
      <c r="W217" s="20">
        <v>0</v>
      </c>
      <c r="X217" s="20">
        <v>0</v>
      </c>
      <c r="Y217" s="20">
        <v>0</v>
      </c>
      <c r="Z217" s="20">
        <v>0</v>
      </c>
      <c r="AA217" s="20">
        <v>0</v>
      </c>
      <c r="AB217" s="20">
        <v>0</v>
      </c>
      <c r="AC217" s="20">
        <v>0</v>
      </c>
      <c r="AE217" s="21">
        <f>SUM(J217:AC217)/$G217</f>
        <v>69896300</v>
      </c>
      <c r="AF217" s="21">
        <f>SUMPRODUCT($J$216:$AC$216,J217:AC217)/$G217</f>
        <v>932686350</v>
      </c>
      <c r="AG217" s="21">
        <f t="shared" ref="AG217:AG228" si="153">H217-AE217</f>
        <v>20203700</v>
      </c>
    </row>
    <row r="218" spans="1:33" x14ac:dyDescent="0.2">
      <c r="B218" t="s">
        <v>338</v>
      </c>
      <c r="C218" s="5" t="s">
        <v>103</v>
      </c>
      <c r="D218" s="22">
        <f>$D217</f>
        <v>560660000</v>
      </c>
      <c r="E218" s="22">
        <f>$E217</f>
        <v>387487000</v>
      </c>
      <c r="F218" s="22">
        <f>$F217</f>
        <v>359679000</v>
      </c>
      <c r="G218" s="23">
        <f>$G$217</f>
        <v>20</v>
      </c>
      <c r="H218" s="4">
        <v>99533000</v>
      </c>
      <c r="J218" s="20">
        <f t="shared" si="152"/>
        <v>99533000</v>
      </c>
      <c r="K218" s="20">
        <f t="shared" ref="K218:K228" si="154">H217</f>
        <v>90100000</v>
      </c>
      <c r="L218" s="20">
        <f>$F217/4</f>
        <v>89919750</v>
      </c>
      <c r="M218" s="20">
        <f>$F217/4</f>
        <v>89919750</v>
      </c>
      <c r="N218" s="20">
        <f>$F217/4</f>
        <v>89919750</v>
      </c>
      <c r="O218" s="20">
        <f>$F217/4</f>
        <v>89919750</v>
      </c>
      <c r="P218" s="20">
        <f>$E217/4</f>
        <v>96871750</v>
      </c>
      <c r="Q218" s="20">
        <f>$E217/4</f>
        <v>96871750</v>
      </c>
      <c r="R218" s="20">
        <f>$E217/4</f>
        <v>96871750</v>
      </c>
      <c r="S218" s="20">
        <f>$E217/4</f>
        <v>96871750</v>
      </c>
      <c r="T218" s="20">
        <f>$D217/4</f>
        <v>140165000</v>
      </c>
      <c r="U218" s="20">
        <f>$D217/4</f>
        <v>140165000</v>
      </c>
      <c r="V218" s="20">
        <f>$D217/4</f>
        <v>140165000</v>
      </c>
      <c r="W218" s="20">
        <f>$D217/4</f>
        <v>140165000</v>
      </c>
      <c r="X218" s="20">
        <v>0</v>
      </c>
      <c r="Y218" s="20">
        <v>0</v>
      </c>
      <c r="Z218" s="20">
        <v>0</v>
      </c>
      <c r="AA218" s="20">
        <v>0</v>
      </c>
      <c r="AB218" s="20">
        <v>0</v>
      </c>
      <c r="AC218" s="20">
        <v>0</v>
      </c>
      <c r="AE218" s="21">
        <f t="shared" ref="AE218:AE228" si="155">SUM(J218:AC218)/$G218</f>
        <v>74872950</v>
      </c>
      <c r="AF218" s="21">
        <f t="shared" ref="AF218:AF228" si="156">SUMPRODUCT($J$216:$AC$216,J218:AC218)/$G218</f>
        <v>962323050</v>
      </c>
      <c r="AG218" s="21">
        <f t="shared" si="153"/>
        <v>24660050</v>
      </c>
    </row>
    <row r="219" spans="1:33" x14ac:dyDescent="0.2">
      <c r="B219" t="s">
        <v>338</v>
      </c>
      <c r="C219" s="5" t="s">
        <v>102</v>
      </c>
      <c r="D219" s="22">
        <f>$D217</f>
        <v>560660000</v>
      </c>
      <c r="E219" s="22">
        <f>$E217</f>
        <v>387487000</v>
      </c>
      <c r="F219" s="22">
        <f>$F217</f>
        <v>359679000</v>
      </c>
      <c r="G219" s="23">
        <f t="shared" ref="G219:G228" si="157">$G$217</f>
        <v>20</v>
      </c>
      <c r="H219" s="4">
        <v>105708000</v>
      </c>
      <c r="J219" s="20">
        <f t="shared" si="152"/>
        <v>105708000</v>
      </c>
      <c r="K219" s="20">
        <f t="shared" si="154"/>
        <v>99533000</v>
      </c>
      <c r="L219" s="20">
        <f t="shared" ref="L219:L228" si="158">H217</f>
        <v>90100000</v>
      </c>
      <c r="M219" s="20">
        <f>$F217/4</f>
        <v>89919750</v>
      </c>
      <c r="N219" s="20">
        <f>$F217/4</f>
        <v>89919750</v>
      </c>
      <c r="O219" s="20">
        <f>$F217/4</f>
        <v>89919750</v>
      </c>
      <c r="P219" s="20">
        <f>$F217/4</f>
        <v>89919750</v>
      </c>
      <c r="Q219" s="20">
        <f>$E217/4</f>
        <v>96871750</v>
      </c>
      <c r="R219" s="20">
        <f>$E217/4</f>
        <v>96871750</v>
      </c>
      <c r="S219" s="20">
        <f>$E217/4</f>
        <v>96871750</v>
      </c>
      <c r="T219" s="20">
        <f>$E217/4</f>
        <v>96871750</v>
      </c>
      <c r="U219" s="20">
        <f>$D217/4</f>
        <v>140165000</v>
      </c>
      <c r="V219" s="20">
        <f>$D217/4</f>
        <v>140165000</v>
      </c>
      <c r="W219" s="20">
        <f>$D217/4</f>
        <v>140165000</v>
      </c>
      <c r="X219" s="20">
        <f>$D217/4</f>
        <v>140165000</v>
      </c>
      <c r="Y219" s="20">
        <v>0</v>
      </c>
      <c r="Z219" s="20">
        <v>0</v>
      </c>
      <c r="AA219" s="20">
        <v>0</v>
      </c>
      <c r="AB219" s="20">
        <v>0</v>
      </c>
      <c r="AC219" s="20">
        <v>0</v>
      </c>
      <c r="AE219" s="21">
        <f t="shared" si="155"/>
        <v>80158350</v>
      </c>
      <c r="AF219" s="21">
        <f t="shared" si="156"/>
        <v>993158100</v>
      </c>
      <c r="AG219" s="21">
        <f t="shared" si="153"/>
        <v>25549650</v>
      </c>
    </row>
    <row r="220" spans="1:33" x14ac:dyDescent="0.2">
      <c r="B220" t="s">
        <v>338</v>
      </c>
      <c r="C220" s="5" t="s">
        <v>101</v>
      </c>
      <c r="D220" s="22">
        <f>$D217</f>
        <v>560660000</v>
      </c>
      <c r="E220" s="22">
        <f>$E217</f>
        <v>387487000</v>
      </c>
      <c r="F220" s="22">
        <f>$F217</f>
        <v>359679000</v>
      </c>
      <c r="G220" s="23">
        <f t="shared" si="157"/>
        <v>20</v>
      </c>
      <c r="H220" s="4">
        <v>109283000</v>
      </c>
      <c r="J220" s="20">
        <f t="shared" si="152"/>
        <v>109283000</v>
      </c>
      <c r="K220" s="20">
        <f t="shared" si="154"/>
        <v>105708000</v>
      </c>
      <c r="L220" s="20">
        <f t="shared" si="158"/>
        <v>99533000</v>
      </c>
      <c r="M220" s="20">
        <f t="shared" ref="M220:M228" si="159">H217</f>
        <v>90100000</v>
      </c>
      <c r="N220" s="20">
        <f>$F217/4</f>
        <v>89919750</v>
      </c>
      <c r="O220" s="20">
        <f>$F217/4</f>
        <v>89919750</v>
      </c>
      <c r="P220" s="20">
        <f>$F217/4</f>
        <v>89919750</v>
      </c>
      <c r="Q220" s="20">
        <f>$F217/4</f>
        <v>89919750</v>
      </c>
      <c r="R220" s="20">
        <f>$E217/4</f>
        <v>96871750</v>
      </c>
      <c r="S220" s="20">
        <f>$E217/4</f>
        <v>96871750</v>
      </c>
      <c r="T220" s="20">
        <f>$E217/4</f>
        <v>96871750</v>
      </c>
      <c r="U220" s="20">
        <f>$E217/4</f>
        <v>96871750</v>
      </c>
      <c r="V220" s="20">
        <f>$D217/4</f>
        <v>140165000</v>
      </c>
      <c r="W220" s="20">
        <f>$D217/4</f>
        <v>140165000</v>
      </c>
      <c r="X220" s="20">
        <f>$D217/4</f>
        <v>140165000</v>
      </c>
      <c r="Y220" s="20">
        <f>$D217/4</f>
        <v>140165000</v>
      </c>
      <c r="Z220" s="20">
        <v>0</v>
      </c>
      <c r="AA220" s="20">
        <v>0</v>
      </c>
      <c r="AB220" s="20">
        <v>0</v>
      </c>
      <c r="AC220" s="20">
        <v>0</v>
      </c>
      <c r="AE220" s="21">
        <f t="shared" si="155"/>
        <v>85622500</v>
      </c>
      <c r="AF220" s="21">
        <f t="shared" si="156"/>
        <v>1022282750</v>
      </c>
      <c r="AG220" s="21">
        <f t="shared" si="153"/>
        <v>23660500</v>
      </c>
    </row>
    <row r="221" spans="1:33" x14ac:dyDescent="0.2">
      <c r="B221" t="s">
        <v>338</v>
      </c>
      <c r="C221" s="5" t="s">
        <v>100</v>
      </c>
      <c r="D221" s="22">
        <f>$D217</f>
        <v>560660000</v>
      </c>
      <c r="E221" s="22">
        <f>$E217</f>
        <v>387487000</v>
      </c>
      <c r="F221" s="22">
        <f>$F217</f>
        <v>359679000</v>
      </c>
      <c r="G221" s="23">
        <f t="shared" si="157"/>
        <v>20</v>
      </c>
      <c r="H221" s="4">
        <v>110040000</v>
      </c>
      <c r="J221" s="20">
        <f t="shared" si="152"/>
        <v>110040000</v>
      </c>
      <c r="K221" s="20">
        <f t="shared" si="154"/>
        <v>109283000</v>
      </c>
      <c r="L221" s="20">
        <f t="shared" si="158"/>
        <v>105708000</v>
      </c>
      <c r="M221" s="20">
        <f t="shared" si="159"/>
        <v>99533000</v>
      </c>
      <c r="N221" s="20">
        <f t="shared" ref="N221:N228" si="160">H217</f>
        <v>90100000</v>
      </c>
      <c r="O221" s="20">
        <f>$F217/4</f>
        <v>89919750</v>
      </c>
      <c r="P221" s="20">
        <f>$F217/4</f>
        <v>89919750</v>
      </c>
      <c r="Q221" s="20">
        <f>$F217/4</f>
        <v>89919750</v>
      </c>
      <c r="R221" s="20">
        <f>$F217/4</f>
        <v>89919750</v>
      </c>
      <c r="S221" s="20">
        <f>$E217/4</f>
        <v>96871750</v>
      </c>
      <c r="T221" s="20">
        <f>$E217/4</f>
        <v>96871750</v>
      </c>
      <c r="U221" s="20">
        <f>$E217/4</f>
        <v>96871750</v>
      </c>
      <c r="V221" s="20">
        <f>$E217/4</f>
        <v>96871750</v>
      </c>
      <c r="W221" s="20">
        <f>$D217/4</f>
        <v>140165000</v>
      </c>
      <c r="X221" s="20">
        <f>$D217/4</f>
        <v>140165000</v>
      </c>
      <c r="Y221" s="20">
        <f>$D217/4</f>
        <v>140165000</v>
      </c>
      <c r="Z221" s="20">
        <f>$D217/4</f>
        <v>140165000</v>
      </c>
      <c r="AA221" s="20">
        <v>0</v>
      </c>
      <c r="AB221" s="20">
        <v>0</v>
      </c>
      <c r="AC221" s="20">
        <v>0</v>
      </c>
      <c r="AE221" s="21">
        <f t="shared" si="155"/>
        <v>91124500</v>
      </c>
      <c r="AF221" s="21">
        <f t="shared" si="156"/>
        <v>1046700250</v>
      </c>
      <c r="AG221" s="21">
        <f t="shared" si="153"/>
        <v>18915500</v>
      </c>
    </row>
    <row r="222" spans="1:33" x14ac:dyDescent="0.2">
      <c r="B222" t="s">
        <v>338</v>
      </c>
      <c r="C222" s="5" t="s">
        <v>99</v>
      </c>
      <c r="D222" s="22">
        <f>$D217</f>
        <v>560660000</v>
      </c>
      <c r="E222" s="22">
        <f>$E217</f>
        <v>387487000</v>
      </c>
      <c r="F222" s="22">
        <f>$F217</f>
        <v>359679000</v>
      </c>
      <c r="G222" s="23">
        <f t="shared" si="157"/>
        <v>20</v>
      </c>
      <c r="H222" s="4">
        <v>108781000</v>
      </c>
      <c r="J222" s="20">
        <f t="shared" si="152"/>
        <v>108781000</v>
      </c>
      <c r="K222" s="20">
        <f t="shared" si="154"/>
        <v>110040000</v>
      </c>
      <c r="L222" s="20">
        <f t="shared" si="158"/>
        <v>109283000</v>
      </c>
      <c r="M222" s="20">
        <f t="shared" si="159"/>
        <v>105708000</v>
      </c>
      <c r="N222" s="20">
        <f t="shared" si="160"/>
        <v>99533000</v>
      </c>
      <c r="O222" s="20">
        <f t="shared" ref="O222:O228" si="161">H217</f>
        <v>90100000</v>
      </c>
      <c r="P222" s="20">
        <f>$F217/4</f>
        <v>89919750</v>
      </c>
      <c r="Q222" s="20">
        <f>$F217/4</f>
        <v>89919750</v>
      </c>
      <c r="R222" s="20">
        <f>$F217/4</f>
        <v>89919750</v>
      </c>
      <c r="S222" s="20">
        <f>$F217/4</f>
        <v>89919750</v>
      </c>
      <c r="T222" s="20">
        <f>$E217/4</f>
        <v>96871750</v>
      </c>
      <c r="U222" s="20">
        <f>$E217/4</f>
        <v>96871750</v>
      </c>
      <c r="V222" s="20">
        <f>$E217/4</f>
        <v>96871750</v>
      </c>
      <c r="W222" s="20">
        <f>$E217/4</f>
        <v>96871750</v>
      </c>
      <c r="X222" s="20">
        <f>$D217/4</f>
        <v>140165000</v>
      </c>
      <c r="Y222" s="20">
        <f>$D217/4</f>
        <v>140165000</v>
      </c>
      <c r="Z222" s="20">
        <f>$D217/4</f>
        <v>140165000</v>
      </c>
      <c r="AA222" s="20">
        <f>$D217/4</f>
        <v>140165000</v>
      </c>
      <c r="AB222" s="20">
        <v>0</v>
      </c>
      <c r="AC222" s="20">
        <v>0</v>
      </c>
      <c r="AE222" s="21">
        <f t="shared" si="155"/>
        <v>96563550</v>
      </c>
      <c r="AF222" s="21">
        <f t="shared" si="156"/>
        <v>1064356750</v>
      </c>
      <c r="AG222" s="21">
        <f t="shared" si="153"/>
        <v>12217450</v>
      </c>
    </row>
    <row r="223" spans="1:33" x14ac:dyDescent="0.2">
      <c r="B223" t="s">
        <v>338</v>
      </c>
      <c r="C223" s="5" t="s">
        <v>98</v>
      </c>
      <c r="D223" s="22">
        <f>$D217</f>
        <v>560660000</v>
      </c>
      <c r="E223" s="22">
        <f>$E217</f>
        <v>387487000</v>
      </c>
      <c r="F223" s="22">
        <f>$F217</f>
        <v>359679000</v>
      </c>
      <c r="G223" s="23">
        <f t="shared" si="157"/>
        <v>20</v>
      </c>
      <c r="H223" s="4">
        <v>117555000</v>
      </c>
      <c r="J223" s="20">
        <f t="shared" si="152"/>
        <v>117555000</v>
      </c>
      <c r="K223" s="20">
        <f t="shared" si="154"/>
        <v>108781000</v>
      </c>
      <c r="L223" s="20">
        <f t="shared" si="158"/>
        <v>110040000</v>
      </c>
      <c r="M223" s="20">
        <f t="shared" si="159"/>
        <v>109283000</v>
      </c>
      <c r="N223" s="20">
        <f t="shared" si="160"/>
        <v>105708000</v>
      </c>
      <c r="O223" s="20">
        <f t="shared" si="161"/>
        <v>99533000</v>
      </c>
      <c r="P223" s="20">
        <f t="shared" ref="P223:P228" si="162">H217</f>
        <v>90100000</v>
      </c>
      <c r="Q223" s="20">
        <f>$F217/4</f>
        <v>89919750</v>
      </c>
      <c r="R223" s="20">
        <f>$F217/4</f>
        <v>89919750</v>
      </c>
      <c r="S223" s="20">
        <f>$F217/4</f>
        <v>89919750</v>
      </c>
      <c r="T223" s="20">
        <f>$F217/4</f>
        <v>89919750</v>
      </c>
      <c r="U223" s="20">
        <f>$E217/4</f>
        <v>96871750</v>
      </c>
      <c r="V223" s="20">
        <f>$E217/4</f>
        <v>96871750</v>
      </c>
      <c r="W223" s="20">
        <f>$E217/4</f>
        <v>96871750</v>
      </c>
      <c r="X223" s="20">
        <f>$E217/4</f>
        <v>96871750</v>
      </c>
      <c r="Y223" s="20">
        <f>$D217/4</f>
        <v>140165000</v>
      </c>
      <c r="Z223" s="20">
        <f>$D217/4</f>
        <v>140165000</v>
      </c>
      <c r="AA223" s="20">
        <f>$D217/4</f>
        <v>140165000</v>
      </c>
      <c r="AB223" s="20">
        <f>$D217/4</f>
        <v>140165000</v>
      </c>
      <c r="AC223" s="20">
        <v>0</v>
      </c>
      <c r="AE223" s="21">
        <f t="shared" si="155"/>
        <v>102441300</v>
      </c>
      <c r="AF223" s="21">
        <f t="shared" si="156"/>
        <v>1085348200</v>
      </c>
      <c r="AG223" s="21">
        <f t="shared" si="153"/>
        <v>15113700</v>
      </c>
    </row>
    <row r="224" spans="1:33" x14ac:dyDescent="0.2">
      <c r="B224" t="s">
        <v>338</v>
      </c>
      <c r="C224" s="5" t="s">
        <v>97</v>
      </c>
      <c r="D224" s="22">
        <f>$D217</f>
        <v>560660000</v>
      </c>
      <c r="E224" s="22">
        <f>$E217</f>
        <v>387487000</v>
      </c>
      <c r="F224" s="22">
        <f>$F217</f>
        <v>359679000</v>
      </c>
      <c r="G224" s="23">
        <f t="shared" si="157"/>
        <v>20</v>
      </c>
      <c r="H224" s="4">
        <v>171502000</v>
      </c>
      <c r="J224" s="20">
        <f t="shared" si="152"/>
        <v>171502000</v>
      </c>
      <c r="K224" s="20">
        <f t="shared" si="154"/>
        <v>117555000</v>
      </c>
      <c r="L224" s="20">
        <f t="shared" si="158"/>
        <v>108781000</v>
      </c>
      <c r="M224" s="20">
        <f t="shared" si="159"/>
        <v>110040000</v>
      </c>
      <c r="N224" s="20">
        <f t="shared" si="160"/>
        <v>109283000</v>
      </c>
      <c r="O224" s="20">
        <f t="shared" si="161"/>
        <v>105708000</v>
      </c>
      <c r="P224" s="20">
        <f t="shared" si="162"/>
        <v>99533000</v>
      </c>
      <c r="Q224" s="20">
        <f>H217</f>
        <v>90100000</v>
      </c>
      <c r="R224" s="20">
        <f>$F217/4</f>
        <v>89919750</v>
      </c>
      <c r="S224" s="20">
        <f>$F217/4</f>
        <v>89919750</v>
      </c>
      <c r="T224" s="20">
        <f>$F217/4</f>
        <v>89919750</v>
      </c>
      <c r="U224" s="20">
        <f>$F217/4</f>
        <v>89919750</v>
      </c>
      <c r="V224" s="20">
        <f>$E217/4</f>
        <v>96871750</v>
      </c>
      <c r="W224" s="20">
        <f>$E217/4</f>
        <v>96871750</v>
      </c>
      <c r="X224" s="20">
        <f>$E217/4</f>
        <v>96871750</v>
      </c>
      <c r="Y224" s="20">
        <f>$E217/4</f>
        <v>96871750</v>
      </c>
      <c r="Z224" s="20">
        <f>$D217/4</f>
        <v>140165000</v>
      </c>
      <c r="AA224" s="20">
        <f>$D217/4</f>
        <v>140165000</v>
      </c>
      <c r="AB224" s="20">
        <f>$D217/4</f>
        <v>140165000</v>
      </c>
      <c r="AC224" s="20">
        <f>$D217/4</f>
        <v>140165000</v>
      </c>
      <c r="AE224" s="21">
        <f t="shared" si="155"/>
        <v>111016400</v>
      </c>
      <c r="AF224" s="21">
        <f t="shared" si="156"/>
        <v>1154408900</v>
      </c>
      <c r="AG224" s="21">
        <f t="shared" si="153"/>
        <v>60485600</v>
      </c>
    </row>
    <row r="225" spans="2:33" x14ac:dyDescent="0.2">
      <c r="B225" t="s">
        <v>338</v>
      </c>
      <c r="C225" s="5" t="s">
        <v>96</v>
      </c>
      <c r="D225" s="22">
        <f>$D217</f>
        <v>560660000</v>
      </c>
      <c r="E225" s="22">
        <f>$E217</f>
        <v>387487000</v>
      </c>
      <c r="F225" s="22">
        <f>$F217</f>
        <v>359679000</v>
      </c>
      <c r="G225" s="23">
        <f t="shared" si="157"/>
        <v>20</v>
      </c>
      <c r="H225" s="4">
        <v>134889000</v>
      </c>
      <c r="J225" s="20">
        <f t="shared" si="152"/>
        <v>134889000</v>
      </c>
      <c r="K225" s="20">
        <f t="shared" si="154"/>
        <v>171502000</v>
      </c>
      <c r="L225" s="20">
        <f t="shared" si="158"/>
        <v>117555000</v>
      </c>
      <c r="M225" s="20">
        <f t="shared" si="159"/>
        <v>108781000</v>
      </c>
      <c r="N225" s="20">
        <f t="shared" si="160"/>
        <v>110040000</v>
      </c>
      <c r="O225" s="20">
        <f t="shared" si="161"/>
        <v>109283000</v>
      </c>
      <c r="P225" s="20">
        <f t="shared" si="162"/>
        <v>105708000</v>
      </c>
      <c r="Q225" s="20">
        <f>H218</f>
        <v>99533000</v>
      </c>
      <c r="R225" s="20">
        <f>H217</f>
        <v>90100000</v>
      </c>
      <c r="S225" s="20">
        <f>$F217/4</f>
        <v>89919750</v>
      </c>
      <c r="T225" s="20">
        <f>$F217/4</f>
        <v>89919750</v>
      </c>
      <c r="U225" s="20">
        <f>$F217/4</f>
        <v>89919750</v>
      </c>
      <c r="V225" s="20">
        <f>$F217/4</f>
        <v>89919750</v>
      </c>
      <c r="W225" s="20">
        <f>$E217/4</f>
        <v>96871750</v>
      </c>
      <c r="X225" s="20">
        <f>$E217/4</f>
        <v>96871750</v>
      </c>
      <c r="Y225" s="20">
        <f>$E217/4</f>
        <v>96871750</v>
      </c>
      <c r="Z225" s="20">
        <f>$E217/4</f>
        <v>96871750</v>
      </c>
      <c r="AA225" s="20">
        <f>$D217/4</f>
        <v>140165000</v>
      </c>
      <c r="AB225" s="20">
        <f>$D217/4</f>
        <v>140165000</v>
      </c>
      <c r="AC225" s="20">
        <f>$D217/4</f>
        <v>140165000</v>
      </c>
      <c r="AE225" s="21">
        <f t="shared" si="155"/>
        <v>110752600</v>
      </c>
      <c r="AF225" s="21">
        <f t="shared" si="156"/>
        <v>1178281500</v>
      </c>
      <c r="AG225" s="21">
        <f t="shared" si="153"/>
        <v>24136400</v>
      </c>
    </row>
    <row r="226" spans="2:33" x14ac:dyDescent="0.2">
      <c r="B226" t="s">
        <v>338</v>
      </c>
      <c r="C226" s="5" t="s">
        <v>95</v>
      </c>
      <c r="D226" s="22">
        <f>$D217</f>
        <v>560660000</v>
      </c>
      <c r="E226" s="22">
        <f>$E217</f>
        <v>387487000</v>
      </c>
      <c r="F226" s="22">
        <f>$F217</f>
        <v>359679000</v>
      </c>
      <c r="G226" s="23">
        <f t="shared" si="157"/>
        <v>20</v>
      </c>
      <c r="H226" s="4">
        <v>135043000</v>
      </c>
      <c r="J226" s="20">
        <f t="shared" si="152"/>
        <v>135043000</v>
      </c>
      <c r="K226" s="20">
        <f t="shared" si="154"/>
        <v>134889000</v>
      </c>
      <c r="L226" s="20">
        <f t="shared" si="158"/>
        <v>171502000</v>
      </c>
      <c r="M226" s="20">
        <f t="shared" si="159"/>
        <v>117555000</v>
      </c>
      <c r="N226" s="20">
        <f t="shared" si="160"/>
        <v>108781000</v>
      </c>
      <c r="O226" s="20">
        <f t="shared" si="161"/>
        <v>110040000</v>
      </c>
      <c r="P226" s="20">
        <f t="shared" si="162"/>
        <v>109283000</v>
      </c>
      <c r="Q226" s="20">
        <f>H219</f>
        <v>105708000</v>
      </c>
      <c r="R226" s="20">
        <f>H218</f>
        <v>99533000</v>
      </c>
      <c r="S226" s="20">
        <f>H217</f>
        <v>90100000</v>
      </c>
      <c r="T226" s="20">
        <f>$F217/4</f>
        <v>89919750</v>
      </c>
      <c r="U226" s="20">
        <f>$F217/4</f>
        <v>89919750</v>
      </c>
      <c r="V226" s="20">
        <f>$F217/4</f>
        <v>89919750</v>
      </c>
      <c r="W226" s="20">
        <f>$F217/4</f>
        <v>89919750</v>
      </c>
      <c r="X226" s="20">
        <f>$E217/4</f>
        <v>96871750</v>
      </c>
      <c r="Y226" s="20">
        <f>$E217/4</f>
        <v>96871750</v>
      </c>
      <c r="Z226" s="20">
        <f>$E217/4</f>
        <v>96871750</v>
      </c>
      <c r="AA226" s="20">
        <f>$E217/4</f>
        <v>96871750</v>
      </c>
      <c r="AB226" s="20">
        <f>$D217/4</f>
        <v>140165000</v>
      </c>
      <c r="AC226" s="20">
        <f>$D217/4</f>
        <v>140165000</v>
      </c>
      <c r="AE226" s="21">
        <f t="shared" si="155"/>
        <v>110496500</v>
      </c>
      <c r="AF226" s="21">
        <f t="shared" si="156"/>
        <v>1202571900</v>
      </c>
      <c r="AG226" s="21">
        <f t="shared" si="153"/>
        <v>24546500</v>
      </c>
    </row>
    <row r="227" spans="2:33" x14ac:dyDescent="0.2">
      <c r="B227" t="s">
        <v>338</v>
      </c>
      <c r="C227" s="5" t="s">
        <v>94</v>
      </c>
      <c r="D227" s="22">
        <f>$D217</f>
        <v>560660000</v>
      </c>
      <c r="E227" s="22">
        <f>$E217</f>
        <v>387487000</v>
      </c>
      <c r="F227" s="22">
        <f>$F217</f>
        <v>359679000</v>
      </c>
      <c r="G227" s="23">
        <f t="shared" si="157"/>
        <v>20</v>
      </c>
      <c r="H227" s="4">
        <v>144191000</v>
      </c>
      <c r="J227" s="20">
        <f t="shared" si="152"/>
        <v>144191000</v>
      </c>
      <c r="K227" s="20">
        <f t="shared" si="154"/>
        <v>135043000</v>
      </c>
      <c r="L227" s="20">
        <f t="shared" si="158"/>
        <v>134889000</v>
      </c>
      <c r="M227" s="20">
        <f t="shared" si="159"/>
        <v>171502000</v>
      </c>
      <c r="N227" s="20">
        <f t="shared" si="160"/>
        <v>117555000</v>
      </c>
      <c r="O227" s="20">
        <f t="shared" si="161"/>
        <v>108781000</v>
      </c>
      <c r="P227" s="20">
        <f t="shared" si="162"/>
        <v>110040000</v>
      </c>
      <c r="Q227" s="20">
        <f>H220</f>
        <v>109283000</v>
      </c>
      <c r="R227" s="20">
        <f>H219</f>
        <v>105708000</v>
      </c>
      <c r="S227" s="20">
        <f>H218</f>
        <v>99533000</v>
      </c>
      <c r="T227" s="20">
        <f>H217</f>
        <v>90100000</v>
      </c>
      <c r="U227" s="20">
        <f>$F217/4</f>
        <v>89919750</v>
      </c>
      <c r="V227" s="20">
        <f>$F217/4</f>
        <v>89919750</v>
      </c>
      <c r="W227" s="20">
        <f>$F217/4</f>
        <v>89919750</v>
      </c>
      <c r="X227" s="20">
        <f>$F217/4</f>
        <v>89919750</v>
      </c>
      <c r="Y227" s="20">
        <f>$E217/4</f>
        <v>96871750</v>
      </c>
      <c r="Z227" s="20">
        <f>$E217/4</f>
        <v>96871750</v>
      </c>
      <c r="AA227" s="20">
        <f>$E217/4</f>
        <v>96871750</v>
      </c>
      <c r="AB227" s="20">
        <f>$E217/4</f>
        <v>96871750</v>
      </c>
      <c r="AC227" s="20">
        <f>$D217/4</f>
        <v>140165000</v>
      </c>
      <c r="AE227" s="21">
        <f t="shared" si="155"/>
        <v>110697800</v>
      </c>
      <c r="AF227" s="21">
        <f t="shared" si="156"/>
        <v>1236266400</v>
      </c>
      <c r="AG227" s="21">
        <f t="shared" si="153"/>
        <v>33493200</v>
      </c>
    </row>
    <row r="228" spans="2:33" x14ac:dyDescent="0.2">
      <c r="B228" t="s">
        <v>338</v>
      </c>
      <c r="C228" s="5" t="s">
        <v>93</v>
      </c>
      <c r="D228" s="22">
        <f>$D217</f>
        <v>560660000</v>
      </c>
      <c r="E228" s="22">
        <f>$E217</f>
        <v>387487000</v>
      </c>
      <c r="F228" s="22">
        <f>$F217</f>
        <v>359679000</v>
      </c>
      <c r="G228" s="23">
        <f t="shared" si="157"/>
        <v>20</v>
      </c>
      <c r="H228" s="4">
        <v>143554000</v>
      </c>
      <c r="J228" s="20">
        <f t="shared" si="152"/>
        <v>143554000</v>
      </c>
      <c r="K228" s="20">
        <f t="shared" si="154"/>
        <v>144191000</v>
      </c>
      <c r="L228" s="20">
        <f t="shared" si="158"/>
        <v>135043000</v>
      </c>
      <c r="M228" s="20">
        <f t="shared" si="159"/>
        <v>134889000</v>
      </c>
      <c r="N228" s="20">
        <f t="shared" si="160"/>
        <v>171502000</v>
      </c>
      <c r="O228" s="20">
        <f t="shared" si="161"/>
        <v>117555000</v>
      </c>
      <c r="P228" s="20">
        <f t="shared" si="162"/>
        <v>108781000</v>
      </c>
      <c r="Q228" s="20">
        <f>H221</f>
        <v>110040000</v>
      </c>
      <c r="R228" s="20">
        <f>H220</f>
        <v>109283000</v>
      </c>
      <c r="S228" s="20">
        <f>H219</f>
        <v>105708000</v>
      </c>
      <c r="T228" s="20">
        <f>H218</f>
        <v>99533000</v>
      </c>
      <c r="U228" s="20">
        <f>H217</f>
        <v>90100000</v>
      </c>
      <c r="V228" s="20">
        <f>$F217/4</f>
        <v>89919750</v>
      </c>
      <c r="W228" s="20">
        <f>$F217/4</f>
        <v>89919750</v>
      </c>
      <c r="X228" s="20">
        <f>$F217/4</f>
        <v>89919750</v>
      </c>
      <c r="Y228" s="20">
        <f>$F217/4</f>
        <v>89919750</v>
      </c>
      <c r="Z228" s="20">
        <f>$E217/4</f>
        <v>96871750</v>
      </c>
      <c r="AA228" s="20">
        <f>$E217/4</f>
        <v>96871750</v>
      </c>
      <c r="AB228" s="20">
        <f>$E217/4</f>
        <v>96871750</v>
      </c>
      <c r="AC228" s="20">
        <f>$E217/4</f>
        <v>96871750</v>
      </c>
      <c r="AE228" s="21">
        <f t="shared" si="155"/>
        <v>110867250</v>
      </c>
      <c r="AF228" s="21">
        <f t="shared" si="156"/>
        <v>1269122600</v>
      </c>
      <c r="AG228" s="21">
        <f t="shared" si="153"/>
        <v>32686750</v>
      </c>
    </row>
    <row r="231" spans="2:33" x14ac:dyDescent="0.2">
      <c r="C231" t="s">
        <v>354</v>
      </c>
    </row>
    <row r="232" spans="2:33" x14ac:dyDescent="0.2">
      <c r="C232" s="6" t="s">
        <v>107</v>
      </c>
      <c r="D232" s="6" t="s">
        <v>438</v>
      </c>
      <c r="E232" s="6" t="s">
        <v>439</v>
      </c>
      <c r="F232" s="6" t="s">
        <v>440</v>
      </c>
      <c r="G232" s="6" t="s">
        <v>441</v>
      </c>
      <c r="H232" s="6" t="s">
        <v>442</v>
      </c>
      <c r="I232" s="15"/>
      <c r="J232" s="6" t="s">
        <v>443</v>
      </c>
      <c r="K232" s="6" t="s">
        <v>444</v>
      </c>
      <c r="L232" s="6" t="s">
        <v>445</v>
      </c>
      <c r="M232" s="6" t="s">
        <v>446</v>
      </c>
      <c r="N232" s="6" t="s">
        <v>447</v>
      </c>
      <c r="O232" s="6" t="s">
        <v>448</v>
      </c>
      <c r="P232" s="6" t="s">
        <v>449</v>
      </c>
      <c r="Q232" s="6" t="s">
        <v>450</v>
      </c>
      <c r="R232" s="6" t="s">
        <v>451</v>
      </c>
      <c r="S232" s="6" t="s">
        <v>452</v>
      </c>
      <c r="T232" s="6" t="s">
        <v>453</v>
      </c>
      <c r="U232" s="6" t="s">
        <v>454</v>
      </c>
      <c r="V232" s="6" t="s">
        <v>455</v>
      </c>
      <c r="W232" s="6" t="s">
        <v>456</v>
      </c>
      <c r="X232" s="6" t="s">
        <v>457</v>
      </c>
      <c r="Y232" s="6" t="s">
        <v>458</v>
      </c>
      <c r="Z232" s="6" t="s">
        <v>459</v>
      </c>
      <c r="AA232" s="6" t="s">
        <v>460</v>
      </c>
      <c r="AB232" s="6" t="s">
        <v>461</v>
      </c>
      <c r="AC232" s="6" t="s">
        <v>462</v>
      </c>
      <c r="AD232" s="15"/>
      <c r="AE232" s="6" t="s">
        <v>106</v>
      </c>
      <c r="AF232" s="6" t="s">
        <v>105</v>
      </c>
      <c r="AG232" s="6" t="s">
        <v>463</v>
      </c>
    </row>
    <row r="233" spans="2:33" x14ac:dyDescent="0.2">
      <c r="C233" s="16" t="s">
        <v>464</v>
      </c>
      <c r="J233" s="17">
        <v>20</v>
      </c>
      <c r="K233" s="17">
        <v>19</v>
      </c>
      <c r="L233" s="17">
        <v>18</v>
      </c>
      <c r="M233" s="17">
        <v>17</v>
      </c>
      <c r="N233" s="17">
        <v>16</v>
      </c>
      <c r="O233" s="17">
        <v>15</v>
      </c>
      <c r="P233" s="17">
        <v>14</v>
      </c>
      <c r="Q233" s="17">
        <v>13</v>
      </c>
      <c r="R233" s="17">
        <v>12</v>
      </c>
      <c r="S233" s="17">
        <v>11</v>
      </c>
      <c r="T233" s="17">
        <v>10</v>
      </c>
      <c r="U233" s="17">
        <v>9</v>
      </c>
      <c r="V233" s="17">
        <v>8</v>
      </c>
      <c r="W233" s="17">
        <v>7</v>
      </c>
      <c r="X233" s="17">
        <v>6</v>
      </c>
      <c r="Y233" s="17">
        <v>5</v>
      </c>
      <c r="Z233" s="17">
        <v>4</v>
      </c>
      <c r="AA233" s="17">
        <v>3</v>
      </c>
      <c r="AB233" s="17">
        <v>2</v>
      </c>
      <c r="AC233" s="17">
        <v>1</v>
      </c>
    </row>
    <row r="234" spans="2:33" x14ac:dyDescent="0.2">
      <c r="B234" t="s">
        <v>354</v>
      </c>
      <c r="C234" s="5" t="s">
        <v>104</v>
      </c>
      <c r="D234" s="4">
        <v>1415000000</v>
      </c>
      <c r="E234" s="4">
        <v>1686000000</v>
      </c>
      <c r="F234" s="4">
        <v>1814000000</v>
      </c>
      <c r="G234" s="19">
        <v>20</v>
      </c>
      <c r="H234" s="4">
        <v>472000000</v>
      </c>
      <c r="J234" s="20">
        <f t="shared" ref="J234:J245" si="163">H234</f>
        <v>472000000</v>
      </c>
      <c r="K234" s="20">
        <f>$F234/4</f>
        <v>453500000</v>
      </c>
      <c r="L234" s="20">
        <f>$F234/4</f>
        <v>453500000</v>
      </c>
      <c r="M234" s="20">
        <f>$F234/4</f>
        <v>453500000</v>
      </c>
      <c r="N234" s="20">
        <f>$F234/4</f>
        <v>453500000</v>
      </c>
      <c r="O234" s="20">
        <f>$E234/4</f>
        <v>421500000</v>
      </c>
      <c r="P234" s="20">
        <f>$E234/4</f>
        <v>421500000</v>
      </c>
      <c r="Q234" s="20">
        <f>$E234/4</f>
        <v>421500000</v>
      </c>
      <c r="R234" s="20">
        <f>$E234/4</f>
        <v>421500000</v>
      </c>
      <c r="S234" s="20">
        <f>$D234/4</f>
        <v>353750000</v>
      </c>
      <c r="T234" s="20">
        <f>$D234/4</f>
        <v>353750000</v>
      </c>
      <c r="U234" s="20">
        <f>$D234/4</f>
        <v>353750000</v>
      </c>
      <c r="V234" s="20">
        <f>$D234/4</f>
        <v>353750000</v>
      </c>
      <c r="W234" s="20">
        <v>0</v>
      </c>
      <c r="X234" s="20">
        <v>0</v>
      </c>
      <c r="Y234" s="20">
        <v>0</v>
      </c>
      <c r="Z234" s="20">
        <v>0</v>
      </c>
      <c r="AA234" s="20">
        <v>0</v>
      </c>
      <c r="AB234" s="20">
        <v>0</v>
      </c>
      <c r="AC234" s="20">
        <v>0</v>
      </c>
      <c r="AE234" s="21">
        <f>SUM(J234:AC234)/$G234</f>
        <v>269350000</v>
      </c>
      <c r="AF234" s="21">
        <f>SUMPRODUCT($J$233:$AC$233,J234:AC234)/$G234</f>
        <v>3869425000</v>
      </c>
      <c r="AG234" s="21">
        <f t="shared" ref="AG234:AG245" si="164">H234-AE234</f>
        <v>202650000</v>
      </c>
    </row>
    <row r="235" spans="2:33" x14ac:dyDescent="0.2">
      <c r="B235" t="s">
        <v>354</v>
      </c>
      <c r="C235" s="5" t="s">
        <v>103</v>
      </c>
      <c r="D235" s="22">
        <f>$D234</f>
        <v>1415000000</v>
      </c>
      <c r="E235" s="22">
        <f>$E234</f>
        <v>1686000000</v>
      </c>
      <c r="F235" s="22">
        <f>$F234</f>
        <v>1814000000</v>
      </c>
      <c r="G235" s="23">
        <f>$G$234</f>
        <v>20</v>
      </c>
      <c r="H235" s="4">
        <v>528000000</v>
      </c>
      <c r="J235" s="20">
        <f t="shared" si="163"/>
        <v>528000000</v>
      </c>
      <c r="K235" s="20">
        <f t="shared" ref="K235:K245" si="165">H234</f>
        <v>472000000</v>
      </c>
      <c r="L235" s="20">
        <f>$F234/4</f>
        <v>453500000</v>
      </c>
      <c r="M235" s="20">
        <f>$F234/4</f>
        <v>453500000</v>
      </c>
      <c r="N235" s="20">
        <f>$F234/4</f>
        <v>453500000</v>
      </c>
      <c r="O235" s="20">
        <f>$F234/4</f>
        <v>453500000</v>
      </c>
      <c r="P235" s="20">
        <f>$E234/4</f>
        <v>421500000</v>
      </c>
      <c r="Q235" s="20">
        <f>$E234/4</f>
        <v>421500000</v>
      </c>
      <c r="R235" s="20">
        <f>$E234/4</f>
        <v>421500000</v>
      </c>
      <c r="S235" s="20">
        <f>$E234/4</f>
        <v>421500000</v>
      </c>
      <c r="T235" s="20">
        <f>$D234/4</f>
        <v>353750000</v>
      </c>
      <c r="U235" s="20">
        <f>$D234/4</f>
        <v>353750000</v>
      </c>
      <c r="V235" s="20">
        <f>$D234/4</f>
        <v>353750000</v>
      </c>
      <c r="W235" s="20">
        <f>$D234/4</f>
        <v>353750000</v>
      </c>
      <c r="X235" s="20">
        <v>0</v>
      </c>
      <c r="Y235" s="20">
        <v>0</v>
      </c>
      <c r="Z235" s="20">
        <v>0</v>
      </c>
      <c r="AA235" s="20">
        <v>0</v>
      </c>
      <c r="AB235" s="20">
        <v>0</v>
      </c>
      <c r="AC235" s="20">
        <v>0</v>
      </c>
      <c r="AE235" s="21">
        <f t="shared" ref="AE235:AE245" si="166">SUM(J235:AC235)/$G235</f>
        <v>295750000</v>
      </c>
      <c r="AF235" s="21">
        <f t="shared" ref="AF235:AF245" si="167">SUMPRODUCT($J$233:$AC$233,J235:AC235)/$G235</f>
        <v>4128075000</v>
      </c>
      <c r="AG235" s="21">
        <f t="shared" si="164"/>
        <v>232250000</v>
      </c>
    </row>
    <row r="236" spans="2:33" x14ac:dyDescent="0.2">
      <c r="B236" t="s">
        <v>354</v>
      </c>
      <c r="C236" s="5" t="s">
        <v>102</v>
      </c>
      <c r="D236" s="22">
        <f>$D234</f>
        <v>1415000000</v>
      </c>
      <c r="E236" s="22">
        <f>$E234</f>
        <v>1686000000</v>
      </c>
      <c r="F236" s="22">
        <f>$F234</f>
        <v>1814000000</v>
      </c>
      <c r="G236" s="23">
        <f t="shared" ref="G236:G245" si="168">$G$234</f>
        <v>20</v>
      </c>
      <c r="H236" s="4">
        <v>554000000</v>
      </c>
      <c r="J236" s="20">
        <f t="shared" si="163"/>
        <v>554000000</v>
      </c>
      <c r="K236" s="20">
        <f t="shared" si="165"/>
        <v>528000000</v>
      </c>
      <c r="L236" s="20">
        <f t="shared" ref="L236:L245" si="169">H234</f>
        <v>472000000</v>
      </c>
      <c r="M236" s="20">
        <f>$F234/4</f>
        <v>453500000</v>
      </c>
      <c r="N236" s="20">
        <f>$F234/4</f>
        <v>453500000</v>
      </c>
      <c r="O236" s="20">
        <f>$F234/4</f>
        <v>453500000</v>
      </c>
      <c r="P236" s="20">
        <f>$F234/4</f>
        <v>453500000</v>
      </c>
      <c r="Q236" s="20">
        <f>$E234/4</f>
        <v>421500000</v>
      </c>
      <c r="R236" s="20">
        <f>$E234/4</f>
        <v>421500000</v>
      </c>
      <c r="S236" s="20">
        <f>$E234/4</f>
        <v>421500000</v>
      </c>
      <c r="T236" s="20">
        <f>$E234/4</f>
        <v>421500000</v>
      </c>
      <c r="U236" s="20">
        <f>$D234/4</f>
        <v>353750000</v>
      </c>
      <c r="V236" s="20">
        <f>$D234/4</f>
        <v>353750000</v>
      </c>
      <c r="W236" s="20">
        <f>$D234/4</f>
        <v>353750000</v>
      </c>
      <c r="X236" s="20">
        <f>$D234/4</f>
        <v>353750000</v>
      </c>
      <c r="Y236" s="20">
        <v>0</v>
      </c>
      <c r="Z236" s="20">
        <v>0</v>
      </c>
      <c r="AA236" s="20">
        <v>0</v>
      </c>
      <c r="AB236" s="20">
        <v>0</v>
      </c>
      <c r="AC236" s="20">
        <v>0</v>
      </c>
      <c r="AE236" s="21">
        <f t="shared" si="166"/>
        <v>323450000</v>
      </c>
      <c r="AF236" s="21">
        <f t="shared" si="167"/>
        <v>4386325000</v>
      </c>
      <c r="AG236" s="21">
        <f t="shared" si="164"/>
        <v>230550000</v>
      </c>
    </row>
    <row r="237" spans="2:33" x14ac:dyDescent="0.2">
      <c r="B237" t="s">
        <v>354</v>
      </c>
      <c r="C237" s="5" t="s">
        <v>101</v>
      </c>
      <c r="D237" s="22">
        <f>$D234</f>
        <v>1415000000</v>
      </c>
      <c r="E237" s="22">
        <f>$E234</f>
        <v>1686000000</v>
      </c>
      <c r="F237" s="22">
        <f>$F234</f>
        <v>1814000000</v>
      </c>
      <c r="G237" s="23">
        <f t="shared" si="168"/>
        <v>20</v>
      </c>
      <c r="H237" s="4">
        <v>554000000</v>
      </c>
      <c r="J237" s="20">
        <f t="shared" si="163"/>
        <v>554000000</v>
      </c>
      <c r="K237" s="20">
        <f t="shared" si="165"/>
        <v>554000000</v>
      </c>
      <c r="L237" s="20">
        <f t="shared" si="169"/>
        <v>528000000</v>
      </c>
      <c r="M237" s="20">
        <f t="shared" ref="M237:M245" si="170">H234</f>
        <v>472000000</v>
      </c>
      <c r="N237" s="20">
        <f>$F234/4</f>
        <v>453500000</v>
      </c>
      <c r="O237" s="20">
        <f>$F234/4</f>
        <v>453500000</v>
      </c>
      <c r="P237" s="20">
        <f>$F234/4</f>
        <v>453500000</v>
      </c>
      <c r="Q237" s="20">
        <f>$F234/4</f>
        <v>453500000</v>
      </c>
      <c r="R237" s="20">
        <f>$E234/4</f>
        <v>421500000</v>
      </c>
      <c r="S237" s="20">
        <f>$E234/4</f>
        <v>421500000</v>
      </c>
      <c r="T237" s="20">
        <f>$E234/4</f>
        <v>421500000</v>
      </c>
      <c r="U237" s="20">
        <f>$E234/4</f>
        <v>421500000</v>
      </c>
      <c r="V237" s="20">
        <f>$D234/4</f>
        <v>353750000</v>
      </c>
      <c r="W237" s="20">
        <f>$D234/4</f>
        <v>353750000</v>
      </c>
      <c r="X237" s="20">
        <f>$D234/4</f>
        <v>353750000</v>
      </c>
      <c r="Y237" s="20">
        <f>$D234/4</f>
        <v>353750000</v>
      </c>
      <c r="Z237" s="20">
        <v>0</v>
      </c>
      <c r="AA237" s="20">
        <v>0</v>
      </c>
      <c r="AB237" s="20">
        <v>0</v>
      </c>
      <c r="AC237" s="20">
        <v>0</v>
      </c>
      <c r="AE237" s="21">
        <f t="shared" si="166"/>
        <v>351150000</v>
      </c>
      <c r="AF237" s="21">
        <f t="shared" si="167"/>
        <v>4616875000</v>
      </c>
      <c r="AG237" s="21">
        <f t="shared" si="164"/>
        <v>202850000</v>
      </c>
    </row>
    <row r="238" spans="2:33" x14ac:dyDescent="0.2">
      <c r="B238" t="s">
        <v>354</v>
      </c>
      <c r="C238" s="5" t="s">
        <v>100</v>
      </c>
      <c r="D238" s="22">
        <f>$D234</f>
        <v>1415000000</v>
      </c>
      <c r="E238" s="22">
        <f>$E234</f>
        <v>1686000000</v>
      </c>
      <c r="F238" s="22">
        <f>$F234</f>
        <v>1814000000</v>
      </c>
      <c r="G238" s="23">
        <f t="shared" si="168"/>
        <v>20</v>
      </c>
      <c r="H238" s="4">
        <v>520000000</v>
      </c>
      <c r="J238" s="20">
        <f t="shared" si="163"/>
        <v>520000000</v>
      </c>
      <c r="K238" s="20">
        <f t="shared" si="165"/>
        <v>554000000</v>
      </c>
      <c r="L238" s="20">
        <f t="shared" si="169"/>
        <v>554000000</v>
      </c>
      <c r="M238" s="20">
        <f t="shared" si="170"/>
        <v>528000000</v>
      </c>
      <c r="N238" s="20">
        <f t="shared" ref="N238:N245" si="171">H234</f>
        <v>472000000</v>
      </c>
      <c r="O238" s="20">
        <f>$F234/4</f>
        <v>453500000</v>
      </c>
      <c r="P238" s="20">
        <f>$F234/4</f>
        <v>453500000</v>
      </c>
      <c r="Q238" s="20">
        <f>$F234/4</f>
        <v>453500000</v>
      </c>
      <c r="R238" s="20">
        <f>$F234/4</f>
        <v>453500000</v>
      </c>
      <c r="S238" s="20">
        <f>$E234/4</f>
        <v>421500000</v>
      </c>
      <c r="T238" s="20">
        <f>$E234/4</f>
        <v>421500000</v>
      </c>
      <c r="U238" s="20">
        <f>$E234/4</f>
        <v>421500000</v>
      </c>
      <c r="V238" s="20">
        <f>$E234/4</f>
        <v>421500000</v>
      </c>
      <c r="W238" s="20">
        <f>$D234/4</f>
        <v>353750000</v>
      </c>
      <c r="X238" s="20">
        <f>$D234/4</f>
        <v>353750000</v>
      </c>
      <c r="Y238" s="20">
        <f>$D234/4</f>
        <v>353750000</v>
      </c>
      <c r="Z238" s="20">
        <f>$D234/4</f>
        <v>353750000</v>
      </c>
      <c r="AA238" s="20">
        <v>0</v>
      </c>
      <c r="AB238" s="20">
        <v>0</v>
      </c>
      <c r="AC238" s="20">
        <v>0</v>
      </c>
      <c r="AE238" s="21">
        <f t="shared" si="166"/>
        <v>377150000</v>
      </c>
      <c r="AF238" s="21">
        <f t="shared" si="167"/>
        <v>4785725000</v>
      </c>
      <c r="AG238" s="21">
        <f t="shared" si="164"/>
        <v>142850000</v>
      </c>
    </row>
    <row r="239" spans="2:33" x14ac:dyDescent="0.2">
      <c r="B239" t="s">
        <v>354</v>
      </c>
      <c r="C239" s="5" t="s">
        <v>99</v>
      </c>
      <c r="D239" s="22">
        <f>$D234</f>
        <v>1415000000</v>
      </c>
      <c r="E239" s="22">
        <f>$E234</f>
        <v>1686000000</v>
      </c>
      <c r="F239" s="22">
        <f>$F234</f>
        <v>1814000000</v>
      </c>
      <c r="G239" s="23">
        <f t="shared" si="168"/>
        <v>20</v>
      </c>
      <c r="H239" s="4">
        <v>535000000</v>
      </c>
      <c r="J239" s="20">
        <f t="shared" si="163"/>
        <v>535000000</v>
      </c>
      <c r="K239" s="20">
        <f t="shared" si="165"/>
        <v>520000000</v>
      </c>
      <c r="L239" s="20">
        <f t="shared" si="169"/>
        <v>554000000</v>
      </c>
      <c r="M239" s="20">
        <f t="shared" si="170"/>
        <v>554000000</v>
      </c>
      <c r="N239" s="20">
        <f t="shared" si="171"/>
        <v>528000000</v>
      </c>
      <c r="O239" s="20">
        <f t="shared" ref="O239:O245" si="172">H234</f>
        <v>472000000</v>
      </c>
      <c r="P239" s="20">
        <f>$F234/4</f>
        <v>453500000</v>
      </c>
      <c r="Q239" s="20">
        <f>$F234/4</f>
        <v>453500000</v>
      </c>
      <c r="R239" s="20">
        <f>$F234/4</f>
        <v>453500000</v>
      </c>
      <c r="S239" s="20">
        <f>$F234/4</f>
        <v>453500000</v>
      </c>
      <c r="T239" s="20">
        <f>$E234/4</f>
        <v>421500000</v>
      </c>
      <c r="U239" s="20">
        <f>$E234/4</f>
        <v>421500000</v>
      </c>
      <c r="V239" s="20">
        <f>$E234/4</f>
        <v>421500000</v>
      </c>
      <c r="W239" s="20">
        <f>$E234/4</f>
        <v>421500000</v>
      </c>
      <c r="X239" s="20">
        <f>$D234/4</f>
        <v>353750000</v>
      </c>
      <c r="Y239" s="20">
        <f>$D234/4</f>
        <v>353750000</v>
      </c>
      <c r="Z239" s="20">
        <f>$D234/4</f>
        <v>353750000</v>
      </c>
      <c r="AA239" s="20">
        <f>$D234/4</f>
        <v>353750000</v>
      </c>
      <c r="AB239" s="20">
        <v>0</v>
      </c>
      <c r="AC239" s="20">
        <v>0</v>
      </c>
      <c r="AE239" s="21">
        <f t="shared" si="166"/>
        <v>403900000</v>
      </c>
      <c r="AF239" s="21">
        <f t="shared" si="167"/>
        <v>4943575000</v>
      </c>
      <c r="AG239" s="21">
        <f t="shared" si="164"/>
        <v>131100000</v>
      </c>
    </row>
    <row r="240" spans="2:33" x14ac:dyDescent="0.2">
      <c r="B240" t="s">
        <v>354</v>
      </c>
      <c r="C240" s="5" t="s">
        <v>98</v>
      </c>
      <c r="D240" s="22">
        <f>$D234</f>
        <v>1415000000</v>
      </c>
      <c r="E240" s="22">
        <f>$E234</f>
        <v>1686000000</v>
      </c>
      <c r="F240" s="22">
        <f>$F234</f>
        <v>1814000000</v>
      </c>
      <c r="G240" s="23">
        <f t="shared" si="168"/>
        <v>20</v>
      </c>
      <c r="H240" s="4">
        <v>533000000</v>
      </c>
      <c r="J240" s="20">
        <f t="shared" si="163"/>
        <v>533000000</v>
      </c>
      <c r="K240" s="20">
        <f t="shared" si="165"/>
        <v>535000000</v>
      </c>
      <c r="L240" s="20">
        <f t="shared" si="169"/>
        <v>520000000</v>
      </c>
      <c r="M240" s="20">
        <f t="shared" si="170"/>
        <v>554000000</v>
      </c>
      <c r="N240" s="20">
        <f t="shared" si="171"/>
        <v>554000000</v>
      </c>
      <c r="O240" s="20">
        <f t="shared" si="172"/>
        <v>528000000</v>
      </c>
      <c r="P240" s="20">
        <f t="shared" ref="P240:P245" si="173">H234</f>
        <v>472000000</v>
      </c>
      <c r="Q240" s="20">
        <f>$F234/4</f>
        <v>453500000</v>
      </c>
      <c r="R240" s="20">
        <f>$F234/4</f>
        <v>453500000</v>
      </c>
      <c r="S240" s="20">
        <f>$F234/4</f>
        <v>453500000</v>
      </c>
      <c r="T240" s="20">
        <f>$F234/4</f>
        <v>453500000</v>
      </c>
      <c r="U240" s="20">
        <f>$E234/4</f>
        <v>421500000</v>
      </c>
      <c r="V240" s="20">
        <f>$E234/4</f>
        <v>421500000</v>
      </c>
      <c r="W240" s="20">
        <f>$E234/4</f>
        <v>421500000</v>
      </c>
      <c r="X240" s="20">
        <f>$E234/4</f>
        <v>421500000</v>
      </c>
      <c r="Y240" s="20">
        <f>$D234/4</f>
        <v>353750000</v>
      </c>
      <c r="Z240" s="20">
        <f>$D234/4</f>
        <v>353750000</v>
      </c>
      <c r="AA240" s="20">
        <f>$D234/4</f>
        <v>353750000</v>
      </c>
      <c r="AB240" s="20">
        <f>$D234/4</f>
        <v>353750000</v>
      </c>
      <c r="AC240" s="20">
        <v>0</v>
      </c>
      <c r="AE240" s="21">
        <f t="shared" si="166"/>
        <v>430550000</v>
      </c>
      <c r="AF240" s="21">
        <f t="shared" si="167"/>
        <v>5072675000</v>
      </c>
      <c r="AG240" s="21">
        <f t="shared" si="164"/>
        <v>102450000</v>
      </c>
    </row>
    <row r="241" spans="2:33" x14ac:dyDescent="0.2">
      <c r="B241" t="s">
        <v>354</v>
      </c>
      <c r="C241" s="5" t="s">
        <v>97</v>
      </c>
      <c r="D241" s="22">
        <f>$D234</f>
        <v>1415000000</v>
      </c>
      <c r="E241" s="22">
        <f>$E234</f>
        <v>1686000000</v>
      </c>
      <c r="F241" s="22">
        <f>$F234</f>
        <v>1814000000</v>
      </c>
      <c r="G241" s="23">
        <f t="shared" si="168"/>
        <v>20</v>
      </c>
      <c r="H241" s="4">
        <v>519000000</v>
      </c>
      <c r="J241" s="20">
        <f t="shared" si="163"/>
        <v>519000000</v>
      </c>
      <c r="K241" s="20">
        <f t="shared" si="165"/>
        <v>533000000</v>
      </c>
      <c r="L241" s="20">
        <f t="shared" si="169"/>
        <v>535000000</v>
      </c>
      <c r="M241" s="20">
        <f t="shared" si="170"/>
        <v>520000000</v>
      </c>
      <c r="N241" s="20">
        <f t="shared" si="171"/>
        <v>554000000</v>
      </c>
      <c r="O241" s="20">
        <f t="shared" si="172"/>
        <v>554000000</v>
      </c>
      <c r="P241" s="20">
        <f t="shared" si="173"/>
        <v>528000000</v>
      </c>
      <c r="Q241" s="20">
        <f>H234</f>
        <v>472000000</v>
      </c>
      <c r="R241" s="20">
        <f>$F234/4</f>
        <v>453500000</v>
      </c>
      <c r="S241" s="20">
        <f>$F234/4</f>
        <v>453500000</v>
      </c>
      <c r="T241" s="20">
        <f>$F234/4</f>
        <v>453500000</v>
      </c>
      <c r="U241" s="20">
        <f>$F234/4</f>
        <v>453500000</v>
      </c>
      <c r="V241" s="20">
        <f>$E234/4</f>
        <v>421500000</v>
      </c>
      <c r="W241" s="20">
        <f>$E234/4</f>
        <v>421500000</v>
      </c>
      <c r="X241" s="20">
        <f>$E234/4</f>
        <v>421500000</v>
      </c>
      <c r="Y241" s="20">
        <f>$E234/4</f>
        <v>421500000</v>
      </c>
      <c r="Z241" s="20">
        <f>$D234/4</f>
        <v>353750000</v>
      </c>
      <c r="AA241" s="20">
        <f>$D234/4</f>
        <v>353750000</v>
      </c>
      <c r="AB241" s="20">
        <f>$D234/4</f>
        <v>353750000</v>
      </c>
      <c r="AC241" s="20">
        <f>$D234/4</f>
        <v>353750000</v>
      </c>
      <c r="AE241" s="21">
        <f t="shared" si="166"/>
        <v>456500000</v>
      </c>
      <c r="AF241" s="21">
        <f t="shared" si="167"/>
        <v>5161125000</v>
      </c>
      <c r="AG241" s="21">
        <f t="shared" si="164"/>
        <v>62500000</v>
      </c>
    </row>
    <row r="242" spans="2:33" x14ac:dyDescent="0.2">
      <c r="B242" t="s">
        <v>354</v>
      </c>
      <c r="C242" s="5" t="s">
        <v>96</v>
      </c>
      <c r="D242" s="22">
        <f>$D234</f>
        <v>1415000000</v>
      </c>
      <c r="E242" s="22">
        <f>$E234</f>
        <v>1686000000</v>
      </c>
      <c r="F242" s="22">
        <f>$F234</f>
        <v>1814000000</v>
      </c>
      <c r="G242" s="23">
        <f t="shared" si="168"/>
        <v>20</v>
      </c>
      <c r="H242" s="4">
        <v>480000000</v>
      </c>
      <c r="J242" s="20">
        <f t="shared" si="163"/>
        <v>480000000</v>
      </c>
      <c r="K242" s="20">
        <f t="shared" si="165"/>
        <v>519000000</v>
      </c>
      <c r="L242" s="20">
        <f t="shared" si="169"/>
        <v>533000000</v>
      </c>
      <c r="M242" s="20">
        <f t="shared" si="170"/>
        <v>535000000</v>
      </c>
      <c r="N242" s="20">
        <f t="shared" si="171"/>
        <v>520000000</v>
      </c>
      <c r="O242" s="20">
        <f t="shared" si="172"/>
        <v>554000000</v>
      </c>
      <c r="P242" s="20">
        <f t="shared" si="173"/>
        <v>554000000</v>
      </c>
      <c r="Q242" s="20">
        <f>H235</f>
        <v>528000000</v>
      </c>
      <c r="R242" s="20">
        <f>H234</f>
        <v>472000000</v>
      </c>
      <c r="S242" s="20">
        <f>$F234/4</f>
        <v>453500000</v>
      </c>
      <c r="T242" s="20">
        <f>$F234/4</f>
        <v>453500000</v>
      </c>
      <c r="U242" s="20">
        <f>$F234/4</f>
        <v>453500000</v>
      </c>
      <c r="V242" s="20">
        <f>$F234/4</f>
        <v>453500000</v>
      </c>
      <c r="W242" s="20">
        <f>$E234/4</f>
        <v>421500000</v>
      </c>
      <c r="X242" s="20">
        <f>$E234/4</f>
        <v>421500000</v>
      </c>
      <c r="Y242" s="20">
        <f>$E234/4</f>
        <v>421500000</v>
      </c>
      <c r="Z242" s="20">
        <f>$E234/4</f>
        <v>421500000</v>
      </c>
      <c r="AA242" s="20">
        <f>$D234/4</f>
        <v>353750000</v>
      </c>
      <c r="AB242" s="20">
        <f>$D234/4</f>
        <v>353750000</v>
      </c>
      <c r="AC242" s="20">
        <f>$D234/4</f>
        <v>353750000</v>
      </c>
      <c r="AE242" s="21">
        <f t="shared" si="166"/>
        <v>462812500</v>
      </c>
      <c r="AF242" s="21">
        <f t="shared" si="167"/>
        <v>5184625000</v>
      </c>
      <c r="AG242" s="21">
        <f t="shared" si="164"/>
        <v>17187500</v>
      </c>
    </row>
    <row r="243" spans="2:33" x14ac:dyDescent="0.2">
      <c r="B243" t="s">
        <v>354</v>
      </c>
      <c r="C243" s="5" t="s">
        <v>95</v>
      </c>
      <c r="D243" s="22">
        <f>$D234</f>
        <v>1415000000</v>
      </c>
      <c r="E243" s="22">
        <f>$E234</f>
        <v>1686000000</v>
      </c>
      <c r="F243" s="22">
        <f>$F234</f>
        <v>1814000000</v>
      </c>
      <c r="G243" s="23">
        <f t="shared" si="168"/>
        <v>20</v>
      </c>
      <c r="H243" s="4">
        <v>551000000</v>
      </c>
      <c r="J243" s="20">
        <f t="shared" si="163"/>
        <v>551000000</v>
      </c>
      <c r="K243" s="20">
        <f t="shared" si="165"/>
        <v>480000000</v>
      </c>
      <c r="L243" s="20">
        <f t="shared" si="169"/>
        <v>519000000</v>
      </c>
      <c r="M243" s="20">
        <f t="shared" si="170"/>
        <v>533000000</v>
      </c>
      <c r="N243" s="20">
        <f t="shared" si="171"/>
        <v>535000000</v>
      </c>
      <c r="O243" s="20">
        <f t="shared" si="172"/>
        <v>520000000</v>
      </c>
      <c r="P243" s="20">
        <f t="shared" si="173"/>
        <v>554000000</v>
      </c>
      <c r="Q243" s="20">
        <f>H236</f>
        <v>554000000</v>
      </c>
      <c r="R243" s="20">
        <f>H235</f>
        <v>528000000</v>
      </c>
      <c r="S243" s="20">
        <f>H234</f>
        <v>472000000</v>
      </c>
      <c r="T243" s="20">
        <f>$F234/4</f>
        <v>453500000</v>
      </c>
      <c r="U243" s="20">
        <f>$F234/4</f>
        <v>453500000</v>
      </c>
      <c r="V243" s="20">
        <f>$F234/4</f>
        <v>453500000</v>
      </c>
      <c r="W243" s="20">
        <f>$F234/4</f>
        <v>453500000</v>
      </c>
      <c r="X243" s="20">
        <f>$E234/4</f>
        <v>421500000</v>
      </c>
      <c r="Y243" s="20">
        <f>$E234/4</f>
        <v>421500000</v>
      </c>
      <c r="Z243" s="20">
        <f>$E234/4</f>
        <v>421500000</v>
      </c>
      <c r="AA243" s="20">
        <f>$E234/4</f>
        <v>421500000</v>
      </c>
      <c r="AB243" s="20">
        <f>$D234/4</f>
        <v>353750000</v>
      </c>
      <c r="AC243" s="20">
        <f>$D234/4</f>
        <v>353750000</v>
      </c>
      <c r="AE243" s="21">
        <f t="shared" si="166"/>
        <v>472675000</v>
      </c>
      <c r="AF243" s="21">
        <f t="shared" si="167"/>
        <v>5272812500</v>
      </c>
      <c r="AG243" s="21">
        <f t="shared" si="164"/>
        <v>78325000</v>
      </c>
    </row>
    <row r="244" spans="2:33" x14ac:dyDescent="0.2">
      <c r="B244" t="s">
        <v>354</v>
      </c>
      <c r="C244" s="5" t="s">
        <v>94</v>
      </c>
      <c r="D244" s="22">
        <f>$D234</f>
        <v>1415000000</v>
      </c>
      <c r="E244" s="22">
        <f>$E234</f>
        <v>1686000000</v>
      </c>
      <c r="F244" s="22">
        <f>$F234</f>
        <v>1814000000</v>
      </c>
      <c r="G244" s="23">
        <f t="shared" si="168"/>
        <v>20</v>
      </c>
      <c r="H244" s="4">
        <v>555000000</v>
      </c>
      <c r="J244" s="20">
        <f t="shared" si="163"/>
        <v>555000000</v>
      </c>
      <c r="K244" s="20">
        <f t="shared" si="165"/>
        <v>551000000</v>
      </c>
      <c r="L244" s="20">
        <f t="shared" si="169"/>
        <v>480000000</v>
      </c>
      <c r="M244" s="20">
        <f t="shared" si="170"/>
        <v>519000000</v>
      </c>
      <c r="N244" s="20">
        <f t="shared" si="171"/>
        <v>533000000</v>
      </c>
      <c r="O244" s="20">
        <f t="shared" si="172"/>
        <v>535000000</v>
      </c>
      <c r="P244" s="20">
        <f t="shared" si="173"/>
        <v>520000000</v>
      </c>
      <c r="Q244" s="20">
        <f>H237</f>
        <v>554000000</v>
      </c>
      <c r="R244" s="20">
        <f>H236</f>
        <v>554000000</v>
      </c>
      <c r="S244" s="20">
        <f>H235</f>
        <v>528000000</v>
      </c>
      <c r="T244" s="20">
        <f>H234</f>
        <v>472000000</v>
      </c>
      <c r="U244" s="20">
        <f>$F234/4</f>
        <v>453500000</v>
      </c>
      <c r="V244" s="20">
        <f>$F234/4</f>
        <v>453500000</v>
      </c>
      <c r="W244" s="20">
        <f>$F234/4</f>
        <v>453500000</v>
      </c>
      <c r="X244" s="20">
        <f>$F234/4</f>
        <v>453500000</v>
      </c>
      <c r="Y244" s="20">
        <f>$E234/4</f>
        <v>421500000</v>
      </c>
      <c r="Z244" s="20">
        <f>$E234/4</f>
        <v>421500000</v>
      </c>
      <c r="AA244" s="20">
        <f>$E234/4</f>
        <v>421500000</v>
      </c>
      <c r="AB244" s="20">
        <f>$E234/4</f>
        <v>421500000</v>
      </c>
      <c r="AC244" s="20">
        <f>$D234/4</f>
        <v>353750000</v>
      </c>
      <c r="AE244" s="21">
        <f t="shared" si="166"/>
        <v>482737500</v>
      </c>
      <c r="AF244" s="21">
        <f t="shared" si="167"/>
        <v>5355137500</v>
      </c>
      <c r="AG244" s="21">
        <f t="shared" si="164"/>
        <v>72262500</v>
      </c>
    </row>
    <row r="245" spans="2:33" x14ac:dyDescent="0.2">
      <c r="B245" t="s">
        <v>354</v>
      </c>
      <c r="C245" s="5" t="s">
        <v>93</v>
      </c>
      <c r="D245" s="22">
        <f>$D234</f>
        <v>1415000000</v>
      </c>
      <c r="E245" s="22">
        <f>$E234</f>
        <v>1686000000</v>
      </c>
      <c r="F245" s="22">
        <f>$F234</f>
        <v>1814000000</v>
      </c>
      <c r="G245" s="23">
        <f t="shared" si="168"/>
        <v>20</v>
      </c>
      <c r="H245" s="4">
        <v>562000000</v>
      </c>
      <c r="J245" s="20">
        <f t="shared" si="163"/>
        <v>562000000</v>
      </c>
      <c r="K245" s="20">
        <f t="shared" si="165"/>
        <v>555000000</v>
      </c>
      <c r="L245" s="20">
        <f t="shared" si="169"/>
        <v>551000000</v>
      </c>
      <c r="M245" s="20">
        <f t="shared" si="170"/>
        <v>480000000</v>
      </c>
      <c r="N245" s="20">
        <f t="shared" si="171"/>
        <v>519000000</v>
      </c>
      <c r="O245" s="20">
        <f t="shared" si="172"/>
        <v>533000000</v>
      </c>
      <c r="P245" s="20">
        <f t="shared" si="173"/>
        <v>535000000</v>
      </c>
      <c r="Q245" s="20">
        <f>H238</f>
        <v>520000000</v>
      </c>
      <c r="R245" s="20">
        <f>H237</f>
        <v>554000000</v>
      </c>
      <c r="S245" s="20">
        <f>H236</f>
        <v>554000000</v>
      </c>
      <c r="T245" s="20">
        <f>H235</f>
        <v>528000000</v>
      </c>
      <c r="U245" s="20">
        <f>H234</f>
        <v>472000000</v>
      </c>
      <c r="V245" s="20">
        <f>$F234/4</f>
        <v>453500000</v>
      </c>
      <c r="W245" s="20">
        <f>$F234/4</f>
        <v>453500000</v>
      </c>
      <c r="X245" s="20">
        <f>$F234/4</f>
        <v>453500000</v>
      </c>
      <c r="Y245" s="20">
        <f>$F234/4</f>
        <v>453500000</v>
      </c>
      <c r="Z245" s="20">
        <f>$E234/4</f>
        <v>421500000</v>
      </c>
      <c r="AA245" s="20">
        <f>$E234/4</f>
        <v>421500000</v>
      </c>
      <c r="AB245" s="20">
        <f>$E234/4</f>
        <v>421500000</v>
      </c>
      <c r="AC245" s="20">
        <f>$E234/4</f>
        <v>421500000</v>
      </c>
      <c r="AE245" s="21">
        <f t="shared" si="166"/>
        <v>493150000</v>
      </c>
      <c r="AF245" s="21">
        <f t="shared" si="167"/>
        <v>5434400000</v>
      </c>
      <c r="AG245" s="21">
        <f t="shared" si="164"/>
        <v>68850000</v>
      </c>
    </row>
    <row r="248" spans="2:33" x14ac:dyDescent="0.2">
      <c r="C248" t="s">
        <v>386</v>
      </c>
    </row>
    <row r="249" spans="2:33" x14ac:dyDescent="0.2">
      <c r="C249" s="6" t="s">
        <v>107</v>
      </c>
      <c r="D249" s="6" t="s">
        <v>438</v>
      </c>
      <c r="E249" s="6" t="s">
        <v>439</v>
      </c>
      <c r="F249" s="6" t="s">
        <v>440</v>
      </c>
      <c r="G249" s="6" t="s">
        <v>441</v>
      </c>
      <c r="H249" s="6" t="s">
        <v>442</v>
      </c>
      <c r="I249" s="15"/>
      <c r="J249" s="6" t="s">
        <v>443</v>
      </c>
      <c r="K249" s="6" t="s">
        <v>444</v>
      </c>
      <c r="L249" s="6" t="s">
        <v>445</v>
      </c>
      <c r="M249" s="6" t="s">
        <v>446</v>
      </c>
      <c r="N249" s="6" t="s">
        <v>447</v>
      </c>
      <c r="O249" s="6" t="s">
        <v>448</v>
      </c>
      <c r="P249" s="6" t="s">
        <v>449</v>
      </c>
      <c r="Q249" s="6" t="s">
        <v>450</v>
      </c>
      <c r="R249" s="6" t="s">
        <v>451</v>
      </c>
      <c r="S249" s="6" t="s">
        <v>452</v>
      </c>
      <c r="T249" s="6" t="s">
        <v>453</v>
      </c>
      <c r="U249" s="6" t="s">
        <v>454</v>
      </c>
      <c r="V249" s="6" t="s">
        <v>455</v>
      </c>
      <c r="W249" s="6" t="s">
        <v>456</v>
      </c>
      <c r="X249" s="6" t="s">
        <v>457</v>
      </c>
      <c r="Y249" s="6" t="s">
        <v>458</v>
      </c>
      <c r="Z249" s="6" t="s">
        <v>459</v>
      </c>
      <c r="AA249" s="6" t="s">
        <v>460</v>
      </c>
      <c r="AB249" s="6" t="s">
        <v>461</v>
      </c>
      <c r="AC249" s="6" t="s">
        <v>462</v>
      </c>
      <c r="AD249" s="15"/>
      <c r="AE249" s="6" t="s">
        <v>106</v>
      </c>
      <c r="AF249" s="6" t="s">
        <v>105</v>
      </c>
      <c r="AG249" s="6" t="s">
        <v>463</v>
      </c>
    </row>
    <row r="250" spans="2:33" x14ac:dyDescent="0.2">
      <c r="C250" s="16" t="s">
        <v>464</v>
      </c>
      <c r="J250" s="17">
        <v>20</v>
      </c>
      <c r="K250" s="17">
        <v>19</v>
      </c>
      <c r="L250" s="17">
        <v>18</v>
      </c>
      <c r="M250" s="17">
        <v>17</v>
      </c>
      <c r="N250" s="17">
        <v>16</v>
      </c>
      <c r="O250" s="17">
        <v>15</v>
      </c>
      <c r="P250" s="17">
        <v>14</v>
      </c>
      <c r="Q250" s="17">
        <v>13</v>
      </c>
      <c r="R250" s="17">
        <v>12</v>
      </c>
      <c r="S250" s="17">
        <v>11</v>
      </c>
      <c r="T250" s="17">
        <v>10</v>
      </c>
      <c r="U250" s="17">
        <v>9</v>
      </c>
      <c r="V250" s="17">
        <v>8</v>
      </c>
      <c r="W250" s="17">
        <v>7</v>
      </c>
      <c r="X250" s="17">
        <v>6</v>
      </c>
      <c r="Y250" s="17">
        <v>5</v>
      </c>
      <c r="Z250" s="17">
        <v>4</v>
      </c>
      <c r="AA250" s="17">
        <v>3</v>
      </c>
      <c r="AB250" s="17">
        <v>2</v>
      </c>
      <c r="AC250" s="17">
        <v>1</v>
      </c>
    </row>
    <row r="251" spans="2:33" x14ac:dyDescent="0.2">
      <c r="B251" t="s">
        <v>386</v>
      </c>
      <c r="C251" s="5" t="s">
        <v>104</v>
      </c>
      <c r="D251" s="4">
        <v>27573000000</v>
      </c>
      <c r="E251" s="4">
        <v>31562000000</v>
      </c>
      <c r="F251" s="4">
        <v>39500000000</v>
      </c>
      <c r="G251" s="19">
        <v>20</v>
      </c>
      <c r="H251" s="4">
        <v>11468000000</v>
      </c>
      <c r="J251" s="20">
        <f t="shared" ref="J251:J262" si="174">H251</f>
        <v>11468000000</v>
      </c>
      <c r="K251" s="20">
        <f>$F251/4</f>
        <v>9875000000</v>
      </c>
      <c r="L251" s="20">
        <f>$F251/4</f>
        <v>9875000000</v>
      </c>
      <c r="M251" s="20">
        <f>$F251/4</f>
        <v>9875000000</v>
      </c>
      <c r="N251" s="20">
        <f>$F251/4</f>
        <v>9875000000</v>
      </c>
      <c r="O251" s="20">
        <f>$E251/4</f>
        <v>7890500000</v>
      </c>
      <c r="P251" s="20">
        <f>$E251/4</f>
        <v>7890500000</v>
      </c>
      <c r="Q251" s="20">
        <f>$E251/4</f>
        <v>7890500000</v>
      </c>
      <c r="R251" s="20">
        <f>$E251/4</f>
        <v>7890500000</v>
      </c>
      <c r="S251" s="20">
        <f>$D251/4</f>
        <v>6893250000</v>
      </c>
      <c r="T251" s="20">
        <f>$D251/4</f>
        <v>6893250000</v>
      </c>
      <c r="U251" s="20">
        <f>$D251/4</f>
        <v>6893250000</v>
      </c>
      <c r="V251" s="20">
        <f>$D251/4</f>
        <v>6893250000</v>
      </c>
      <c r="W251" s="20">
        <v>0</v>
      </c>
      <c r="X251" s="20">
        <v>0</v>
      </c>
      <c r="Y251" s="20">
        <v>0</v>
      </c>
      <c r="Z251" s="20">
        <v>0</v>
      </c>
      <c r="AA251" s="20">
        <v>0</v>
      </c>
      <c r="AB251" s="20">
        <v>0</v>
      </c>
      <c r="AC251" s="20">
        <v>0</v>
      </c>
      <c r="AE251" s="21">
        <f>SUM(J251:AC251)/$G251</f>
        <v>5505150000</v>
      </c>
      <c r="AF251" s="21">
        <f>SUMPRODUCT($J$250:$AC$250,J251:AC251)/$G251</f>
        <v>80432025000</v>
      </c>
      <c r="AG251" s="21">
        <f t="shared" ref="AG251:AG262" si="175">H251-AE251</f>
        <v>5962850000</v>
      </c>
    </row>
    <row r="252" spans="2:33" x14ac:dyDescent="0.2">
      <c r="B252" t="s">
        <v>386</v>
      </c>
      <c r="C252" s="5" t="s">
        <v>103</v>
      </c>
      <c r="D252" s="22">
        <f>$D251</f>
        <v>27573000000</v>
      </c>
      <c r="E252" s="22">
        <f>$E251</f>
        <v>31562000000</v>
      </c>
      <c r="F252" s="22">
        <f>$F251</f>
        <v>39500000000</v>
      </c>
      <c r="G252" s="23">
        <f>$G$251</f>
        <v>20</v>
      </c>
      <c r="H252" s="4">
        <v>10588000000</v>
      </c>
      <c r="J252" s="20">
        <f t="shared" si="174"/>
        <v>10588000000</v>
      </c>
      <c r="K252" s="20">
        <f t="shared" ref="K252:K262" si="176">H251</f>
        <v>11468000000</v>
      </c>
      <c r="L252" s="20">
        <f>$F251/4</f>
        <v>9875000000</v>
      </c>
      <c r="M252" s="20">
        <f>$F251/4</f>
        <v>9875000000</v>
      </c>
      <c r="N252" s="20">
        <f>$F251/4</f>
        <v>9875000000</v>
      </c>
      <c r="O252" s="20">
        <f>$F251/4</f>
        <v>9875000000</v>
      </c>
      <c r="P252" s="20">
        <f>$E251/4</f>
        <v>7890500000</v>
      </c>
      <c r="Q252" s="20">
        <f>$E251/4</f>
        <v>7890500000</v>
      </c>
      <c r="R252" s="20">
        <f>$E251/4</f>
        <v>7890500000</v>
      </c>
      <c r="S252" s="20">
        <f>$E251/4</f>
        <v>7890500000</v>
      </c>
      <c r="T252" s="20">
        <f>$D251/4</f>
        <v>6893250000</v>
      </c>
      <c r="U252" s="20">
        <f>$D251/4</f>
        <v>6893250000</v>
      </c>
      <c r="V252" s="20">
        <f>$D251/4</f>
        <v>6893250000</v>
      </c>
      <c r="W252" s="20">
        <f>$D251/4</f>
        <v>6893250000</v>
      </c>
      <c r="X252" s="20">
        <v>0</v>
      </c>
      <c r="Y252" s="20">
        <v>0</v>
      </c>
      <c r="Z252" s="20">
        <v>0</v>
      </c>
      <c r="AA252" s="20">
        <v>0</v>
      </c>
      <c r="AB252" s="20">
        <v>0</v>
      </c>
      <c r="AC252" s="20">
        <v>0</v>
      </c>
      <c r="AE252" s="21">
        <f t="shared" ref="AE252:AE262" si="177">SUM(J252:AC252)/$G252</f>
        <v>6034550000</v>
      </c>
      <c r="AF252" s="21">
        <f t="shared" ref="AF252:AF262" si="178">SUMPRODUCT($J$250:$AC$250,J252:AC252)/$G252</f>
        <v>85514875000</v>
      </c>
      <c r="AG252" s="21">
        <f t="shared" si="175"/>
        <v>4553450000</v>
      </c>
    </row>
    <row r="253" spans="2:33" x14ac:dyDescent="0.2">
      <c r="B253" t="s">
        <v>386</v>
      </c>
      <c r="C253" s="5" t="s">
        <v>102</v>
      </c>
      <c r="D253" s="22">
        <f>$D251</f>
        <v>27573000000</v>
      </c>
      <c r="E253" s="22">
        <f>$E251</f>
        <v>31562000000</v>
      </c>
      <c r="F253" s="22">
        <f>$F251</f>
        <v>39500000000</v>
      </c>
      <c r="G253" s="23">
        <f t="shared" ref="G253:G262" si="179">$G$251</f>
        <v>20</v>
      </c>
      <c r="H253" s="4">
        <v>11258000000</v>
      </c>
      <c r="J253" s="20">
        <f t="shared" si="174"/>
        <v>11258000000</v>
      </c>
      <c r="K253" s="20">
        <f t="shared" si="176"/>
        <v>10588000000</v>
      </c>
      <c r="L253" s="20">
        <f t="shared" ref="L253:L262" si="180">H251</f>
        <v>11468000000</v>
      </c>
      <c r="M253" s="20">
        <f>$F251/4</f>
        <v>9875000000</v>
      </c>
      <c r="N253" s="20">
        <f>$F251/4</f>
        <v>9875000000</v>
      </c>
      <c r="O253" s="20">
        <f>$F251/4</f>
        <v>9875000000</v>
      </c>
      <c r="P253" s="20">
        <f>$F251/4</f>
        <v>9875000000</v>
      </c>
      <c r="Q253" s="20">
        <f>$E251/4</f>
        <v>7890500000</v>
      </c>
      <c r="R253" s="20">
        <f>$E251/4</f>
        <v>7890500000</v>
      </c>
      <c r="S253" s="20">
        <f>$E251/4</f>
        <v>7890500000</v>
      </c>
      <c r="T253" s="20">
        <f>$E251/4</f>
        <v>7890500000</v>
      </c>
      <c r="U253" s="20">
        <f>$D251/4</f>
        <v>6893250000</v>
      </c>
      <c r="V253" s="20">
        <f>$D251/4</f>
        <v>6893250000</v>
      </c>
      <c r="W253" s="20">
        <f>$D251/4</f>
        <v>6893250000</v>
      </c>
      <c r="X253" s="20">
        <f>$D251/4</f>
        <v>6893250000</v>
      </c>
      <c r="Y253" s="20">
        <v>0</v>
      </c>
      <c r="Z253" s="20">
        <v>0</v>
      </c>
      <c r="AA253" s="20">
        <v>0</v>
      </c>
      <c r="AB253" s="20">
        <v>0</v>
      </c>
      <c r="AC253" s="20">
        <v>0</v>
      </c>
      <c r="AE253" s="21">
        <f t="shared" si="177"/>
        <v>6597450000</v>
      </c>
      <c r="AF253" s="21">
        <f t="shared" si="178"/>
        <v>90738325000</v>
      </c>
      <c r="AG253" s="21">
        <f t="shared" si="175"/>
        <v>4660550000</v>
      </c>
    </row>
    <row r="254" spans="2:33" x14ac:dyDescent="0.2">
      <c r="B254" t="s">
        <v>386</v>
      </c>
      <c r="C254" s="5" t="s">
        <v>101</v>
      </c>
      <c r="D254" s="22">
        <f>$D251</f>
        <v>27573000000</v>
      </c>
      <c r="E254" s="22">
        <f>$E251</f>
        <v>31562000000</v>
      </c>
      <c r="F254" s="22">
        <f>$F251</f>
        <v>39500000000</v>
      </c>
      <c r="G254" s="23">
        <f t="shared" si="179"/>
        <v>20</v>
      </c>
      <c r="H254" s="4">
        <v>12113000000</v>
      </c>
      <c r="J254" s="20">
        <f t="shared" si="174"/>
        <v>12113000000</v>
      </c>
      <c r="K254" s="20">
        <f t="shared" si="176"/>
        <v>11258000000</v>
      </c>
      <c r="L254" s="20">
        <f t="shared" si="180"/>
        <v>10588000000</v>
      </c>
      <c r="M254" s="20">
        <f t="shared" ref="M254:M262" si="181">H251</f>
        <v>11468000000</v>
      </c>
      <c r="N254" s="20">
        <f>$F251/4</f>
        <v>9875000000</v>
      </c>
      <c r="O254" s="20">
        <f>$F251/4</f>
        <v>9875000000</v>
      </c>
      <c r="P254" s="20">
        <f>$F251/4</f>
        <v>9875000000</v>
      </c>
      <c r="Q254" s="20">
        <f>$F251/4</f>
        <v>9875000000</v>
      </c>
      <c r="R254" s="20">
        <f>$E251/4</f>
        <v>7890500000</v>
      </c>
      <c r="S254" s="20">
        <f>$E251/4</f>
        <v>7890500000</v>
      </c>
      <c r="T254" s="20">
        <f>$E251/4</f>
        <v>7890500000</v>
      </c>
      <c r="U254" s="20">
        <f>$E251/4</f>
        <v>7890500000</v>
      </c>
      <c r="V254" s="20">
        <f>$D251/4</f>
        <v>6893250000</v>
      </c>
      <c r="W254" s="20">
        <f>$D251/4</f>
        <v>6893250000</v>
      </c>
      <c r="X254" s="20">
        <f>$D251/4</f>
        <v>6893250000</v>
      </c>
      <c r="Y254" s="20">
        <f>$D251/4</f>
        <v>6893250000</v>
      </c>
      <c r="Z254" s="20">
        <v>0</v>
      </c>
      <c r="AA254" s="20">
        <v>0</v>
      </c>
      <c r="AB254" s="20">
        <v>0</v>
      </c>
      <c r="AC254" s="20">
        <v>0</v>
      </c>
      <c r="AE254" s="21">
        <f t="shared" si="177"/>
        <v>7203100000</v>
      </c>
      <c r="AF254" s="21">
        <f t="shared" si="178"/>
        <v>96253875000</v>
      </c>
      <c r="AG254" s="21">
        <f t="shared" si="175"/>
        <v>4909900000</v>
      </c>
    </row>
    <row r="255" spans="2:33" x14ac:dyDescent="0.2">
      <c r="B255" t="s">
        <v>386</v>
      </c>
      <c r="C255" s="5" t="s">
        <v>100</v>
      </c>
      <c r="D255" s="22">
        <f>$D251</f>
        <v>27573000000</v>
      </c>
      <c r="E255" s="22">
        <f>$E251</f>
        <v>31562000000</v>
      </c>
      <c r="F255" s="22">
        <f>$F251</f>
        <v>39500000000</v>
      </c>
      <c r="G255" s="23">
        <f t="shared" si="179"/>
        <v>20</v>
      </c>
      <c r="H255" s="4">
        <v>11903000000</v>
      </c>
      <c r="J255" s="20">
        <f t="shared" si="174"/>
        <v>11903000000</v>
      </c>
      <c r="K255" s="20">
        <f t="shared" si="176"/>
        <v>12113000000</v>
      </c>
      <c r="L255" s="20">
        <f t="shared" si="180"/>
        <v>11258000000</v>
      </c>
      <c r="M255" s="20">
        <f t="shared" si="181"/>
        <v>10588000000</v>
      </c>
      <c r="N255" s="20">
        <f t="shared" ref="N255:N262" si="182">H251</f>
        <v>11468000000</v>
      </c>
      <c r="O255" s="20">
        <f>$F251/4</f>
        <v>9875000000</v>
      </c>
      <c r="P255" s="20">
        <f>$F251/4</f>
        <v>9875000000</v>
      </c>
      <c r="Q255" s="20">
        <f>$F251/4</f>
        <v>9875000000</v>
      </c>
      <c r="R255" s="20">
        <f>$F251/4</f>
        <v>9875000000</v>
      </c>
      <c r="S255" s="20">
        <f>$E251/4</f>
        <v>7890500000</v>
      </c>
      <c r="T255" s="20">
        <f>$E251/4</f>
        <v>7890500000</v>
      </c>
      <c r="U255" s="20">
        <f>$E251/4</f>
        <v>7890500000</v>
      </c>
      <c r="V255" s="20">
        <f>$E251/4</f>
        <v>7890500000</v>
      </c>
      <c r="W255" s="20">
        <f>$D251/4</f>
        <v>6893250000</v>
      </c>
      <c r="X255" s="20">
        <f>$D251/4</f>
        <v>6893250000</v>
      </c>
      <c r="Y255" s="20">
        <f>$D251/4</f>
        <v>6893250000</v>
      </c>
      <c r="Z255" s="20">
        <f>$D251/4</f>
        <v>6893250000</v>
      </c>
      <c r="AA255" s="20">
        <v>0</v>
      </c>
      <c r="AB255" s="20">
        <v>0</v>
      </c>
      <c r="AC255" s="20">
        <v>0</v>
      </c>
      <c r="AE255" s="21">
        <f t="shared" si="177"/>
        <v>7798250000</v>
      </c>
      <c r="AF255" s="21">
        <f t="shared" si="178"/>
        <v>100953775000</v>
      </c>
      <c r="AG255" s="21">
        <f t="shared" si="175"/>
        <v>4104750000</v>
      </c>
    </row>
    <row r="256" spans="2:33" x14ac:dyDescent="0.2">
      <c r="B256" t="s">
        <v>386</v>
      </c>
      <c r="C256" s="5" t="s">
        <v>99</v>
      </c>
      <c r="D256" s="22">
        <f>$D251</f>
        <v>27573000000</v>
      </c>
      <c r="E256" s="22">
        <f>$E251</f>
        <v>31562000000</v>
      </c>
      <c r="F256" s="22">
        <f>$F251</f>
        <v>39500000000</v>
      </c>
      <c r="G256" s="23">
        <f t="shared" si="179"/>
        <v>20</v>
      </c>
      <c r="H256" s="4">
        <v>11860000000</v>
      </c>
      <c r="J256" s="20">
        <f t="shared" si="174"/>
        <v>11860000000</v>
      </c>
      <c r="K256" s="20">
        <f t="shared" si="176"/>
        <v>11903000000</v>
      </c>
      <c r="L256" s="20">
        <f t="shared" si="180"/>
        <v>12113000000</v>
      </c>
      <c r="M256" s="20">
        <f t="shared" si="181"/>
        <v>11258000000</v>
      </c>
      <c r="N256" s="20">
        <f t="shared" si="182"/>
        <v>10588000000</v>
      </c>
      <c r="O256" s="20">
        <f t="shared" ref="O256:O262" si="183">H251</f>
        <v>11468000000</v>
      </c>
      <c r="P256" s="20">
        <f>$F251/4</f>
        <v>9875000000</v>
      </c>
      <c r="Q256" s="20">
        <f>$F251/4</f>
        <v>9875000000</v>
      </c>
      <c r="R256" s="20">
        <f>$F251/4</f>
        <v>9875000000</v>
      </c>
      <c r="S256" s="20">
        <f>$F251/4</f>
        <v>9875000000</v>
      </c>
      <c r="T256" s="20">
        <f>$E251/4</f>
        <v>7890500000</v>
      </c>
      <c r="U256" s="20">
        <f>$E251/4</f>
        <v>7890500000</v>
      </c>
      <c r="V256" s="20">
        <f>$E251/4</f>
        <v>7890500000</v>
      </c>
      <c r="W256" s="20">
        <f>$E251/4</f>
        <v>7890500000</v>
      </c>
      <c r="X256" s="20">
        <f>$D251/4</f>
        <v>6893250000</v>
      </c>
      <c r="Y256" s="20">
        <f>$D251/4</f>
        <v>6893250000</v>
      </c>
      <c r="Z256" s="20">
        <f>$D251/4</f>
        <v>6893250000</v>
      </c>
      <c r="AA256" s="20">
        <f>$D251/4</f>
        <v>6893250000</v>
      </c>
      <c r="AB256" s="20">
        <v>0</v>
      </c>
      <c r="AC256" s="20">
        <v>0</v>
      </c>
      <c r="AE256" s="21">
        <f t="shared" si="177"/>
        <v>8391250000</v>
      </c>
      <c r="AF256" s="21">
        <f t="shared" si="178"/>
        <v>105015525000</v>
      </c>
      <c r="AG256" s="21">
        <f t="shared" si="175"/>
        <v>3468750000</v>
      </c>
    </row>
    <row r="257" spans="2:33" x14ac:dyDescent="0.2">
      <c r="B257" t="s">
        <v>386</v>
      </c>
      <c r="C257" s="5" t="s">
        <v>98</v>
      </c>
      <c r="D257" s="22">
        <f>$D251</f>
        <v>27573000000</v>
      </c>
      <c r="E257" s="22">
        <f>$E251</f>
        <v>31562000000</v>
      </c>
      <c r="F257" s="22">
        <f>$F251</f>
        <v>39500000000</v>
      </c>
      <c r="G257" s="23">
        <f t="shared" si="179"/>
        <v>20</v>
      </c>
      <c r="H257" s="4">
        <v>12447000000</v>
      </c>
      <c r="J257" s="20">
        <f t="shared" si="174"/>
        <v>12447000000</v>
      </c>
      <c r="K257" s="20">
        <f t="shared" si="176"/>
        <v>11860000000</v>
      </c>
      <c r="L257" s="20">
        <f t="shared" si="180"/>
        <v>11903000000</v>
      </c>
      <c r="M257" s="20">
        <f t="shared" si="181"/>
        <v>12113000000</v>
      </c>
      <c r="N257" s="20">
        <f t="shared" si="182"/>
        <v>11258000000</v>
      </c>
      <c r="O257" s="20">
        <f t="shared" si="183"/>
        <v>10588000000</v>
      </c>
      <c r="P257" s="20">
        <f t="shared" ref="P257:P262" si="184">H251</f>
        <v>11468000000</v>
      </c>
      <c r="Q257" s="20">
        <f>$F251/4</f>
        <v>9875000000</v>
      </c>
      <c r="R257" s="20">
        <f>$F251/4</f>
        <v>9875000000</v>
      </c>
      <c r="S257" s="20">
        <f>$F251/4</f>
        <v>9875000000</v>
      </c>
      <c r="T257" s="20">
        <f>$F251/4</f>
        <v>9875000000</v>
      </c>
      <c r="U257" s="20">
        <f>$E251/4</f>
        <v>7890500000</v>
      </c>
      <c r="V257" s="20">
        <f>$E251/4</f>
        <v>7890500000</v>
      </c>
      <c r="W257" s="20">
        <f>$E251/4</f>
        <v>7890500000</v>
      </c>
      <c r="X257" s="20">
        <f>$E251/4</f>
        <v>7890500000</v>
      </c>
      <c r="Y257" s="20">
        <f>$D251/4</f>
        <v>6893250000</v>
      </c>
      <c r="Z257" s="20">
        <f>$D251/4</f>
        <v>6893250000</v>
      </c>
      <c r="AA257" s="20">
        <f>$D251/4</f>
        <v>6893250000</v>
      </c>
      <c r="AB257" s="20">
        <f>$D251/4</f>
        <v>6893250000</v>
      </c>
      <c r="AC257" s="20">
        <v>0</v>
      </c>
      <c r="AE257" s="21">
        <f t="shared" si="177"/>
        <v>9013600000</v>
      </c>
      <c r="AF257" s="21">
        <f t="shared" si="178"/>
        <v>109071275000</v>
      </c>
      <c r="AG257" s="21">
        <f t="shared" si="175"/>
        <v>3433400000</v>
      </c>
    </row>
    <row r="258" spans="2:33" x14ac:dyDescent="0.2">
      <c r="B258" t="s">
        <v>386</v>
      </c>
      <c r="C258" s="5" t="s">
        <v>97</v>
      </c>
      <c r="D258" s="22">
        <f>$D251</f>
        <v>27573000000</v>
      </c>
      <c r="E258" s="22">
        <f>$E251</f>
        <v>31562000000</v>
      </c>
      <c r="F258" s="22">
        <f>$F251</f>
        <v>39500000000</v>
      </c>
      <c r="G258" s="23">
        <f t="shared" si="179"/>
        <v>20</v>
      </c>
      <c r="H258" s="4">
        <v>13116000000</v>
      </c>
      <c r="J258" s="20">
        <f t="shared" si="174"/>
        <v>13116000000</v>
      </c>
      <c r="K258" s="20">
        <f t="shared" si="176"/>
        <v>12447000000</v>
      </c>
      <c r="L258" s="20">
        <f t="shared" si="180"/>
        <v>11860000000</v>
      </c>
      <c r="M258" s="20">
        <f t="shared" si="181"/>
        <v>11903000000</v>
      </c>
      <c r="N258" s="20">
        <f t="shared" si="182"/>
        <v>12113000000</v>
      </c>
      <c r="O258" s="20">
        <f t="shared" si="183"/>
        <v>11258000000</v>
      </c>
      <c r="P258" s="20">
        <f t="shared" si="184"/>
        <v>10588000000</v>
      </c>
      <c r="Q258" s="20">
        <f>H251</f>
        <v>11468000000</v>
      </c>
      <c r="R258" s="20">
        <f>$F251/4</f>
        <v>9875000000</v>
      </c>
      <c r="S258" s="20">
        <f>$F251/4</f>
        <v>9875000000</v>
      </c>
      <c r="T258" s="20">
        <f>$F251/4</f>
        <v>9875000000</v>
      </c>
      <c r="U258" s="20">
        <f>$F251/4</f>
        <v>9875000000</v>
      </c>
      <c r="V258" s="20">
        <f>$E251/4</f>
        <v>7890500000</v>
      </c>
      <c r="W258" s="20">
        <f>$E251/4</f>
        <v>7890500000</v>
      </c>
      <c r="X258" s="20">
        <f>$E251/4</f>
        <v>7890500000</v>
      </c>
      <c r="Y258" s="20">
        <f>$E251/4</f>
        <v>7890500000</v>
      </c>
      <c r="Z258" s="20">
        <f>$D251/4</f>
        <v>6893250000</v>
      </c>
      <c r="AA258" s="20">
        <f>$D251/4</f>
        <v>6893250000</v>
      </c>
      <c r="AB258" s="20">
        <f>$D251/4</f>
        <v>6893250000</v>
      </c>
      <c r="AC258" s="20">
        <f>$D251/4</f>
        <v>6893250000</v>
      </c>
      <c r="AE258" s="21">
        <f t="shared" si="177"/>
        <v>9669400000</v>
      </c>
      <c r="AF258" s="21">
        <f t="shared" si="178"/>
        <v>113173675000</v>
      </c>
      <c r="AG258" s="21">
        <f t="shared" si="175"/>
        <v>3446600000</v>
      </c>
    </row>
    <row r="259" spans="2:33" x14ac:dyDescent="0.2">
      <c r="B259" t="s">
        <v>386</v>
      </c>
      <c r="C259" s="5" t="s">
        <v>96</v>
      </c>
      <c r="D259" s="22">
        <f>$D251</f>
        <v>27573000000</v>
      </c>
      <c r="E259" s="22">
        <f>$E251</f>
        <v>31562000000</v>
      </c>
      <c r="F259" s="22">
        <f>$F251</f>
        <v>39500000000</v>
      </c>
      <c r="G259" s="23">
        <f t="shared" si="179"/>
        <v>20</v>
      </c>
      <c r="H259" s="4">
        <v>13556000000</v>
      </c>
      <c r="J259" s="20">
        <f t="shared" si="174"/>
        <v>13556000000</v>
      </c>
      <c r="K259" s="20">
        <f t="shared" si="176"/>
        <v>13116000000</v>
      </c>
      <c r="L259" s="20">
        <f t="shared" si="180"/>
        <v>12447000000</v>
      </c>
      <c r="M259" s="20">
        <f t="shared" si="181"/>
        <v>11860000000</v>
      </c>
      <c r="N259" s="20">
        <f t="shared" si="182"/>
        <v>11903000000</v>
      </c>
      <c r="O259" s="20">
        <f t="shared" si="183"/>
        <v>12113000000</v>
      </c>
      <c r="P259" s="20">
        <f t="shared" si="184"/>
        <v>11258000000</v>
      </c>
      <c r="Q259" s="20">
        <f>H252</f>
        <v>10588000000</v>
      </c>
      <c r="R259" s="20">
        <f>H251</f>
        <v>11468000000</v>
      </c>
      <c r="S259" s="20">
        <f>$F251/4</f>
        <v>9875000000</v>
      </c>
      <c r="T259" s="20">
        <f>$F251/4</f>
        <v>9875000000</v>
      </c>
      <c r="U259" s="20">
        <f>$F251/4</f>
        <v>9875000000</v>
      </c>
      <c r="V259" s="20">
        <f>$F251/4</f>
        <v>9875000000</v>
      </c>
      <c r="W259" s="20">
        <f>$E251/4</f>
        <v>7890500000</v>
      </c>
      <c r="X259" s="20">
        <f>$E251/4</f>
        <v>7890500000</v>
      </c>
      <c r="Y259" s="20">
        <f>$E251/4</f>
        <v>7890500000</v>
      </c>
      <c r="Z259" s="20">
        <f>$E251/4</f>
        <v>7890500000</v>
      </c>
      <c r="AA259" s="20">
        <f>$D251/4</f>
        <v>6893250000</v>
      </c>
      <c r="AB259" s="20">
        <f>$D251/4</f>
        <v>6893250000</v>
      </c>
      <c r="AC259" s="20">
        <f>$D251/4</f>
        <v>6893250000</v>
      </c>
      <c r="AE259" s="21">
        <f t="shared" si="177"/>
        <v>10002537500</v>
      </c>
      <c r="AF259" s="21">
        <f t="shared" si="178"/>
        <v>117060275000</v>
      </c>
      <c r="AG259" s="21">
        <f t="shared" si="175"/>
        <v>3553462500</v>
      </c>
    </row>
    <row r="260" spans="2:33" x14ac:dyDescent="0.2">
      <c r="B260" t="s">
        <v>386</v>
      </c>
      <c r="C260" s="5" t="s">
        <v>95</v>
      </c>
      <c r="D260" s="22">
        <f>$D251</f>
        <v>27573000000</v>
      </c>
      <c r="E260" s="22">
        <f>$E251</f>
        <v>31562000000</v>
      </c>
      <c r="F260" s="22">
        <f>$F251</f>
        <v>39500000000</v>
      </c>
      <c r="G260" s="23">
        <f t="shared" si="179"/>
        <v>20</v>
      </c>
      <c r="H260" s="4">
        <v>13808000000</v>
      </c>
      <c r="J260" s="20">
        <f t="shared" si="174"/>
        <v>13808000000</v>
      </c>
      <c r="K260" s="20">
        <f t="shared" si="176"/>
        <v>13556000000</v>
      </c>
      <c r="L260" s="20">
        <f t="shared" si="180"/>
        <v>13116000000</v>
      </c>
      <c r="M260" s="20">
        <f t="shared" si="181"/>
        <v>12447000000</v>
      </c>
      <c r="N260" s="20">
        <f t="shared" si="182"/>
        <v>11860000000</v>
      </c>
      <c r="O260" s="20">
        <f t="shared" si="183"/>
        <v>11903000000</v>
      </c>
      <c r="P260" s="20">
        <f t="shared" si="184"/>
        <v>12113000000</v>
      </c>
      <c r="Q260" s="20">
        <f>H253</f>
        <v>11258000000</v>
      </c>
      <c r="R260" s="20">
        <f>H252</f>
        <v>10588000000</v>
      </c>
      <c r="S260" s="20">
        <f>H251</f>
        <v>11468000000</v>
      </c>
      <c r="T260" s="20">
        <f>$F251/4</f>
        <v>9875000000</v>
      </c>
      <c r="U260" s="20">
        <f>$F251/4</f>
        <v>9875000000</v>
      </c>
      <c r="V260" s="20">
        <f>$F251/4</f>
        <v>9875000000</v>
      </c>
      <c r="W260" s="20">
        <f>$F251/4</f>
        <v>9875000000</v>
      </c>
      <c r="X260" s="20">
        <f>$E251/4</f>
        <v>7890500000</v>
      </c>
      <c r="Y260" s="20">
        <f>$E251/4</f>
        <v>7890500000</v>
      </c>
      <c r="Z260" s="20">
        <f>$E251/4</f>
        <v>7890500000</v>
      </c>
      <c r="AA260" s="20">
        <f>$E251/4</f>
        <v>7890500000</v>
      </c>
      <c r="AB260" s="20">
        <f>$D251/4</f>
        <v>6893250000</v>
      </c>
      <c r="AC260" s="20">
        <f>$D251/4</f>
        <v>6893250000</v>
      </c>
      <c r="AE260" s="21">
        <f t="shared" si="177"/>
        <v>10348275000</v>
      </c>
      <c r="AF260" s="21">
        <f t="shared" si="178"/>
        <v>120865737500</v>
      </c>
      <c r="AG260" s="21">
        <f t="shared" si="175"/>
        <v>3459725000</v>
      </c>
    </row>
    <row r="261" spans="2:33" x14ac:dyDescent="0.2">
      <c r="B261" t="s">
        <v>386</v>
      </c>
      <c r="C261" s="5" t="s">
        <v>94</v>
      </c>
      <c r="D261" s="22">
        <f>$D251</f>
        <v>27573000000</v>
      </c>
      <c r="E261" s="22">
        <f>$E251</f>
        <v>31562000000</v>
      </c>
      <c r="F261" s="22">
        <f>$F251</f>
        <v>39500000000</v>
      </c>
      <c r="G261" s="23">
        <f t="shared" si="179"/>
        <v>20</v>
      </c>
      <c r="H261" s="4">
        <v>15151000000</v>
      </c>
      <c r="J261" s="20">
        <f t="shared" si="174"/>
        <v>15151000000</v>
      </c>
      <c r="K261" s="20">
        <f t="shared" si="176"/>
        <v>13808000000</v>
      </c>
      <c r="L261" s="20">
        <f t="shared" si="180"/>
        <v>13556000000</v>
      </c>
      <c r="M261" s="20">
        <f t="shared" si="181"/>
        <v>13116000000</v>
      </c>
      <c r="N261" s="20">
        <f t="shared" si="182"/>
        <v>12447000000</v>
      </c>
      <c r="O261" s="20">
        <f t="shared" si="183"/>
        <v>11860000000</v>
      </c>
      <c r="P261" s="20">
        <f t="shared" si="184"/>
        <v>11903000000</v>
      </c>
      <c r="Q261" s="20">
        <f>H254</f>
        <v>12113000000</v>
      </c>
      <c r="R261" s="20">
        <f>H253</f>
        <v>11258000000</v>
      </c>
      <c r="S261" s="20">
        <f>H252</f>
        <v>10588000000</v>
      </c>
      <c r="T261" s="20">
        <f>H251</f>
        <v>11468000000</v>
      </c>
      <c r="U261" s="20">
        <f>$F251/4</f>
        <v>9875000000</v>
      </c>
      <c r="V261" s="20">
        <f>$F251/4</f>
        <v>9875000000</v>
      </c>
      <c r="W261" s="20">
        <f>$F251/4</f>
        <v>9875000000</v>
      </c>
      <c r="X261" s="20">
        <f>$F251/4</f>
        <v>9875000000</v>
      </c>
      <c r="Y261" s="20">
        <f>$E251/4</f>
        <v>7890500000</v>
      </c>
      <c r="Z261" s="20">
        <f>$E251/4</f>
        <v>7890500000</v>
      </c>
      <c r="AA261" s="20">
        <f>$E251/4</f>
        <v>7890500000</v>
      </c>
      <c r="AB261" s="20">
        <f>$E251/4</f>
        <v>7890500000</v>
      </c>
      <c r="AC261" s="20">
        <f>$D251/4</f>
        <v>6893250000</v>
      </c>
      <c r="AE261" s="21">
        <f t="shared" si="177"/>
        <v>10761162500</v>
      </c>
      <c r="AF261" s="21">
        <f t="shared" si="178"/>
        <v>125668462500</v>
      </c>
      <c r="AG261" s="21">
        <f t="shared" si="175"/>
        <v>4389837500</v>
      </c>
    </row>
    <row r="262" spans="2:33" x14ac:dyDescent="0.2">
      <c r="B262" t="s">
        <v>386</v>
      </c>
      <c r="C262" s="5" t="s">
        <v>93</v>
      </c>
      <c r="D262" s="22">
        <f>$D251</f>
        <v>27573000000</v>
      </c>
      <c r="E262" s="22">
        <f>$E251</f>
        <v>31562000000</v>
      </c>
      <c r="F262" s="22">
        <f>$F251</f>
        <v>39500000000</v>
      </c>
      <c r="G262" s="23">
        <f t="shared" si="179"/>
        <v>20</v>
      </c>
      <c r="H262" s="4">
        <v>18572000000</v>
      </c>
      <c r="J262" s="20">
        <f t="shared" si="174"/>
        <v>18572000000</v>
      </c>
      <c r="K262" s="20">
        <f t="shared" si="176"/>
        <v>15151000000</v>
      </c>
      <c r="L262" s="20">
        <f t="shared" si="180"/>
        <v>13808000000</v>
      </c>
      <c r="M262" s="20">
        <f t="shared" si="181"/>
        <v>13556000000</v>
      </c>
      <c r="N262" s="20">
        <f t="shared" si="182"/>
        <v>13116000000</v>
      </c>
      <c r="O262" s="20">
        <f t="shared" si="183"/>
        <v>12447000000</v>
      </c>
      <c r="P262" s="20">
        <f t="shared" si="184"/>
        <v>11860000000</v>
      </c>
      <c r="Q262" s="20">
        <f>H255</f>
        <v>11903000000</v>
      </c>
      <c r="R262" s="20">
        <f>H254</f>
        <v>12113000000</v>
      </c>
      <c r="S262" s="20">
        <f>H253</f>
        <v>11258000000</v>
      </c>
      <c r="T262" s="20">
        <f>H252</f>
        <v>10588000000</v>
      </c>
      <c r="U262" s="20">
        <f>H251</f>
        <v>11468000000</v>
      </c>
      <c r="V262" s="20">
        <f>$F251/4</f>
        <v>9875000000</v>
      </c>
      <c r="W262" s="20">
        <f>$F251/4</f>
        <v>9875000000</v>
      </c>
      <c r="X262" s="20">
        <f>$F251/4</f>
        <v>9875000000</v>
      </c>
      <c r="Y262" s="20">
        <f>$F251/4</f>
        <v>9875000000</v>
      </c>
      <c r="Z262" s="20">
        <f>$E251/4</f>
        <v>7890500000</v>
      </c>
      <c r="AA262" s="20">
        <f>$E251/4</f>
        <v>7890500000</v>
      </c>
      <c r="AB262" s="20">
        <f>$E251/4</f>
        <v>7890500000</v>
      </c>
      <c r="AC262" s="20">
        <f>$E251/4</f>
        <v>7890500000</v>
      </c>
      <c r="AE262" s="21">
        <f t="shared" si="177"/>
        <v>11345100000</v>
      </c>
      <c r="AF262" s="21">
        <f t="shared" si="178"/>
        <v>133479300000</v>
      </c>
      <c r="AG262" s="21">
        <f t="shared" si="175"/>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2026-04-12T08:26:35Z</dcterms:modified>
</cp:coreProperties>
</file>