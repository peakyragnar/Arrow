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28FEA1D2-F6E0-1549-86FE-115BB66788D7}" xr6:coauthVersionLast="47" xr6:coauthVersionMax="47" xr10:uidLastSave="{00000000-0000-0000-0000-000000000000}"/>
  <bookViews>
    <workbookView xWindow="41940" yWindow="1560" windowWidth="33400" windowHeight="187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C51" i="1" l="1"/>
  <c r="BC50" i="1"/>
  <c r="BC49" i="1"/>
  <c r="I123" i="2"/>
  <c r="AC123" i="2" s="1"/>
  <c r="G123" i="2"/>
  <c r="F123" i="2"/>
  <c r="E123" i="2"/>
  <c r="D123" i="2"/>
  <c r="I122" i="2"/>
  <c r="AB122" i="2" s="1"/>
  <c r="AC122" i="2" s="1"/>
  <c r="G122" i="2"/>
  <c r="F122" i="2"/>
  <c r="E122" i="2"/>
  <c r="D122" i="2"/>
  <c r="I121" i="2"/>
  <c r="AA121" i="2" s="1"/>
  <c r="AB121" i="2" s="1"/>
  <c r="AC121" i="2" s="1"/>
  <c r="G121" i="2"/>
  <c r="F121" i="2"/>
  <c r="E121" i="2"/>
  <c r="D121" i="2"/>
  <c r="I120" i="2"/>
  <c r="Z120" i="2" s="1"/>
  <c r="AA120" i="2" s="1"/>
  <c r="AB120" i="2" s="1"/>
  <c r="AC120" i="2" s="1"/>
  <c r="G120" i="2"/>
  <c r="F120" i="2"/>
  <c r="E120" i="2"/>
  <c r="D120" i="2"/>
  <c r="I119" i="2"/>
  <c r="Y119" i="2" s="1"/>
  <c r="Z119" i="2" s="1"/>
  <c r="AA119" i="2" s="1"/>
  <c r="AB119" i="2" s="1"/>
  <c r="AC119" i="2" s="1"/>
  <c r="G119" i="2"/>
  <c r="F119" i="2"/>
  <c r="E119" i="2"/>
  <c r="D119" i="2"/>
  <c r="I118" i="2"/>
  <c r="X118" i="2" s="1"/>
  <c r="Y118" i="2" s="1"/>
  <c r="Z118" i="2" s="1"/>
  <c r="AA118" i="2" s="1"/>
  <c r="AB118" i="2" s="1"/>
  <c r="AC118" i="2" s="1"/>
  <c r="G118" i="2"/>
  <c r="F118" i="2"/>
  <c r="E118" i="2"/>
  <c r="D118" i="2"/>
  <c r="I117" i="2"/>
  <c r="W117" i="2" s="1"/>
  <c r="X117" i="2" s="1"/>
  <c r="Y117" i="2" s="1"/>
  <c r="Z117" i="2" s="1"/>
  <c r="AA117" i="2" s="1"/>
  <c r="AB117" i="2" s="1"/>
  <c r="AC117" i="2" s="1"/>
  <c r="G117" i="2"/>
  <c r="F117" i="2"/>
  <c r="E117" i="2"/>
  <c r="D117" i="2"/>
  <c r="I116" i="2"/>
  <c r="V116" i="2" s="1"/>
  <c r="W116" i="2" s="1"/>
  <c r="X116" i="2" s="1"/>
  <c r="Y116" i="2" s="1"/>
  <c r="Z116" i="2" s="1"/>
  <c r="AA116" i="2" s="1"/>
  <c r="AB116" i="2" s="1"/>
  <c r="AC116" i="2" s="1"/>
  <c r="G116" i="2"/>
  <c r="F116" i="2"/>
  <c r="E116" i="2"/>
  <c r="D116" i="2"/>
  <c r="I115" i="2"/>
  <c r="U115" i="2" s="1"/>
  <c r="V115" i="2" s="1"/>
  <c r="W115" i="2" s="1"/>
  <c r="X115" i="2" s="1"/>
  <c r="Y115" i="2" s="1"/>
  <c r="Z115" i="2" s="1"/>
  <c r="AA115" i="2" s="1"/>
  <c r="AB115" i="2" s="1"/>
  <c r="AC115" i="2" s="1"/>
  <c r="G115" i="2"/>
  <c r="F115" i="2"/>
  <c r="E115" i="2"/>
  <c r="D115" i="2"/>
  <c r="I114" i="2"/>
  <c r="T114" i="2" s="1"/>
  <c r="U114" i="2" s="1"/>
  <c r="V114" i="2" s="1"/>
  <c r="W114" i="2" s="1"/>
  <c r="X114" i="2" s="1"/>
  <c r="Y114" i="2" s="1"/>
  <c r="Z114" i="2" s="1"/>
  <c r="AA114" i="2" s="1"/>
  <c r="AB114" i="2" s="1"/>
  <c r="AC114" i="2" s="1"/>
  <c r="G114" i="2"/>
  <c r="F114" i="2"/>
  <c r="E114" i="2"/>
  <c r="D114" i="2"/>
  <c r="I113" i="2"/>
  <c r="S113" i="2" s="1"/>
  <c r="T113" i="2" s="1"/>
  <c r="U113" i="2" s="1"/>
  <c r="V113" i="2" s="1"/>
  <c r="W113" i="2" s="1"/>
  <c r="X113" i="2" s="1"/>
  <c r="Y113" i="2" s="1"/>
  <c r="Z113" i="2" s="1"/>
  <c r="AA113" i="2" s="1"/>
  <c r="AB113" i="2" s="1"/>
  <c r="AC113" i="2" s="1"/>
  <c r="G113" i="2"/>
  <c r="F113" i="2"/>
  <c r="E113" i="2"/>
  <c r="D113" i="2"/>
  <c r="I112" i="2"/>
  <c r="R112" i="2" s="1"/>
  <c r="S112" i="2" s="1"/>
  <c r="T112" i="2" s="1"/>
  <c r="U112" i="2" s="1"/>
  <c r="V112" i="2" s="1"/>
  <c r="W112" i="2" s="1"/>
  <c r="X112" i="2" s="1"/>
  <c r="Y112" i="2" s="1"/>
  <c r="Z112" i="2" s="1"/>
  <c r="AA112" i="2" s="1"/>
  <c r="AB112" i="2" s="1"/>
  <c r="AC112" i="2" s="1"/>
  <c r="I111" i="2"/>
  <c r="Q111" i="2" s="1"/>
  <c r="R111" i="2" s="1"/>
  <c r="S111" i="2" s="1"/>
  <c r="T111" i="2" s="1"/>
  <c r="U111" i="2" s="1"/>
  <c r="V111" i="2" s="1"/>
  <c r="W111" i="2" s="1"/>
  <c r="X111" i="2" s="1"/>
  <c r="Y111" i="2" s="1"/>
  <c r="Z111" i="2" s="1"/>
  <c r="AA111" i="2" s="1"/>
  <c r="AB111" i="2" s="1"/>
  <c r="AC111" i="2" s="1"/>
  <c r="G111" i="2"/>
  <c r="I110" i="2"/>
  <c r="P110" i="2" s="1"/>
  <c r="Q110" i="2" s="1"/>
  <c r="R110" i="2" s="1"/>
  <c r="S110" i="2" s="1"/>
  <c r="T110" i="2" s="1"/>
  <c r="U110" i="2" s="1"/>
  <c r="V110" i="2" s="1"/>
  <c r="W110" i="2" s="1"/>
  <c r="X110" i="2" s="1"/>
  <c r="Y110" i="2" s="1"/>
  <c r="Z110" i="2" s="1"/>
  <c r="AA110" i="2" s="1"/>
  <c r="AB110" i="2" s="1"/>
  <c r="AC110" i="2" s="1"/>
  <c r="G110" i="2"/>
  <c r="I109" i="2"/>
  <c r="G109" i="2"/>
  <c r="I108" i="2"/>
  <c r="G108" i="2"/>
  <c r="I107" i="2"/>
  <c r="M107" i="2" s="1"/>
  <c r="N107" i="2" s="1"/>
  <c r="O107" i="2" s="1"/>
  <c r="P107" i="2" s="1"/>
  <c r="Q107" i="2" s="1"/>
  <c r="R107" i="2" s="1"/>
  <c r="S107" i="2" s="1"/>
  <c r="T107" i="2" s="1"/>
  <c r="U107" i="2" s="1"/>
  <c r="V107" i="2" s="1"/>
  <c r="W107" i="2" s="1"/>
  <c r="X107" i="2" s="1"/>
  <c r="Y107" i="2" s="1"/>
  <c r="Z107" i="2" s="1"/>
  <c r="AA107" i="2" s="1"/>
  <c r="AB107" i="2" s="1"/>
  <c r="AC107" i="2" s="1"/>
  <c r="G107" i="2"/>
  <c r="I106" i="2"/>
  <c r="L106" i="2" s="1"/>
  <c r="M106" i="2" s="1"/>
  <c r="N106" i="2" s="1"/>
  <c r="O106" i="2" s="1"/>
  <c r="P106" i="2" s="1"/>
  <c r="Q106" i="2" s="1"/>
  <c r="R106" i="2" s="1"/>
  <c r="S106" i="2" s="1"/>
  <c r="T106" i="2" s="1"/>
  <c r="U106" i="2" s="1"/>
  <c r="V106" i="2" s="1"/>
  <c r="W106" i="2" s="1"/>
  <c r="X106" i="2" s="1"/>
  <c r="Y106" i="2" s="1"/>
  <c r="Z106" i="2" s="1"/>
  <c r="AA106" i="2" s="1"/>
  <c r="AB106" i="2" s="1"/>
  <c r="AC106" i="2" s="1"/>
  <c r="G106" i="2"/>
  <c r="I105" i="2"/>
  <c r="K105" i="2" s="1"/>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AE104" i="2" s="1"/>
  <c r="AG104" i="2" s="1"/>
  <c r="G104" i="2"/>
  <c r="BC28" i="1"/>
  <c r="I73" i="2"/>
  <c r="AC73" i="2" s="1"/>
  <c r="G73" i="2"/>
  <c r="F73" i="2"/>
  <c r="E73" i="2"/>
  <c r="D73" i="2"/>
  <c r="I72" i="2"/>
  <c r="AB72" i="2" s="1"/>
  <c r="AC72" i="2" s="1"/>
  <c r="G72" i="2"/>
  <c r="F72" i="2"/>
  <c r="E72" i="2"/>
  <c r="D72" i="2"/>
  <c r="I71" i="2"/>
  <c r="AA71" i="2" s="1"/>
  <c r="AB71" i="2" s="1"/>
  <c r="AC71" i="2" s="1"/>
  <c r="G71" i="2"/>
  <c r="F71" i="2"/>
  <c r="E71" i="2"/>
  <c r="D71" i="2"/>
  <c r="I70" i="2"/>
  <c r="Z70" i="2" s="1"/>
  <c r="AA70" i="2" s="1"/>
  <c r="AB70" i="2" s="1"/>
  <c r="AC70" i="2" s="1"/>
  <c r="G70" i="2"/>
  <c r="F70" i="2"/>
  <c r="E70" i="2"/>
  <c r="D70" i="2"/>
  <c r="I69" i="2"/>
  <c r="Y69" i="2" s="1"/>
  <c r="Z69" i="2" s="1"/>
  <c r="AA69" i="2" s="1"/>
  <c r="AB69" i="2" s="1"/>
  <c r="AC69" i="2" s="1"/>
  <c r="G69" i="2"/>
  <c r="F69" i="2"/>
  <c r="E69" i="2"/>
  <c r="D69" i="2"/>
  <c r="I68" i="2"/>
  <c r="X68" i="2" s="1"/>
  <c r="Y68" i="2" s="1"/>
  <c r="Z68" i="2" s="1"/>
  <c r="AA68" i="2" s="1"/>
  <c r="AB68" i="2" s="1"/>
  <c r="AC68" i="2" s="1"/>
  <c r="G68" i="2"/>
  <c r="F68" i="2"/>
  <c r="E68" i="2"/>
  <c r="D68" i="2"/>
  <c r="I67" i="2"/>
  <c r="W67" i="2" s="1"/>
  <c r="X67" i="2" s="1"/>
  <c r="Y67" i="2" s="1"/>
  <c r="Z67" i="2" s="1"/>
  <c r="AA67" i="2" s="1"/>
  <c r="AB67" i="2" s="1"/>
  <c r="AC67" i="2" s="1"/>
  <c r="G67" i="2"/>
  <c r="F67" i="2"/>
  <c r="E67" i="2"/>
  <c r="D67" i="2"/>
  <c r="I66" i="2"/>
  <c r="G66" i="2"/>
  <c r="F66" i="2"/>
  <c r="E66" i="2"/>
  <c r="D66" i="2"/>
  <c r="I65" i="2"/>
  <c r="U65" i="2" s="1"/>
  <c r="V65" i="2" s="1"/>
  <c r="W65" i="2" s="1"/>
  <c r="X65" i="2" s="1"/>
  <c r="Y65" i="2" s="1"/>
  <c r="Z65" i="2" s="1"/>
  <c r="AA65" i="2" s="1"/>
  <c r="AB65" i="2" s="1"/>
  <c r="AC65" i="2" s="1"/>
  <c r="G65" i="2"/>
  <c r="F65" i="2"/>
  <c r="E65" i="2"/>
  <c r="D65" i="2"/>
  <c r="I64" i="2"/>
  <c r="T64" i="2" s="1"/>
  <c r="U64" i="2" s="1"/>
  <c r="V64" i="2" s="1"/>
  <c r="W64" i="2" s="1"/>
  <c r="X64" i="2" s="1"/>
  <c r="Y64" i="2" s="1"/>
  <c r="Z64" i="2" s="1"/>
  <c r="AA64" i="2" s="1"/>
  <c r="AB64" i="2" s="1"/>
  <c r="AC64" i="2" s="1"/>
  <c r="G64" i="2"/>
  <c r="F64" i="2"/>
  <c r="E64" i="2"/>
  <c r="D64" i="2"/>
  <c r="I63" i="2"/>
  <c r="S63" i="2" s="1"/>
  <c r="T63" i="2" s="1"/>
  <c r="U63" i="2" s="1"/>
  <c r="V63" i="2" s="1"/>
  <c r="W63" i="2" s="1"/>
  <c r="X63" i="2" s="1"/>
  <c r="Y63" i="2" s="1"/>
  <c r="Z63" i="2" s="1"/>
  <c r="AA63" i="2" s="1"/>
  <c r="AB63" i="2" s="1"/>
  <c r="AC63" i="2" s="1"/>
  <c r="G63" i="2"/>
  <c r="F63" i="2"/>
  <c r="E63" i="2"/>
  <c r="D63" i="2"/>
  <c r="I62" i="2"/>
  <c r="R62" i="2" s="1"/>
  <c r="S62" i="2" s="1"/>
  <c r="T62" i="2" s="1"/>
  <c r="U62" i="2" s="1"/>
  <c r="V62" i="2" s="1"/>
  <c r="W62" i="2" s="1"/>
  <c r="X62" i="2" s="1"/>
  <c r="Y62" i="2" s="1"/>
  <c r="Z62" i="2" s="1"/>
  <c r="AA62" i="2" s="1"/>
  <c r="AB62" i="2" s="1"/>
  <c r="AC62" i="2" s="1"/>
  <c r="I61" i="2"/>
  <c r="Q61" i="2" s="1"/>
  <c r="R61" i="2" s="1"/>
  <c r="S61" i="2" s="1"/>
  <c r="T61" i="2" s="1"/>
  <c r="U61" i="2" s="1"/>
  <c r="V61" i="2" s="1"/>
  <c r="W61" i="2" s="1"/>
  <c r="X61" i="2" s="1"/>
  <c r="Y61" i="2" s="1"/>
  <c r="Z61" i="2" s="1"/>
  <c r="AA61" i="2" s="1"/>
  <c r="AB61" i="2" s="1"/>
  <c r="AC61" i="2" s="1"/>
  <c r="G61" i="2"/>
  <c r="I60" i="2"/>
  <c r="P60" i="2" s="1"/>
  <c r="Q60" i="2" s="1"/>
  <c r="R60" i="2" s="1"/>
  <c r="S60" i="2" s="1"/>
  <c r="T60" i="2" s="1"/>
  <c r="U60" i="2" s="1"/>
  <c r="V60" i="2" s="1"/>
  <c r="W60" i="2" s="1"/>
  <c r="X60" i="2" s="1"/>
  <c r="Y60" i="2" s="1"/>
  <c r="Z60" i="2" s="1"/>
  <c r="AA60" i="2" s="1"/>
  <c r="AB60" i="2" s="1"/>
  <c r="AC60" i="2" s="1"/>
  <c r="G60" i="2"/>
  <c r="I59" i="2"/>
  <c r="G59" i="2"/>
  <c r="I58" i="2"/>
  <c r="G58" i="2"/>
  <c r="I57" i="2"/>
  <c r="M57" i="2" s="1"/>
  <c r="N57" i="2" s="1"/>
  <c r="O57" i="2" s="1"/>
  <c r="P57" i="2" s="1"/>
  <c r="Q57" i="2" s="1"/>
  <c r="R57" i="2" s="1"/>
  <c r="S57" i="2" s="1"/>
  <c r="T57" i="2" s="1"/>
  <c r="U57" i="2" s="1"/>
  <c r="V57" i="2" s="1"/>
  <c r="W57" i="2" s="1"/>
  <c r="X57" i="2" s="1"/>
  <c r="Y57" i="2" s="1"/>
  <c r="Z57" i="2" s="1"/>
  <c r="AA57" i="2" s="1"/>
  <c r="AB57" i="2" s="1"/>
  <c r="AC57" i="2" s="1"/>
  <c r="G57" i="2"/>
  <c r="I56" i="2"/>
  <c r="L56" i="2" s="1"/>
  <c r="M56" i="2" s="1"/>
  <c r="N56" i="2" s="1"/>
  <c r="O56" i="2" s="1"/>
  <c r="P56" i="2" s="1"/>
  <c r="Q56" i="2" s="1"/>
  <c r="R56" i="2" s="1"/>
  <c r="S56" i="2" s="1"/>
  <c r="T56" i="2" s="1"/>
  <c r="U56" i="2" s="1"/>
  <c r="V56" i="2" s="1"/>
  <c r="W56" i="2" s="1"/>
  <c r="X56" i="2" s="1"/>
  <c r="Y56" i="2" s="1"/>
  <c r="Z56" i="2" s="1"/>
  <c r="AA56" i="2" s="1"/>
  <c r="AB56" i="2" s="1"/>
  <c r="AC56" i="2" s="1"/>
  <c r="G56" i="2"/>
  <c r="I55" i="2"/>
  <c r="K55" i="2" s="1"/>
  <c r="L55" i="2" s="1"/>
  <c r="M55" i="2" s="1"/>
  <c r="N55" i="2" s="1"/>
  <c r="O55" i="2" s="1"/>
  <c r="P55" i="2" s="1"/>
  <c r="Q55" i="2" s="1"/>
  <c r="R55" i="2" s="1"/>
  <c r="S55" i="2" s="1"/>
  <c r="T55" i="2" s="1"/>
  <c r="U55" i="2" s="1"/>
  <c r="V55" i="2" s="1"/>
  <c r="W55" i="2" s="1"/>
  <c r="X55" i="2" s="1"/>
  <c r="Y55" i="2" s="1"/>
  <c r="Z55" i="2" s="1"/>
  <c r="AA55" i="2" s="1"/>
  <c r="AB55" i="2" s="1"/>
  <c r="AC55" i="2" s="1"/>
  <c r="G55" i="2"/>
  <c r="I54" i="2"/>
  <c r="G54" i="2"/>
  <c r="AE106" i="2" l="1"/>
  <c r="AG106" i="2" s="1"/>
  <c r="AE105" i="2"/>
  <c r="AG105" i="2" s="1"/>
  <c r="AE112" i="2"/>
  <c r="AG112" i="2" s="1"/>
  <c r="AE115" i="2"/>
  <c r="AG115" i="2" s="1"/>
  <c r="AE119" i="2"/>
  <c r="AG119" i="2" s="1"/>
  <c r="AE118" i="2"/>
  <c r="AG118" i="2" s="1"/>
  <c r="AE120" i="2"/>
  <c r="AG120" i="2" s="1"/>
  <c r="AE114" i="2"/>
  <c r="AG114" i="2" s="1"/>
  <c r="AE117" i="2"/>
  <c r="AG117" i="2" s="1"/>
  <c r="AE122" i="2"/>
  <c r="AG122" i="2" s="1"/>
  <c r="AE107" i="2"/>
  <c r="AG107" i="2" s="1"/>
  <c r="AE110" i="2"/>
  <c r="AG110" i="2" s="1"/>
  <c r="O109" i="2"/>
  <c r="P109" i="2" s="1"/>
  <c r="Q109" i="2" s="1"/>
  <c r="R109" i="2" s="1"/>
  <c r="S109" i="2" s="1"/>
  <c r="T109" i="2" s="1"/>
  <c r="U109" i="2" s="1"/>
  <c r="V109" i="2" s="1"/>
  <c r="W109" i="2" s="1"/>
  <c r="X109" i="2" s="1"/>
  <c r="Y109" i="2" s="1"/>
  <c r="Z109" i="2" s="1"/>
  <c r="AA109" i="2" s="1"/>
  <c r="AB109" i="2" s="1"/>
  <c r="AC109" i="2" s="1"/>
  <c r="N108" i="2"/>
  <c r="O108" i="2" s="1"/>
  <c r="P108" i="2" s="1"/>
  <c r="Q108" i="2" s="1"/>
  <c r="R108" i="2" s="1"/>
  <c r="S108" i="2" s="1"/>
  <c r="T108" i="2" s="1"/>
  <c r="U108" i="2" s="1"/>
  <c r="V108" i="2" s="1"/>
  <c r="W108" i="2" s="1"/>
  <c r="X108" i="2" s="1"/>
  <c r="Y108" i="2" s="1"/>
  <c r="Z108" i="2" s="1"/>
  <c r="AA108" i="2" s="1"/>
  <c r="AB108" i="2" s="1"/>
  <c r="AC108" i="2" s="1"/>
  <c r="AE109" i="2"/>
  <c r="AG109" i="2" s="1"/>
  <c r="AE113" i="2"/>
  <c r="AG113" i="2" s="1"/>
  <c r="J104" i="2"/>
  <c r="AE116" i="2"/>
  <c r="AG116" i="2" s="1"/>
  <c r="AE123" i="2"/>
  <c r="AG123" i="2" s="1"/>
  <c r="AE121" i="2"/>
  <c r="AG121" i="2" s="1"/>
  <c r="AE108" i="2"/>
  <c r="AG108" i="2" s="1"/>
  <c r="AE111" i="2"/>
  <c r="AG111" i="2" s="1"/>
  <c r="AE67" i="2"/>
  <c r="AG67" i="2" s="1"/>
  <c r="AE62" i="2"/>
  <c r="AG62" i="2" s="1"/>
  <c r="AE54" i="2"/>
  <c r="AG54" i="2" s="1"/>
  <c r="AE63" i="2"/>
  <c r="AG63" i="2" s="1"/>
  <c r="AE55" i="2"/>
  <c r="AG55" i="2" s="1"/>
  <c r="AE60" i="2"/>
  <c r="AG60" i="2" s="1"/>
  <c r="AE56" i="2"/>
  <c r="AG56" i="2" s="1"/>
  <c r="AE57" i="2"/>
  <c r="AG57" i="2" s="1"/>
  <c r="AE72" i="2"/>
  <c r="AG72" i="2" s="1"/>
  <c r="V66" i="2"/>
  <c r="W66" i="2" s="1"/>
  <c r="X66" i="2" s="1"/>
  <c r="Y66" i="2" s="1"/>
  <c r="Z66" i="2" s="1"/>
  <c r="AA66" i="2" s="1"/>
  <c r="AB66" i="2" s="1"/>
  <c r="AC66" i="2" s="1"/>
  <c r="O59" i="2"/>
  <c r="P59" i="2" s="1"/>
  <c r="Q59" i="2" s="1"/>
  <c r="R59" i="2" s="1"/>
  <c r="S59" i="2" s="1"/>
  <c r="T59" i="2" s="1"/>
  <c r="U59" i="2" s="1"/>
  <c r="V59" i="2" s="1"/>
  <c r="W59" i="2" s="1"/>
  <c r="X59" i="2" s="1"/>
  <c r="Y59" i="2" s="1"/>
  <c r="Z59" i="2" s="1"/>
  <c r="AA59" i="2" s="1"/>
  <c r="AB59" i="2" s="1"/>
  <c r="AC59" i="2" s="1"/>
  <c r="AE71" i="2"/>
  <c r="AG71" i="2" s="1"/>
  <c r="AE68" i="2"/>
  <c r="AG68" i="2" s="1"/>
  <c r="AE69" i="2"/>
  <c r="AG69" i="2" s="1"/>
  <c r="AE70" i="2"/>
  <c r="AG70" i="2" s="1"/>
  <c r="AE64" i="2"/>
  <c r="AG64" i="2" s="1"/>
  <c r="AE59" i="2"/>
  <c r="AG59" i="2" s="1"/>
  <c r="AE66" i="2"/>
  <c r="AG66" i="2" s="1"/>
  <c r="AE73" i="2"/>
  <c r="AG73" i="2" s="1"/>
  <c r="N58" i="2"/>
  <c r="O58" i="2" s="1"/>
  <c r="P58" i="2" s="1"/>
  <c r="Q58" i="2" s="1"/>
  <c r="R58" i="2" s="1"/>
  <c r="S58" i="2" s="1"/>
  <c r="T58" i="2" s="1"/>
  <c r="U58" i="2" s="1"/>
  <c r="V58" i="2" s="1"/>
  <c r="W58" i="2" s="1"/>
  <c r="X58" i="2" s="1"/>
  <c r="Y58" i="2" s="1"/>
  <c r="Z58" i="2" s="1"/>
  <c r="AA58" i="2" s="1"/>
  <c r="AB58" i="2" s="1"/>
  <c r="AC58" i="2" s="1"/>
  <c r="AE58" i="2"/>
  <c r="AG58" i="2" s="1"/>
  <c r="AE65" i="2"/>
  <c r="AG65" i="2" s="1"/>
  <c r="AE61" i="2"/>
  <c r="AG61" i="2" s="1"/>
  <c r="J54" i="2"/>
  <c r="I48" i="2"/>
  <c r="AC48" i="2" s="1"/>
  <c r="G48" i="2"/>
  <c r="F48" i="2"/>
  <c r="E48" i="2"/>
  <c r="D48" i="2"/>
  <c r="I47" i="2"/>
  <c r="AB47" i="2" s="1"/>
  <c r="AC47" i="2" s="1"/>
  <c r="G47" i="2"/>
  <c r="F47" i="2"/>
  <c r="E47" i="2"/>
  <c r="D47" i="2"/>
  <c r="I46" i="2"/>
  <c r="AA46" i="2" s="1"/>
  <c r="AB46" i="2" s="1"/>
  <c r="AC46" i="2" s="1"/>
  <c r="G46" i="2"/>
  <c r="F46" i="2"/>
  <c r="E46" i="2"/>
  <c r="D46" i="2"/>
  <c r="I45" i="2"/>
  <c r="Z45" i="2" s="1"/>
  <c r="AA45" i="2" s="1"/>
  <c r="AB45" i="2" s="1"/>
  <c r="AC45" i="2" s="1"/>
  <c r="G45" i="2"/>
  <c r="F45" i="2"/>
  <c r="E45" i="2"/>
  <c r="D45" i="2"/>
  <c r="I44" i="2"/>
  <c r="Y44" i="2" s="1"/>
  <c r="Z44" i="2" s="1"/>
  <c r="AA44" i="2" s="1"/>
  <c r="AB44" i="2" s="1"/>
  <c r="AC44" i="2" s="1"/>
  <c r="G44" i="2"/>
  <c r="F44" i="2"/>
  <c r="E44" i="2"/>
  <c r="D44" i="2"/>
  <c r="I43" i="2"/>
  <c r="X43" i="2" s="1"/>
  <c r="Y43" i="2" s="1"/>
  <c r="Z43" i="2" s="1"/>
  <c r="AA43" i="2" s="1"/>
  <c r="AB43" i="2" s="1"/>
  <c r="AC43" i="2" s="1"/>
  <c r="G43" i="2"/>
  <c r="F43" i="2"/>
  <c r="E43" i="2"/>
  <c r="D43" i="2"/>
  <c r="I42" i="2"/>
  <c r="W42" i="2" s="1"/>
  <c r="X42" i="2" s="1"/>
  <c r="Y42" i="2" s="1"/>
  <c r="Z42" i="2" s="1"/>
  <c r="AA42" i="2" s="1"/>
  <c r="AB42" i="2" s="1"/>
  <c r="AC42" i="2" s="1"/>
  <c r="G42" i="2"/>
  <c r="F42" i="2"/>
  <c r="E42" i="2"/>
  <c r="D42" i="2"/>
  <c r="I41" i="2"/>
  <c r="V41" i="2" s="1"/>
  <c r="W41" i="2" s="1"/>
  <c r="X41" i="2" s="1"/>
  <c r="Y41" i="2" s="1"/>
  <c r="Z41" i="2" s="1"/>
  <c r="AA41" i="2" s="1"/>
  <c r="AB41" i="2" s="1"/>
  <c r="AC41" i="2" s="1"/>
  <c r="G41" i="2"/>
  <c r="F41" i="2"/>
  <c r="E41" i="2"/>
  <c r="D41" i="2"/>
  <c r="I40" i="2"/>
  <c r="U40" i="2" s="1"/>
  <c r="V40" i="2" s="1"/>
  <c r="W40" i="2" s="1"/>
  <c r="X40" i="2" s="1"/>
  <c r="Y40" i="2" s="1"/>
  <c r="Z40" i="2" s="1"/>
  <c r="AA40" i="2" s="1"/>
  <c r="AB40" i="2" s="1"/>
  <c r="AC40" i="2" s="1"/>
  <c r="G40" i="2"/>
  <c r="F40" i="2"/>
  <c r="E40" i="2"/>
  <c r="D40" i="2"/>
  <c r="I39" i="2"/>
  <c r="T39" i="2" s="1"/>
  <c r="U39" i="2" s="1"/>
  <c r="V39" i="2" s="1"/>
  <c r="W39" i="2" s="1"/>
  <c r="X39" i="2" s="1"/>
  <c r="Y39" i="2" s="1"/>
  <c r="Z39" i="2" s="1"/>
  <c r="AA39" i="2" s="1"/>
  <c r="AB39" i="2" s="1"/>
  <c r="AC39" i="2" s="1"/>
  <c r="G39" i="2"/>
  <c r="F39" i="2"/>
  <c r="E39" i="2"/>
  <c r="D39" i="2"/>
  <c r="I38" i="2"/>
  <c r="S38" i="2" s="1"/>
  <c r="T38" i="2" s="1"/>
  <c r="U38" i="2" s="1"/>
  <c r="V38" i="2" s="1"/>
  <c r="W38" i="2" s="1"/>
  <c r="X38" i="2" s="1"/>
  <c r="Y38" i="2" s="1"/>
  <c r="Z38" i="2" s="1"/>
  <c r="AA38" i="2" s="1"/>
  <c r="AB38" i="2" s="1"/>
  <c r="AC38" i="2" s="1"/>
  <c r="G38" i="2"/>
  <c r="F38" i="2"/>
  <c r="E38" i="2"/>
  <c r="D38" i="2"/>
  <c r="I37" i="2"/>
  <c r="R37" i="2" s="1"/>
  <c r="S37" i="2" s="1"/>
  <c r="T37" i="2" s="1"/>
  <c r="U37" i="2" s="1"/>
  <c r="V37" i="2" s="1"/>
  <c r="W37" i="2" s="1"/>
  <c r="X37" i="2" s="1"/>
  <c r="Y37" i="2" s="1"/>
  <c r="Z37" i="2" s="1"/>
  <c r="AA37" i="2" s="1"/>
  <c r="AB37" i="2" s="1"/>
  <c r="AC37" i="2" s="1"/>
  <c r="I36" i="2"/>
  <c r="Q36" i="2" s="1"/>
  <c r="R36" i="2" s="1"/>
  <c r="S36" i="2" s="1"/>
  <c r="T36" i="2" s="1"/>
  <c r="U36" i="2" s="1"/>
  <c r="V36" i="2" s="1"/>
  <c r="W36" i="2" s="1"/>
  <c r="X36" i="2" s="1"/>
  <c r="Y36" i="2" s="1"/>
  <c r="Z36" i="2" s="1"/>
  <c r="AA36" i="2" s="1"/>
  <c r="AB36" i="2" s="1"/>
  <c r="AC36" i="2" s="1"/>
  <c r="G36" i="2"/>
  <c r="I35" i="2"/>
  <c r="P35" i="2" s="1"/>
  <c r="Q35" i="2" s="1"/>
  <c r="R35" i="2" s="1"/>
  <c r="S35" i="2" s="1"/>
  <c r="T35" i="2" s="1"/>
  <c r="U35" i="2" s="1"/>
  <c r="V35" i="2" s="1"/>
  <c r="W35" i="2" s="1"/>
  <c r="X35" i="2" s="1"/>
  <c r="Y35" i="2" s="1"/>
  <c r="Z35" i="2" s="1"/>
  <c r="AA35" i="2" s="1"/>
  <c r="AB35" i="2" s="1"/>
  <c r="AC35" i="2" s="1"/>
  <c r="G35" i="2"/>
  <c r="I34" i="2"/>
  <c r="O34" i="2" s="1"/>
  <c r="P34" i="2" s="1"/>
  <c r="Q34" i="2" s="1"/>
  <c r="R34" i="2" s="1"/>
  <c r="S34" i="2" s="1"/>
  <c r="T34" i="2" s="1"/>
  <c r="U34" i="2" s="1"/>
  <c r="V34" i="2" s="1"/>
  <c r="W34" i="2" s="1"/>
  <c r="X34" i="2" s="1"/>
  <c r="Y34" i="2" s="1"/>
  <c r="Z34" i="2" s="1"/>
  <c r="AA34" i="2" s="1"/>
  <c r="AB34" i="2" s="1"/>
  <c r="AC34" i="2" s="1"/>
  <c r="G34" i="2"/>
  <c r="I33" i="2"/>
  <c r="G33" i="2"/>
  <c r="I32" i="2"/>
  <c r="M32" i="2" s="1"/>
  <c r="N32" i="2" s="1"/>
  <c r="O32" i="2" s="1"/>
  <c r="P32" i="2" s="1"/>
  <c r="Q32" i="2" s="1"/>
  <c r="R32" i="2" s="1"/>
  <c r="S32" i="2" s="1"/>
  <c r="T32" i="2" s="1"/>
  <c r="U32" i="2" s="1"/>
  <c r="V32" i="2" s="1"/>
  <c r="W32" i="2" s="1"/>
  <c r="X32" i="2" s="1"/>
  <c r="Y32" i="2" s="1"/>
  <c r="Z32" i="2" s="1"/>
  <c r="AA32" i="2" s="1"/>
  <c r="AB32" i="2" s="1"/>
  <c r="AC32" i="2" s="1"/>
  <c r="G32" i="2"/>
  <c r="I31" i="2"/>
  <c r="L31" i="2" s="1"/>
  <c r="M31" i="2" s="1"/>
  <c r="N31" i="2" s="1"/>
  <c r="O31" i="2" s="1"/>
  <c r="P31" i="2" s="1"/>
  <c r="Q31" i="2" s="1"/>
  <c r="R31" i="2" s="1"/>
  <c r="S31" i="2" s="1"/>
  <c r="T31" i="2" s="1"/>
  <c r="U31" i="2" s="1"/>
  <c r="V31" i="2" s="1"/>
  <c r="W31" i="2" s="1"/>
  <c r="X31" i="2" s="1"/>
  <c r="Y31" i="2" s="1"/>
  <c r="Z31" i="2" s="1"/>
  <c r="AA31" i="2" s="1"/>
  <c r="AB31" i="2" s="1"/>
  <c r="AC31" i="2" s="1"/>
  <c r="G31" i="2"/>
  <c r="I30" i="2"/>
  <c r="K30" i="2" s="1"/>
  <c r="L30" i="2" s="1"/>
  <c r="M30" i="2" s="1"/>
  <c r="N30" i="2" s="1"/>
  <c r="O30" i="2" s="1"/>
  <c r="P30" i="2" s="1"/>
  <c r="Q30" i="2" s="1"/>
  <c r="R30" i="2" s="1"/>
  <c r="S30" i="2" s="1"/>
  <c r="T30" i="2" s="1"/>
  <c r="U30" i="2" s="1"/>
  <c r="V30" i="2" s="1"/>
  <c r="W30" i="2" s="1"/>
  <c r="X30" i="2" s="1"/>
  <c r="Y30" i="2" s="1"/>
  <c r="Z30" i="2" s="1"/>
  <c r="AA30" i="2" s="1"/>
  <c r="AB30" i="2" s="1"/>
  <c r="AC30" i="2" s="1"/>
  <c r="G30" i="2"/>
  <c r="I29" i="2"/>
  <c r="G29" i="2"/>
  <c r="I171" i="2"/>
  <c r="AC171" i="2" s="1"/>
  <c r="G171" i="2"/>
  <c r="F171" i="2"/>
  <c r="E171" i="2"/>
  <c r="D171" i="2"/>
  <c r="I170" i="2"/>
  <c r="AB170" i="2" s="1"/>
  <c r="AC170" i="2" s="1"/>
  <c r="G170" i="2"/>
  <c r="F170" i="2"/>
  <c r="E170" i="2"/>
  <c r="D170" i="2"/>
  <c r="I169" i="2"/>
  <c r="AA169" i="2" s="1"/>
  <c r="AB169" i="2" s="1"/>
  <c r="AC169" i="2" s="1"/>
  <c r="G169" i="2"/>
  <c r="F169" i="2"/>
  <c r="E169" i="2"/>
  <c r="D169" i="2"/>
  <c r="I168" i="2"/>
  <c r="Z168" i="2" s="1"/>
  <c r="AA168" i="2" s="1"/>
  <c r="AB168" i="2" s="1"/>
  <c r="AC168" i="2" s="1"/>
  <c r="G168" i="2"/>
  <c r="F168" i="2"/>
  <c r="E168" i="2"/>
  <c r="D168" i="2"/>
  <c r="I167" i="2"/>
  <c r="Y167" i="2" s="1"/>
  <c r="Z167" i="2" s="1"/>
  <c r="AA167" i="2" s="1"/>
  <c r="AB167" i="2" s="1"/>
  <c r="AC167" i="2" s="1"/>
  <c r="G167" i="2"/>
  <c r="F167" i="2"/>
  <c r="E167" i="2"/>
  <c r="D167" i="2"/>
  <c r="I166" i="2"/>
  <c r="X166" i="2" s="1"/>
  <c r="Y166" i="2" s="1"/>
  <c r="Z166" i="2" s="1"/>
  <c r="AA166" i="2" s="1"/>
  <c r="AB166" i="2" s="1"/>
  <c r="AC166" i="2" s="1"/>
  <c r="G166" i="2"/>
  <c r="F166" i="2"/>
  <c r="E166" i="2"/>
  <c r="D166" i="2"/>
  <c r="I165" i="2"/>
  <c r="W165" i="2" s="1"/>
  <c r="X165" i="2" s="1"/>
  <c r="Y165" i="2" s="1"/>
  <c r="Z165" i="2" s="1"/>
  <c r="AA165" i="2" s="1"/>
  <c r="AB165" i="2" s="1"/>
  <c r="AC165" i="2" s="1"/>
  <c r="G165" i="2"/>
  <c r="F165" i="2"/>
  <c r="E165" i="2"/>
  <c r="D165" i="2"/>
  <c r="I164" i="2"/>
  <c r="V164" i="2" s="1"/>
  <c r="W164" i="2" s="1"/>
  <c r="X164" i="2" s="1"/>
  <c r="Y164" i="2" s="1"/>
  <c r="Z164" i="2" s="1"/>
  <c r="AA164" i="2" s="1"/>
  <c r="AB164" i="2" s="1"/>
  <c r="AC164" i="2" s="1"/>
  <c r="G164" i="2"/>
  <c r="F164" i="2"/>
  <c r="E164" i="2"/>
  <c r="D164" i="2"/>
  <c r="I163" i="2"/>
  <c r="U163" i="2" s="1"/>
  <c r="V163" i="2" s="1"/>
  <c r="W163" i="2" s="1"/>
  <c r="X163" i="2" s="1"/>
  <c r="Y163" i="2" s="1"/>
  <c r="Z163" i="2" s="1"/>
  <c r="AA163" i="2" s="1"/>
  <c r="AB163" i="2" s="1"/>
  <c r="AC163" i="2" s="1"/>
  <c r="G163" i="2"/>
  <c r="F163" i="2"/>
  <c r="E163" i="2"/>
  <c r="D163" i="2"/>
  <c r="I162" i="2"/>
  <c r="T162" i="2" s="1"/>
  <c r="U162" i="2" s="1"/>
  <c r="V162" i="2" s="1"/>
  <c r="W162" i="2" s="1"/>
  <c r="X162" i="2" s="1"/>
  <c r="Y162" i="2" s="1"/>
  <c r="Z162" i="2" s="1"/>
  <c r="AA162" i="2" s="1"/>
  <c r="AB162" i="2" s="1"/>
  <c r="AC162" i="2" s="1"/>
  <c r="G162" i="2"/>
  <c r="F162" i="2"/>
  <c r="E162" i="2"/>
  <c r="D162" i="2"/>
  <c r="I161" i="2"/>
  <c r="S161" i="2" s="1"/>
  <c r="T161" i="2" s="1"/>
  <c r="U161" i="2" s="1"/>
  <c r="V161" i="2" s="1"/>
  <c r="W161" i="2" s="1"/>
  <c r="X161" i="2" s="1"/>
  <c r="Y161" i="2" s="1"/>
  <c r="Z161" i="2" s="1"/>
  <c r="AA161" i="2" s="1"/>
  <c r="AB161" i="2" s="1"/>
  <c r="AC161" i="2" s="1"/>
  <c r="G161" i="2"/>
  <c r="F161" i="2"/>
  <c r="E161" i="2"/>
  <c r="D161" i="2"/>
  <c r="I160" i="2"/>
  <c r="R160" i="2" s="1"/>
  <c r="S160" i="2" s="1"/>
  <c r="T160" i="2" s="1"/>
  <c r="U160" i="2" s="1"/>
  <c r="V160" i="2" s="1"/>
  <c r="W160" i="2" s="1"/>
  <c r="X160" i="2" s="1"/>
  <c r="Y160" i="2" s="1"/>
  <c r="Z160" i="2" s="1"/>
  <c r="AA160" i="2" s="1"/>
  <c r="AB160" i="2" s="1"/>
  <c r="AC160" i="2" s="1"/>
  <c r="I159" i="2"/>
  <c r="Q159" i="2" s="1"/>
  <c r="R159" i="2" s="1"/>
  <c r="S159" i="2" s="1"/>
  <c r="T159" i="2" s="1"/>
  <c r="U159" i="2" s="1"/>
  <c r="V159" i="2" s="1"/>
  <c r="W159" i="2" s="1"/>
  <c r="X159" i="2" s="1"/>
  <c r="Y159" i="2" s="1"/>
  <c r="Z159" i="2" s="1"/>
  <c r="AA159" i="2" s="1"/>
  <c r="AB159" i="2" s="1"/>
  <c r="AC159" i="2" s="1"/>
  <c r="G159" i="2"/>
  <c r="I158" i="2"/>
  <c r="P158" i="2" s="1"/>
  <c r="Q158" i="2" s="1"/>
  <c r="R158" i="2" s="1"/>
  <c r="S158" i="2" s="1"/>
  <c r="T158" i="2" s="1"/>
  <c r="U158" i="2" s="1"/>
  <c r="V158" i="2" s="1"/>
  <c r="W158" i="2" s="1"/>
  <c r="X158" i="2" s="1"/>
  <c r="Y158" i="2" s="1"/>
  <c r="Z158" i="2" s="1"/>
  <c r="AA158" i="2" s="1"/>
  <c r="AB158" i="2" s="1"/>
  <c r="AC158" i="2" s="1"/>
  <c r="G158" i="2"/>
  <c r="I157" i="2"/>
  <c r="O157" i="2" s="1"/>
  <c r="P157" i="2" s="1"/>
  <c r="Q157" i="2" s="1"/>
  <c r="R157" i="2" s="1"/>
  <c r="S157" i="2" s="1"/>
  <c r="T157" i="2" s="1"/>
  <c r="U157" i="2" s="1"/>
  <c r="V157" i="2" s="1"/>
  <c r="W157" i="2" s="1"/>
  <c r="X157" i="2" s="1"/>
  <c r="Y157" i="2" s="1"/>
  <c r="Z157" i="2" s="1"/>
  <c r="AA157" i="2" s="1"/>
  <c r="AB157" i="2" s="1"/>
  <c r="AC157" i="2" s="1"/>
  <c r="G157" i="2"/>
  <c r="I156" i="2"/>
  <c r="G156" i="2"/>
  <c r="I155" i="2"/>
  <c r="M155" i="2" s="1"/>
  <c r="N155" i="2" s="1"/>
  <c r="O155" i="2" s="1"/>
  <c r="P155" i="2" s="1"/>
  <c r="Q155" i="2" s="1"/>
  <c r="R155" i="2" s="1"/>
  <c r="S155" i="2" s="1"/>
  <c r="T155" i="2" s="1"/>
  <c r="U155" i="2" s="1"/>
  <c r="V155" i="2" s="1"/>
  <c r="W155" i="2" s="1"/>
  <c r="X155" i="2" s="1"/>
  <c r="Y155" i="2" s="1"/>
  <c r="Z155" i="2" s="1"/>
  <c r="AA155" i="2" s="1"/>
  <c r="AB155" i="2" s="1"/>
  <c r="AC155" i="2" s="1"/>
  <c r="G155" i="2"/>
  <c r="I154" i="2"/>
  <c r="L154" i="2" s="1"/>
  <c r="M154" i="2" s="1"/>
  <c r="N154" i="2" s="1"/>
  <c r="O154" i="2" s="1"/>
  <c r="P154" i="2" s="1"/>
  <c r="Q154" i="2" s="1"/>
  <c r="R154" i="2" s="1"/>
  <c r="S154" i="2" s="1"/>
  <c r="T154" i="2" s="1"/>
  <c r="U154" i="2" s="1"/>
  <c r="V154" i="2" s="1"/>
  <c r="W154" i="2" s="1"/>
  <c r="X154" i="2" s="1"/>
  <c r="Y154" i="2" s="1"/>
  <c r="Z154" i="2" s="1"/>
  <c r="AA154" i="2" s="1"/>
  <c r="AB154" i="2" s="1"/>
  <c r="AC154" i="2" s="1"/>
  <c r="G154" i="2"/>
  <c r="I153" i="2"/>
  <c r="K153" i="2" s="1"/>
  <c r="L153" i="2" s="1"/>
  <c r="M153" i="2" s="1"/>
  <c r="N153" i="2" s="1"/>
  <c r="O153" i="2" s="1"/>
  <c r="P153" i="2" s="1"/>
  <c r="Q153" i="2" s="1"/>
  <c r="R153" i="2" s="1"/>
  <c r="S153" i="2" s="1"/>
  <c r="T153" i="2" s="1"/>
  <c r="U153" i="2" s="1"/>
  <c r="V153" i="2" s="1"/>
  <c r="W153" i="2" s="1"/>
  <c r="X153" i="2" s="1"/>
  <c r="Y153" i="2" s="1"/>
  <c r="Z153" i="2" s="1"/>
  <c r="AA153" i="2" s="1"/>
  <c r="AB153" i="2" s="1"/>
  <c r="AC153" i="2" s="1"/>
  <c r="G153" i="2"/>
  <c r="I152" i="2"/>
  <c r="AE152" i="2" s="1"/>
  <c r="AG152" i="2" s="1"/>
  <c r="G152" i="2"/>
  <c r="I230" i="2"/>
  <c r="AC230" i="2" s="1"/>
  <c r="G230" i="2"/>
  <c r="F230" i="2"/>
  <c r="E230" i="2"/>
  <c r="D230" i="2"/>
  <c r="I229" i="2"/>
  <c r="AB229" i="2" s="1"/>
  <c r="AC229" i="2" s="1"/>
  <c r="G229" i="2"/>
  <c r="F229" i="2"/>
  <c r="E229" i="2"/>
  <c r="D229" i="2"/>
  <c r="I228" i="2"/>
  <c r="AA228" i="2" s="1"/>
  <c r="AB228" i="2" s="1"/>
  <c r="AC228" i="2" s="1"/>
  <c r="G228" i="2"/>
  <c r="F228" i="2"/>
  <c r="E228" i="2"/>
  <c r="D228" i="2"/>
  <c r="I227" i="2"/>
  <c r="Z227" i="2" s="1"/>
  <c r="AA227" i="2" s="1"/>
  <c r="AB227" i="2" s="1"/>
  <c r="AC227" i="2" s="1"/>
  <c r="G227" i="2"/>
  <c r="F227" i="2"/>
  <c r="E227" i="2"/>
  <c r="D227" i="2"/>
  <c r="I226" i="2"/>
  <c r="Y226" i="2" s="1"/>
  <c r="Z226" i="2" s="1"/>
  <c r="AA226" i="2" s="1"/>
  <c r="AB226" i="2" s="1"/>
  <c r="AC226" i="2" s="1"/>
  <c r="G226" i="2"/>
  <c r="F226" i="2"/>
  <c r="E226" i="2"/>
  <c r="D226" i="2"/>
  <c r="I225" i="2"/>
  <c r="X225" i="2" s="1"/>
  <c r="Y225" i="2" s="1"/>
  <c r="Z225" i="2" s="1"/>
  <c r="AA225" i="2" s="1"/>
  <c r="AB225" i="2" s="1"/>
  <c r="AC225" i="2" s="1"/>
  <c r="G225" i="2"/>
  <c r="F225" i="2"/>
  <c r="E225" i="2"/>
  <c r="D225" i="2"/>
  <c r="I224" i="2"/>
  <c r="W224" i="2" s="1"/>
  <c r="X224" i="2" s="1"/>
  <c r="Y224" i="2" s="1"/>
  <c r="Z224" i="2" s="1"/>
  <c r="AA224" i="2" s="1"/>
  <c r="AB224" i="2" s="1"/>
  <c r="AC224" i="2" s="1"/>
  <c r="G224" i="2"/>
  <c r="F224" i="2"/>
  <c r="E224" i="2"/>
  <c r="D224" i="2"/>
  <c r="I223" i="2"/>
  <c r="V223" i="2" s="1"/>
  <c r="W223" i="2" s="1"/>
  <c r="X223" i="2" s="1"/>
  <c r="Y223" i="2" s="1"/>
  <c r="Z223" i="2" s="1"/>
  <c r="AA223" i="2" s="1"/>
  <c r="AB223" i="2" s="1"/>
  <c r="AC223" i="2" s="1"/>
  <c r="G223" i="2"/>
  <c r="F223" i="2"/>
  <c r="E223" i="2"/>
  <c r="D223" i="2"/>
  <c r="I222" i="2"/>
  <c r="U222" i="2" s="1"/>
  <c r="V222" i="2" s="1"/>
  <c r="W222" i="2" s="1"/>
  <c r="X222" i="2" s="1"/>
  <c r="Y222" i="2" s="1"/>
  <c r="Z222" i="2" s="1"/>
  <c r="AA222" i="2" s="1"/>
  <c r="AB222" i="2" s="1"/>
  <c r="AC222" i="2" s="1"/>
  <c r="G222" i="2"/>
  <c r="F222" i="2"/>
  <c r="E222" i="2"/>
  <c r="D222" i="2"/>
  <c r="I221" i="2"/>
  <c r="T221" i="2" s="1"/>
  <c r="U221" i="2" s="1"/>
  <c r="V221" i="2" s="1"/>
  <c r="W221" i="2" s="1"/>
  <c r="X221" i="2" s="1"/>
  <c r="Y221" i="2" s="1"/>
  <c r="Z221" i="2" s="1"/>
  <c r="AA221" i="2" s="1"/>
  <c r="AB221" i="2" s="1"/>
  <c r="AC221" i="2" s="1"/>
  <c r="G221" i="2"/>
  <c r="F221" i="2"/>
  <c r="E221" i="2"/>
  <c r="D221" i="2"/>
  <c r="I220" i="2"/>
  <c r="S220" i="2" s="1"/>
  <c r="T220" i="2" s="1"/>
  <c r="U220" i="2" s="1"/>
  <c r="V220" i="2" s="1"/>
  <c r="W220" i="2" s="1"/>
  <c r="X220" i="2" s="1"/>
  <c r="Y220" i="2" s="1"/>
  <c r="Z220" i="2" s="1"/>
  <c r="AA220" i="2" s="1"/>
  <c r="AB220" i="2" s="1"/>
  <c r="AC220" i="2" s="1"/>
  <c r="G220" i="2"/>
  <c r="F220" i="2"/>
  <c r="E220" i="2"/>
  <c r="D220" i="2"/>
  <c r="I219" i="2"/>
  <c r="R219" i="2" s="1"/>
  <c r="S219" i="2" s="1"/>
  <c r="T219" i="2" s="1"/>
  <c r="U219" i="2" s="1"/>
  <c r="V219" i="2" s="1"/>
  <c r="W219" i="2" s="1"/>
  <c r="X219" i="2" s="1"/>
  <c r="Y219" i="2" s="1"/>
  <c r="Z219" i="2" s="1"/>
  <c r="AA219" i="2" s="1"/>
  <c r="AB219" i="2" s="1"/>
  <c r="AC219" i="2" s="1"/>
  <c r="I218" i="2"/>
  <c r="Q218" i="2" s="1"/>
  <c r="R218" i="2" s="1"/>
  <c r="S218" i="2" s="1"/>
  <c r="T218" i="2" s="1"/>
  <c r="U218" i="2" s="1"/>
  <c r="V218" i="2" s="1"/>
  <c r="W218" i="2" s="1"/>
  <c r="X218" i="2" s="1"/>
  <c r="Y218" i="2" s="1"/>
  <c r="Z218" i="2" s="1"/>
  <c r="AA218" i="2" s="1"/>
  <c r="AB218" i="2" s="1"/>
  <c r="AC218" i="2" s="1"/>
  <c r="G218" i="2"/>
  <c r="I217" i="2"/>
  <c r="P217" i="2" s="1"/>
  <c r="Q217" i="2" s="1"/>
  <c r="R217" i="2" s="1"/>
  <c r="S217" i="2" s="1"/>
  <c r="T217" i="2" s="1"/>
  <c r="U217" i="2" s="1"/>
  <c r="V217" i="2" s="1"/>
  <c r="W217" i="2" s="1"/>
  <c r="X217" i="2" s="1"/>
  <c r="Y217" i="2" s="1"/>
  <c r="Z217" i="2" s="1"/>
  <c r="AA217" i="2" s="1"/>
  <c r="AB217" i="2" s="1"/>
  <c r="AC217" i="2" s="1"/>
  <c r="G217" i="2"/>
  <c r="I216" i="2"/>
  <c r="O216" i="2" s="1"/>
  <c r="P216" i="2" s="1"/>
  <c r="Q216" i="2" s="1"/>
  <c r="R216" i="2" s="1"/>
  <c r="S216" i="2" s="1"/>
  <c r="T216" i="2" s="1"/>
  <c r="U216" i="2" s="1"/>
  <c r="V216" i="2" s="1"/>
  <c r="W216" i="2" s="1"/>
  <c r="X216" i="2" s="1"/>
  <c r="Y216" i="2" s="1"/>
  <c r="Z216" i="2" s="1"/>
  <c r="AA216" i="2" s="1"/>
  <c r="AB216" i="2" s="1"/>
  <c r="AC216" i="2" s="1"/>
  <c r="G216" i="2"/>
  <c r="I215" i="2"/>
  <c r="N215" i="2" s="1"/>
  <c r="O215" i="2" s="1"/>
  <c r="P215" i="2" s="1"/>
  <c r="Q215" i="2" s="1"/>
  <c r="R215" i="2" s="1"/>
  <c r="S215" i="2" s="1"/>
  <c r="T215" i="2" s="1"/>
  <c r="U215" i="2" s="1"/>
  <c r="V215" i="2" s="1"/>
  <c r="W215" i="2" s="1"/>
  <c r="X215" i="2" s="1"/>
  <c r="Y215" i="2" s="1"/>
  <c r="Z215" i="2" s="1"/>
  <c r="AA215" i="2" s="1"/>
  <c r="AB215" i="2" s="1"/>
  <c r="AC215" i="2" s="1"/>
  <c r="G215" i="2"/>
  <c r="I214" i="2"/>
  <c r="M214" i="2" s="1"/>
  <c r="N214" i="2" s="1"/>
  <c r="O214" i="2" s="1"/>
  <c r="P214" i="2" s="1"/>
  <c r="Q214" i="2" s="1"/>
  <c r="R214" i="2" s="1"/>
  <c r="S214" i="2" s="1"/>
  <c r="T214" i="2" s="1"/>
  <c r="U214" i="2" s="1"/>
  <c r="V214" i="2" s="1"/>
  <c r="W214" i="2" s="1"/>
  <c r="X214" i="2" s="1"/>
  <c r="Y214" i="2" s="1"/>
  <c r="Z214" i="2" s="1"/>
  <c r="AA214" i="2" s="1"/>
  <c r="AB214" i="2" s="1"/>
  <c r="AC214" i="2" s="1"/>
  <c r="G214" i="2"/>
  <c r="I213" i="2"/>
  <c r="L213" i="2" s="1"/>
  <c r="M213" i="2" s="1"/>
  <c r="N213" i="2" s="1"/>
  <c r="O213" i="2" s="1"/>
  <c r="P213" i="2" s="1"/>
  <c r="Q213" i="2" s="1"/>
  <c r="R213" i="2" s="1"/>
  <c r="S213" i="2" s="1"/>
  <c r="T213" i="2" s="1"/>
  <c r="U213" i="2" s="1"/>
  <c r="V213" i="2" s="1"/>
  <c r="W213" i="2" s="1"/>
  <c r="X213" i="2" s="1"/>
  <c r="Y213" i="2" s="1"/>
  <c r="Z213" i="2" s="1"/>
  <c r="AA213" i="2" s="1"/>
  <c r="AB213" i="2" s="1"/>
  <c r="AC213" i="2" s="1"/>
  <c r="G213" i="2"/>
  <c r="I212" i="2"/>
  <c r="K212" i="2" s="1"/>
  <c r="L212" i="2" s="1"/>
  <c r="M212" i="2" s="1"/>
  <c r="N212" i="2" s="1"/>
  <c r="O212" i="2" s="1"/>
  <c r="P212" i="2" s="1"/>
  <c r="Q212" i="2" s="1"/>
  <c r="R212" i="2" s="1"/>
  <c r="S212" i="2" s="1"/>
  <c r="T212" i="2" s="1"/>
  <c r="U212" i="2" s="1"/>
  <c r="V212" i="2" s="1"/>
  <c r="W212" i="2" s="1"/>
  <c r="X212" i="2" s="1"/>
  <c r="Y212" i="2" s="1"/>
  <c r="Z212" i="2" s="1"/>
  <c r="AA212" i="2" s="1"/>
  <c r="AB212" i="2" s="1"/>
  <c r="AC212" i="2" s="1"/>
  <c r="G212" i="2"/>
  <c r="I211" i="2"/>
  <c r="G211" i="2"/>
  <c r="I98" i="2"/>
  <c r="AC98" i="2" s="1"/>
  <c r="G98" i="2"/>
  <c r="F98" i="2"/>
  <c r="E98" i="2"/>
  <c r="D98" i="2"/>
  <c r="I97" i="2"/>
  <c r="AB97" i="2" s="1"/>
  <c r="AC97" i="2" s="1"/>
  <c r="G97" i="2"/>
  <c r="F97" i="2"/>
  <c r="E97" i="2"/>
  <c r="D97" i="2"/>
  <c r="I96" i="2"/>
  <c r="AA96" i="2" s="1"/>
  <c r="AB96" i="2" s="1"/>
  <c r="AC96" i="2" s="1"/>
  <c r="G96" i="2"/>
  <c r="F96" i="2"/>
  <c r="E96" i="2"/>
  <c r="D96" i="2"/>
  <c r="I95" i="2"/>
  <c r="Z95" i="2" s="1"/>
  <c r="AA95" i="2" s="1"/>
  <c r="AB95" i="2" s="1"/>
  <c r="AC95" i="2" s="1"/>
  <c r="G95" i="2"/>
  <c r="F95" i="2"/>
  <c r="E95" i="2"/>
  <c r="D95" i="2"/>
  <c r="I94" i="2"/>
  <c r="Y94" i="2" s="1"/>
  <c r="Z94" i="2" s="1"/>
  <c r="AA94" i="2" s="1"/>
  <c r="AB94" i="2" s="1"/>
  <c r="AC94" i="2" s="1"/>
  <c r="G94" i="2"/>
  <c r="F94" i="2"/>
  <c r="E94" i="2"/>
  <c r="D94" i="2"/>
  <c r="I93" i="2"/>
  <c r="X93" i="2" s="1"/>
  <c r="Y93" i="2" s="1"/>
  <c r="Z93" i="2" s="1"/>
  <c r="AA93" i="2" s="1"/>
  <c r="AB93" i="2" s="1"/>
  <c r="AC93" i="2" s="1"/>
  <c r="G93" i="2"/>
  <c r="F93" i="2"/>
  <c r="E93" i="2"/>
  <c r="D93" i="2"/>
  <c r="I92" i="2"/>
  <c r="W92" i="2" s="1"/>
  <c r="X92" i="2" s="1"/>
  <c r="Y92" i="2" s="1"/>
  <c r="Z92" i="2" s="1"/>
  <c r="AA92" i="2" s="1"/>
  <c r="AB92" i="2" s="1"/>
  <c r="AC92" i="2" s="1"/>
  <c r="G92" i="2"/>
  <c r="F92" i="2"/>
  <c r="E92" i="2"/>
  <c r="D92" i="2"/>
  <c r="I91" i="2"/>
  <c r="V91" i="2" s="1"/>
  <c r="W91" i="2" s="1"/>
  <c r="X91" i="2" s="1"/>
  <c r="Y91" i="2" s="1"/>
  <c r="Z91" i="2" s="1"/>
  <c r="AA91" i="2" s="1"/>
  <c r="AB91" i="2" s="1"/>
  <c r="AC91" i="2" s="1"/>
  <c r="G91" i="2"/>
  <c r="F91" i="2"/>
  <c r="E91" i="2"/>
  <c r="D91" i="2"/>
  <c r="I90" i="2"/>
  <c r="U90" i="2" s="1"/>
  <c r="V90" i="2" s="1"/>
  <c r="W90" i="2" s="1"/>
  <c r="X90" i="2" s="1"/>
  <c r="Y90" i="2" s="1"/>
  <c r="Z90" i="2" s="1"/>
  <c r="AA90" i="2" s="1"/>
  <c r="AB90" i="2" s="1"/>
  <c r="AC90" i="2" s="1"/>
  <c r="G90" i="2"/>
  <c r="F90" i="2"/>
  <c r="E90" i="2"/>
  <c r="D90" i="2"/>
  <c r="I89" i="2"/>
  <c r="T89" i="2" s="1"/>
  <c r="U89" i="2" s="1"/>
  <c r="V89" i="2" s="1"/>
  <c r="W89" i="2" s="1"/>
  <c r="X89" i="2" s="1"/>
  <c r="Y89" i="2" s="1"/>
  <c r="Z89" i="2" s="1"/>
  <c r="AA89" i="2" s="1"/>
  <c r="AB89" i="2" s="1"/>
  <c r="AC89" i="2" s="1"/>
  <c r="G89" i="2"/>
  <c r="F89" i="2"/>
  <c r="E89" i="2"/>
  <c r="D89" i="2"/>
  <c r="I88" i="2"/>
  <c r="S88" i="2" s="1"/>
  <c r="T88" i="2" s="1"/>
  <c r="U88" i="2" s="1"/>
  <c r="V88" i="2" s="1"/>
  <c r="W88" i="2" s="1"/>
  <c r="X88" i="2" s="1"/>
  <c r="Y88" i="2" s="1"/>
  <c r="Z88" i="2" s="1"/>
  <c r="AA88" i="2" s="1"/>
  <c r="AB88" i="2" s="1"/>
  <c r="AC88" i="2" s="1"/>
  <c r="G88" i="2"/>
  <c r="F88" i="2"/>
  <c r="E88" i="2"/>
  <c r="D88" i="2"/>
  <c r="I87" i="2"/>
  <c r="R87" i="2" s="1"/>
  <c r="S87" i="2" s="1"/>
  <c r="T87" i="2" s="1"/>
  <c r="U87" i="2" s="1"/>
  <c r="V87" i="2" s="1"/>
  <c r="W87" i="2" s="1"/>
  <c r="X87" i="2" s="1"/>
  <c r="Y87" i="2" s="1"/>
  <c r="Z87" i="2" s="1"/>
  <c r="AA87" i="2" s="1"/>
  <c r="AB87" i="2" s="1"/>
  <c r="AC87" i="2" s="1"/>
  <c r="I86" i="2"/>
  <c r="Q86" i="2" s="1"/>
  <c r="R86" i="2" s="1"/>
  <c r="S86" i="2" s="1"/>
  <c r="T86" i="2" s="1"/>
  <c r="U86" i="2" s="1"/>
  <c r="V86" i="2" s="1"/>
  <c r="W86" i="2" s="1"/>
  <c r="X86" i="2" s="1"/>
  <c r="Y86" i="2" s="1"/>
  <c r="Z86" i="2" s="1"/>
  <c r="AA86" i="2" s="1"/>
  <c r="AB86" i="2" s="1"/>
  <c r="AC86" i="2" s="1"/>
  <c r="G86" i="2"/>
  <c r="I85" i="2"/>
  <c r="P85" i="2" s="1"/>
  <c r="Q85" i="2" s="1"/>
  <c r="R85" i="2" s="1"/>
  <c r="S85" i="2" s="1"/>
  <c r="T85" i="2" s="1"/>
  <c r="U85" i="2" s="1"/>
  <c r="V85" i="2" s="1"/>
  <c r="W85" i="2" s="1"/>
  <c r="X85" i="2" s="1"/>
  <c r="Y85" i="2" s="1"/>
  <c r="Z85" i="2" s="1"/>
  <c r="AA85" i="2" s="1"/>
  <c r="AB85" i="2" s="1"/>
  <c r="AC85" i="2" s="1"/>
  <c r="G85" i="2"/>
  <c r="I84" i="2"/>
  <c r="O84" i="2" s="1"/>
  <c r="P84" i="2" s="1"/>
  <c r="Q84" i="2" s="1"/>
  <c r="R84" i="2" s="1"/>
  <c r="S84" i="2" s="1"/>
  <c r="T84" i="2" s="1"/>
  <c r="U84" i="2" s="1"/>
  <c r="V84" i="2" s="1"/>
  <c r="W84" i="2" s="1"/>
  <c r="X84" i="2" s="1"/>
  <c r="Y84" i="2" s="1"/>
  <c r="Z84" i="2" s="1"/>
  <c r="AA84" i="2" s="1"/>
  <c r="AB84" i="2" s="1"/>
  <c r="AC84" i="2" s="1"/>
  <c r="G84" i="2"/>
  <c r="I83" i="2"/>
  <c r="N83" i="2" s="1"/>
  <c r="O83" i="2" s="1"/>
  <c r="P83" i="2" s="1"/>
  <c r="Q83" i="2" s="1"/>
  <c r="R83" i="2" s="1"/>
  <c r="S83" i="2" s="1"/>
  <c r="T83" i="2" s="1"/>
  <c r="U83" i="2" s="1"/>
  <c r="V83" i="2" s="1"/>
  <c r="W83" i="2" s="1"/>
  <c r="X83" i="2" s="1"/>
  <c r="Y83" i="2" s="1"/>
  <c r="Z83" i="2" s="1"/>
  <c r="AA83" i="2" s="1"/>
  <c r="AB83" i="2" s="1"/>
  <c r="AC83" i="2" s="1"/>
  <c r="G83" i="2"/>
  <c r="I82" i="2"/>
  <c r="M82" i="2" s="1"/>
  <c r="N82" i="2" s="1"/>
  <c r="O82" i="2" s="1"/>
  <c r="P82" i="2" s="1"/>
  <c r="Q82" i="2" s="1"/>
  <c r="R82" i="2" s="1"/>
  <c r="S82" i="2" s="1"/>
  <c r="T82" i="2" s="1"/>
  <c r="U82" i="2" s="1"/>
  <c r="V82" i="2" s="1"/>
  <c r="W82" i="2" s="1"/>
  <c r="X82" i="2" s="1"/>
  <c r="Y82" i="2" s="1"/>
  <c r="Z82" i="2" s="1"/>
  <c r="AA82" i="2" s="1"/>
  <c r="AB82" i="2" s="1"/>
  <c r="AC82" i="2" s="1"/>
  <c r="G82" i="2"/>
  <c r="I81" i="2"/>
  <c r="L81" i="2" s="1"/>
  <c r="M81" i="2" s="1"/>
  <c r="N81" i="2" s="1"/>
  <c r="O81" i="2" s="1"/>
  <c r="P81" i="2" s="1"/>
  <c r="Q81" i="2" s="1"/>
  <c r="R81" i="2" s="1"/>
  <c r="S81" i="2" s="1"/>
  <c r="T81" i="2" s="1"/>
  <c r="U81" i="2" s="1"/>
  <c r="V81" i="2" s="1"/>
  <c r="W81" i="2" s="1"/>
  <c r="X81" i="2" s="1"/>
  <c r="Y81" i="2" s="1"/>
  <c r="Z81" i="2" s="1"/>
  <c r="AA81" i="2" s="1"/>
  <c r="AB81" i="2" s="1"/>
  <c r="AC81" i="2" s="1"/>
  <c r="G81" i="2"/>
  <c r="I80" i="2"/>
  <c r="K80" i="2" s="1"/>
  <c r="L80" i="2" s="1"/>
  <c r="M80" i="2" s="1"/>
  <c r="N80" i="2" s="1"/>
  <c r="O80" i="2" s="1"/>
  <c r="P80" i="2" s="1"/>
  <c r="Q80" i="2" s="1"/>
  <c r="R80" i="2" s="1"/>
  <c r="S80" i="2" s="1"/>
  <c r="T80" i="2" s="1"/>
  <c r="U80" i="2" s="1"/>
  <c r="V80" i="2" s="1"/>
  <c r="W80" i="2" s="1"/>
  <c r="X80" i="2" s="1"/>
  <c r="Y80" i="2" s="1"/>
  <c r="Z80" i="2" s="1"/>
  <c r="AA80" i="2" s="1"/>
  <c r="AB80" i="2" s="1"/>
  <c r="AC80" i="2" s="1"/>
  <c r="G80" i="2"/>
  <c r="I79" i="2"/>
  <c r="G79"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72" i="2"/>
  <c r="G273" i="2"/>
  <c r="G274" i="2"/>
  <c r="G275" i="2"/>
  <c r="G276" i="2"/>
  <c r="G277" i="2"/>
  <c r="G278" i="2"/>
  <c r="G279" i="2"/>
  <c r="G280" i="2"/>
  <c r="G281" i="2"/>
  <c r="G271" i="2"/>
  <c r="G255" i="2"/>
  <c r="G256" i="2"/>
  <c r="G257" i="2"/>
  <c r="G258" i="2"/>
  <c r="G259" i="2"/>
  <c r="G260" i="2"/>
  <c r="G261" i="2"/>
  <c r="G262" i="2"/>
  <c r="G263" i="2"/>
  <c r="G264" i="2"/>
  <c r="G254" i="2"/>
  <c r="G238" i="2"/>
  <c r="G239" i="2"/>
  <c r="G240" i="2"/>
  <c r="G241" i="2"/>
  <c r="G242" i="2"/>
  <c r="G243" i="2"/>
  <c r="G244" i="2"/>
  <c r="G245" i="2"/>
  <c r="G246" i="2"/>
  <c r="G247" i="2"/>
  <c r="G237" i="2"/>
  <c r="G197" i="2"/>
  <c r="G198" i="2"/>
  <c r="G199" i="2"/>
  <c r="G200" i="2"/>
  <c r="G201" i="2"/>
  <c r="G202" i="2"/>
  <c r="G203" i="2"/>
  <c r="G204" i="2"/>
  <c r="G205" i="2"/>
  <c r="G206" i="2"/>
  <c r="G196" i="2"/>
  <c r="G180" i="2"/>
  <c r="G181" i="2"/>
  <c r="G182" i="2"/>
  <c r="G183" i="2"/>
  <c r="G184" i="2"/>
  <c r="G185" i="2"/>
  <c r="G186" i="2"/>
  <c r="G187" i="2"/>
  <c r="G188" i="2"/>
  <c r="G189" i="2"/>
  <c r="G179" i="2"/>
  <c r="G138" i="2"/>
  <c r="G139" i="2"/>
  <c r="G140" i="2"/>
  <c r="G141" i="2"/>
  <c r="G142" i="2"/>
  <c r="G143" i="2"/>
  <c r="G144" i="2"/>
  <c r="G145" i="2"/>
  <c r="G146" i="2"/>
  <c r="G147" i="2"/>
  <c r="G137" i="2"/>
  <c r="AC281" i="2"/>
  <c r="AB281" i="2"/>
  <c r="AA281" i="2"/>
  <c r="Z281" i="2"/>
  <c r="Y281" i="2"/>
  <c r="X281" i="2"/>
  <c r="W281" i="2"/>
  <c r="V281" i="2"/>
  <c r="U281" i="2"/>
  <c r="T281" i="2"/>
  <c r="S281" i="2"/>
  <c r="R281" i="2"/>
  <c r="Q281" i="2"/>
  <c r="P281" i="2"/>
  <c r="O281" i="2"/>
  <c r="N281" i="2"/>
  <c r="M281" i="2"/>
  <c r="L281" i="2"/>
  <c r="K281" i="2"/>
  <c r="J281" i="2"/>
  <c r="F281" i="2"/>
  <c r="E281" i="2"/>
  <c r="D281" i="2"/>
  <c r="AC280" i="2"/>
  <c r="AB280" i="2"/>
  <c r="AA280" i="2"/>
  <c r="Z280" i="2"/>
  <c r="Y280" i="2"/>
  <c r="X280" i="2"/>
  <c r="W280" i="2"/>
  <c r="V280" i="2"/>
  <c r="U280" i="2"/>
  <c r="T280" i="2"/>
  <c r="S280" i="2"/>
  <c r="R280" i="2"/>
  <c r="Q280" i="2"/>
  <c r="P280" i="2"/>
  <c r="O280" i="2"/>
  <c r="N280" i="2"/>
  <c r="M280" i="2"/>
  <c r="L280" i="2"/>
  <c r="K280" i="2"/>
  <c r="J280" i="2"/>
  <c r="F280" i="2"/>
  <c r="E280" i="2"/>
  <c r="D280" i="2"/>
  <c r="AC279" i="2"/>
  <c r="AB279" i="2"/>
  <c r="AA279" i="2"/>
  <c r="Z279" i="2"/>
  <c r="Y279" i="2"/>
  <c r="X279" i="2"/>
  <c r="W279" i="2"/>
  <c r="V279" i="2"/>
  <c r="U279" i="2"/>
  <c r="T279" i="2"/>
  <c r="S279" i="2"/>
  <c r="R279" i="2"/>
  <c r="Q279" i="2"/>
  <c r="P279" i="2"/>
  <c r="O279" i="2"/>
  <c r="N279" i="2"/>
  <c r="M279" i="2"/>
  <c r="L279" i="2"/>
  <c r="K279" i="2"/>
  <c r="J279" i="2"/>
  <c r="F279" i="2"/>
  <c r="E279" i="2"/>
  <c r="D279" i="2"/>
  <c r="AC278" i="2"/>
  <c r="AB278" i="2"/>
  <c r="AA278" i="2"/>
  <c r="Z278" i="2"/>
  <c r="Y278" i="2"/>
  <c r="X278" i="2"/>
  <c r="W278" i="2"/>
  <c r="V278" i="2"/>
  <c r="U278" i="2"/>
  <c r="T278" i="2"/>
  <c r="S278" i="2"/>
  <c r="R278" i="2"/>
  <c r="Q278" i="2"/>
  <c r="P278" i="2"/>
  <c r="O278" i="2"/>
  <c r="N278" i="2"/>
  <c r="M278" i="2"/>
  <c r="L278" i="2"/>
  <c r="K278" i="2"/>
  <c r="J278" i="2"/>
  <c r="F278" i="2"/>
  <c r="E278" i="2"/>
  <c r="D278" i="2"/>
  <c r="AC277" i="2"/>
  <c r="AB277" i="2"/>
  <c r="AA277" i="2"/>
  <c r="Z277" i="2"/>
  <c r="Y277" i="2"/>
  <c r="X277" i="2"/>
  <c r="W277" i="2"/>
  <c r="V277" i="2"/>
  <c r="U277" i="2"/>
  <c r="T277" i="2"/>
  <c r="S277" i="2"/>
  <c r="R277" i="2"/>
  <c r="Q277" i="2"/>
  <c r="P277" i="2"/>
  <c r="O277" i="2"/>
  <c r="N277" i="2"/>
  <c r="M277" i="2"/>
  <c r="L277" i="2"/>
  <c r="K277" i="2"/>
  <c r="J277" i="2"/>
  <c r="F277" i="2"/>
  <c r="E277" i="2"/>
  <c r="D277" i="2"/>
  <c r="AB276" i="2"/>
  <c r="AA276" i="2"/>
  <c r="Z276" i="2"/>
  <c r="Y276" i="2"/>
  <c r="X276" i="2"/>
  <c r="W276" i="2"/>
  <c r="V276" i="2"/>
  <c r="U276" i="2"/>
  <c r="T276" i="2"/>
  <c r="S276" i="2"/>
  <c r="R276" i="2"/>
  <c r="Q276" i="2"/>
  <c r="P276" i="2"/>
  <c r="O276" i="2"/>
  <c r="N276" i="2"/>
  <c r="M276" i="2"/>
  <c r="L276" i="2"/>
  <c r="K276" i="2"/>
  <c r="J276" i="2"/>
  <c r="F276" i="2"/>
  <c r="E276" i="2"/>
  <c r="D276" i="2"/>
  <c r="AA275" i="2"/>
  <c r="Z275" i="2"/>
  <c r="Y275" i="2"/>
  <c r="X275" i="2"/>
  <c r="W275" i="2"/>
  <c r="V275" i="2"/>
  <c r="U275" i="2"/>
  <c r="T275" i="2"/>
  <c r="S275" i="2"/>
  <c r="R275" i="2"/>
  <c r="Q275" i="2"/>
  <c r="P275" i="2"/>
  <c r="O275" i="2"/>
  <c r="N275" i="2"/>
  <c r="M275" i="2"/>
  <c r="L275" i="2"/>
  <c r="K275" i="2"/>
  <c r="J275" i="2"/>
  <c r="F275" i="2"/>
  <c r="E275" i="2"/>
  <c r="D275" i="2"/>
  <c r="Z274" i="2"/>
  <c r="Y274" i="2"/>
  <c r="X274" i="2"/>
  <c r="W274" i="2"/>
  <c r="V274" i="2"/>
  <c r="U274" i="2"/>
  <c r="T274" i="2"/>
  <c r="S274" i="2"/>
  <c r="R274" i="2"/>
  <c r="Q274" i="2"/>
  <c r="P274" i="2"/>
  <c r="O274" i="2"/>
  <c r="N274" i="2"/>
  <c r="M274" i="2"/>
  <c r="L274" i="2"/>
  <c r="K274" i="2"/>
  <c r="J274" i="2"/>
  <c r="F274" i="2"/>
  <c r="E274" i="2"/>
  <c r="D274" i="2"/>
  <c r="Y273" i="2"/>
  <c r="X273" i="2"/>
  <c r="W273" i="2"/>
  <c r="V273" i="2"/>
  <c r="U273" i="2"/>
  <c r="T273" i="2"/>
  <c r="S273" i="2"/>
  <c r="R273" i="2"/>
  <c r="Q273" i="2"/>
  <c r="P273" i="2"/>
  <c r="O273" i="2"/>
  <c r="N273" i="2"/>
  <c r="M273" i="2"/>
  <c r="L273" i="2"/>
  <c r="K273" i="2"/>
  <c r="J273" i="2"/>
  <c r="F273" i="2"/>
  <c r="E273" i="2"/>
  <c r="D273" i="2"/>
  <c r="X272" i="2"/>
  <c r="W272" i="2"/>
  <c r="V272" i="2"/>
  <c r="U272" i="2"/>
  <c r="T272" i="2"/>
  <c r="S272" i="2"/>
  <c r="R272" i="2"/>
  <c r="Q272" i="2"/>
  <c r="P272" i="2"/>
  <c r="O272" i="2"/>
  <c r="N272" i="2"/>
  <c r="M272" i="2"/>
  <c r="L272" i="2"/>
  <c r="K272" i="2"/>
  <c r="J272" i="2"/>
  <c r="F272" i="2"/>
  <c r="E272" i="2"/>
  <c r="D272" i="2"/>
  <c r="W271" i="2"/>
  <c r="V271" i="2"/>
  <c r="U271" i="2"/>
  <c r="T271" i="2"/>
  <c r="S271" i="2"/>
  <c r="R271" i="2"/>
  <c r="Q271" i="2"/>
  <c r="P271" i="2"/>
  <c r="O271" i="2"/>
  <c r="N271" i="2"/>
  <c r="M271" i="2"/>
  <c r="L271" i="2"/>
  <c r="K271" i="2"/>
  <c r="J271" i="2"/>
  <c r="F271" i="2"/>
  <c r="E271" i="2"/>
  <c r="D271" i="2"/>
  <c r="V270" i="2"/>
  <c r="U270" i="2"/>
  <c r="T270" i="2"/>
  <c r="S270" i="2"/>
  <c r="R270" i="2"/>
  <c r="Q270" i="2"/>
  <c r="P270" i="2"/>
  <c r="O270" i="2"/>
  <c r="N270" i="2"/>
  <c r="M270" i="2"/>
  <c r="L270" i="2"/>
  <c r="K270" i="2"/>
  <c r="J270" i="2"/>
  <c r="AC264" i="2"/>
  <c r="AB264" i="2"/>
  <c r="AA264" i="2"/>
  <c r="Z264" i="2"/>
  <c r="Y264" i="2"/>
  <c r="X264" i="2"/>
  <c r="W264" i="2"/>
  <c r="V264" i="2"/>
  <c r="U264" i="2"/>
  <c r="T264" i="2"/>
  <c r="S264" i="2"/>
  <c r="R264" i="2"/>
  <c r="Q264" i="2"/>
  <c r="P264" i="2"/>
  <c r="O264" i="2"/>
  <c r="N264" i="2"/>
  <c r="M264" i="2"/>
  <c r="L264" i="2"/>
  <c r="K264" i="2"/>
  <c r="J264" i="2"/>
  <c r="F264" i="2"/>
  <c r="E264" i="2"/>
  <c r="D264" i="2"/>
  <c r="AC263" i="2"/>
  <c r="AB263" i="2"/>
  <c r="AA263" i="2"/>
  <c r="Z263" i="2"/>
  <c r="Y263" i="2"/>
  <c r="X263" i="2"/>
  <c r="W263" i="2"/>
  <c r="V263" i="2"/>
  <c r="U263" i="2"/>
  <c r="T263" i="2"/>
  <c r="S263" i="2"/>
  <c r="R263" i="2"/>
  <c r="Q263" i="2"/>
  <c r="P263" i="2"/>
  <c r="O263" i="2"/>
  <c r="N263" i="2"/>
  <c r="M263" i="2"/>
  <c r="L263" i="2"/>
  <c r="K263" i="2"/>
  <c r="J263" i="2"/>
  <c r="F263" i="2"/>
  <c r="E263" i="2"/>
  <c r="D263" i="2"/>
  <c r="AC262" i="2"/>
  <c r="AB262" i="2"/>
  <c r="AA262" i="2"/>
  <c r="Z262" i="2"/>
  <c r="Y262" i="2"/>
  <c r="X262" i="2"/>
  <c r="W262" i="2"/>
  <c r="V262" i="2"/>
  <c r="U262" i="2"/>
  <c r="T262" i="2"/>
  <c r="S262" i="2"/>
  <c r="R262" i="2"/>
  <c r="Q262" i="2"/>
  <c r="P262" i="2"/>
  <c r="O262" i="2"/>
  <c r="N262" i="2"/>
  <c r="M262" i="2"/>
  <c r="L262" i="2"/>
  <c r="K262" i="2"/>
  <c r="J262" i="2"/>
  <c r="F262" i="2"/>
  <c r="E262" i="2"/>
  <c r="D262" i="2"/>
  <c r="AC261" i="2"/>
  <c r="AB261" i="2"/>
  <c r="AA261" i="2"/>
  <c r="Z261" i="2"/>
  <c r="Y261" i="2"/>
  <c r="X261" i="2"/>
  <c r="W261" i="2"/>
  <c r="V261" i="2"/>
  <c r="U261" i="2"/>
  <c r="T261" i="2"/>
  <c r="S261" i="2"/>
  <c r="R261" i="2"/>
  <c r="Q261" i="2"/>
  <c r="P261" i="2"/>
  <c r="O261" i="2"/>
  <c r="N261" i="2"/>
  <c r="M261" i="2"/>
  <c r="L261" i="2"/>
  <c r="K261" i="2"/>
  <c r="J261" i="2"/>
  <c r="F261" i="2"/>
  <c r="E261" i="2"/>
  <c r="D261" i="2"/>
  <c r="AC260" i="2"/>
  <c r="AB260" i="2"/>
  <c r="AA260" i="2"/>
  <c r="Z260" i="2"/>
  <c r="Y260" i="2"/>
  <c r="X260" i="2"/>
  <c r="W260" i="2"/>
  <c r="V260" i="2"/>
  <c r="U260" i="2"/>
  <c r="T260" i="2"/>
  <c r="S260" i="2"/>
  <c r="R260" i="2"/>
  <c r="Q260" i="2"/>
  <c r="P260" i="2"/>
  <c r="O260" i="2"/>
  <c r="N260" i="2"/>
  <c r="M260" i="2"/>
  <c r="L260" i="2"/>
  <c r="K260" i="2"/>
  <c r="J260" i="2"/>
  <c r="F260" i="2"/>
  <c r="E260" i="2"/>
  <c r="D260" i="2"/>
  <c r="AB259" i="2"/>
  <c r="AA259" i="2"/>
  <c r="Z259" i="2"/>
  <c r="Y259" i="2"/>
  <c r="X259" i="2"/>
  <c r="W259" i="2"/>
  <c r="V259" i="2"/>
  <c r="U259" i="2"/>
  <c r="T259" i="2"/>
  <c r="S259" i="2"/>
  <c r="R259" i="2"/>
  <c r="Q259" i="2"/>
  <c r="P259" i="2"/>
  <c r="O259" i="2"/>
  <c r="N259" i="2"/>
  <c r="M259" i="2"/>
  <c r="L259" i="2"/>
  <c r="K259" i="2"/>
  <c r="J259" i="2"/>
  <c r="F259" i="2"/>
  <c r="E259" i="2"/>
  <c r="D259" i="2"/>
  <c r="AA258" i="2"/>
  <c r="Z258" i="2"/>
  <c r="Y258" i="2"/>
  <c r="X258" i="2"/>
  <c r="W258" i="2"/>
  <c r="V258" i="2"/>
  <c r="U258" i="2"/>
  <c r="T258" i="2"/>
  <c r="S258" i="2"/>
  <c r="R258" i="2"/>
  <c r="Q258" i="2"/>
  <c r="P258" i="2"/>
  <c r="O258" i="2"/>
  <c r="N258" i="2"/>
  <c r="M258" i="2"/>
  <c r="L258" i="2"/>
  <c r="K258" i="2"/>
  <c r="J258" i="2"/>
  <c r="F258" i="2"/>
  <c r="E258" i="2"/>
  <c r="D258" i="2"/>
  <c r="Z257" i="2"/>
  <c r="Y257" i="2"/>
  <c r="X257" i="2"/>
  <c r="W257" i="2"/>
  <c r="V257" i="2"/>
  <c r="U257" i="2"/>
  <c r="T257" i="2"/>
  <c r="S257" i="2"/>
  <c r="R257" i="2"/>
  <c r="Q257" i="2"/>
  <c r="P257" i="2"/>
  <c r="O257" i="2"/>
  <c r="N257" i="2"/>
  <c r="M257" i="2"/>
  <c r="L257" i="2"/>
  <c r="K257" i="2"/>
  <c r="J257" i="2"/>
  <c r="F257" i="2"/>
  <c r="E257" i="2"/>
  <c r="D257" i="2"/>
  <c r="Y256" i="2"/>
  <c r="X256" i="2"/>
  <c r="W256" i="2"/>
  <c r="V256" i="2"/>
  <c r="U256" i="2"/>
  <c r="T256" i="2"/>
  <c r="S256" i="2"/>
  <c r="R256" i="2"/>
  <c r="Q256" i="2"/>
  <c r="P256" i="2"/>
  <c r="O256" i="2"/>
  <c r="N256" i="2"/>
  <c r="M256" i="2"/>
  <c r="L256" i="2"/>
  <c r="K256" i="2"/>
  <c r="J256" i="2"/>
  <c r="F256" i="2"/>
  <c r="E256" i="2"/>
  <c r="D256" i="2"/>
  <c r="X255" i="2"/>
  <c r="W255" i="2"/>
  <c r="V255" i="2"/>
  <c r="U255" i="2"/>
  <c r="T255" i="2"/>
  <c r="S255" i="2"/>
  <c r="R255" i="2"/>
  <c r="Q255" i="2"/>
  <c r="P255" i="2"/>
  <c r="O255" i="2"/>
  <c r="N255" i="2"/>
  <c r="M255" i="2"/>
  <c r="L255" i="2"/>
  <c r="K255" i="2"/>
  <c r="J255" i="2"/>
  <c r="F255" i="2"/>
  <c r="E255" i="2"/>
  <c r="D255" i="2"/>
  <c r="W254" i="2"/>
  <c r="V254" i="2"/>
  <c r="U254" i="2"/>
  <c r="T254" i="2"/>
  <c r="S254" i="2"/>
  <c r="R254" i="2"/>
  <c r="Q254" i="2"/>
  <c r="P254" i="2"/>
  <c r="O254" i="2"/>
  <c r="N254" i="2"/>
  <c r="M254" i="2"/>
  <c r="L254" i="2"/>
  <c r="K254" i="2"/>
  <c r="J254" i="2"/>
  <c r="F254" i="2"/>
  <c r="E254" i="2"/>
  <c r="D254" i="2"/>
  <c r="V253" i="2"/>
  <c r="U253" i="2"/>
  <c r="T253" i="2"/>
  <c r="S253" i="2"/>
  <c r="R253" i="2"/>
  <c r="Q253" i="2"/>
  <c r="P253" i="2"/>
  <c r="O253" i="2"/>
  <c r="N253" i="2"/>
  <c r="M253" i="2"/>
  <c r="L253" i="2"/>
  <c r="K253" i="2"/>
  <c r="J253" i="2"/>
  <c r="AC247" i="2"/>
  <c r="AB247" i="2"/>
  <c r="AA247" i="2"/>
  <c r="Z247" i="2"/>
  <c r="Y247" i="2"/>
  <c r="X247" i="2"/>
  <c r="W247" i="2"/>
  <c r="V247" i="2"/>
  <c r="U247" i="2"/>
  <c r="T247" i="2"/>
  <c r="S247" i="2"/>
  <c r="R247" i="2"/>
  <c r="Q247" i="2"/>
  <c r="P247" i="2"/>
  <c r="O247" i="2"/>
  <c r="N247" i="2"/>
  <c r="M247" i="2"/>
  <c r="L247" i="2"/>
  <c r="K247" i="2"/>
  <c r="J247" i="2"/>
  <c r="F247" i="2"/>
  <c r="E247" i="2"/>
  <c r="D247" i="2"/>
  <c r="AC246" i="2"/>
  <c r="AB246" i="2"/>
  <c r="AA246" i="2"/>
  <c r="Z246" i="2"/>
  <c r="Y246" i="2"/>
  <c r="X246" i="2"/>
  <c r="W246" i="2"/>
  <c r="V246" i="2"/>
  <c r="U246" i="2"/>
  <c r="T246" i="2"/>
  <c r="S246" i="2"/>
  <c r="R246" i="2"/>
  <c r="Q246" i="2"/>
  <c r="P246" i="2"/>
  <c r="O246" i="2"/>
  <c r="N246" i="2"/>
  <c r="M246" i="2"/>
  <c r="L246" i="2"/>
  <c r="K246" i="2"/>
  <c r="J246" i="2"/>
  <c r="F246" i="2"/>
  <c r="E246" i="2"/>
  <c r="D246" i="2"/>
  <c r="AC245" i="2"/>
  <c r="AB245" i="2"/>
  <c r="AA245" i="2"/>
  <c r="Z245" i="2"/>
  <c r="Y245" i="2"/>
  <c r="X245" i="2"/>
  <c r="W245" i="2"/>
  <c r="V245" i="2"/>
  <c r="U245" i="2"/>
  <c r="T245" i="2"/>
  <c r="S245" i="2"/>
  <c r="R245" i="2"/>
  <c r="Q245" i="2"/>
  <c r="P245" i="2"/>
  <c r="O245" i="2"/>
  <c r="N245" i="2"/>
  <c r="M245" i="2"/>
  <c r="L245" i="2"/>
  <c r="K245" i="2"/>
  <c r="J245" i="2"/>
  <c r="F245" i="2"/>
  <c r="E245" i="2"/>
  <c r="D245" i="2"/>
  <c r="AC244" i="2"/>
  <c r="AB244" i="2"/>
  <c r="AA244" i="2"/>
  <c r="Z244" i="2"/>
  <c r="Y244" i="2"/>
  <c r="X244" i="2"/>
  <c r="W244" i="2"/>
  <c r="V244" i="2"/>
  <c r="U244" i="2"/>
  <c r="T244" i="2"/>
  <c r="S244" i="2"/>
  <c r="R244" i="2"/>
  <c r="Q244" i="2"/>
  <c r="P244" i="2"/>
  <c r="O244" i="2"/>
  <c r="N244" i="2"/>
  <c r="M244" i="2"/>
  <c r="L244" i="2"/>
  <c r="K244" i="2"/>
  <c r="J244" i="2"/>
  <c r="F244" i="2"/>
  <c r="E244" i="2"/>
  <c r="D244" i="2"/>
  <c r="AC243" i="2"/>
  <c r="AB243" i="2"/>
  <c r="AA243" i="2"/>
  <c r="Z243" i="2"/>
  <c r="Y243" i="2"/>
  <c r="X243" i="2"/>
  <c r="W243" i="2"/>
  <c r="V243" i="2"/>
  <c r="U243" i="2"/>
  <c r="T243" i="2"/>
  <c r="S243" i="2"/>
  <c r="R243" i="2"/>
  <c r="Q243" i="2"/>
  <c r="P243" i="2"/>
  <c r="O243" i="2"/>
  <c r="N243" i="2"/>
  <c r="M243" i="2"/>
  <c r="L243" i="2"/>
  <c r="K243" i="2"/>
  <c r="J243" i="2"/>
  <c r="F243" i="2"/>
  <c r="E243" i="2"/>
  <c r="D243" i="2"/>
  <c r="AB242" i="2"/>
  <c r="AA242" i="2"/>
  <c r="Z242" i="2"/>
  <c r="Y242" i="2"/>
  <c r="X242" i="2"/>
  <c r="W242" i="2"/>
  <c r="V242" i="2"/>
  <c r="U242" i="2"/>
  <c r="T242" i="2"/>
  <c r="S242" i="2"/>
  <c r="R242" i="2"/>
  <c r="Q242" i="2"/>
  <c r="P242" i="2"/>
  <c r="O242" i="2"/>
  <c r="N242" i="2"/>
  <c r="M242" i="2"/>
  <c r="L242" i="2"/>
  <c r="K242" i="2"/>
  <c r="J242" i="2"/>
  <c r="F242" i="2"/>
  <c r="E242" i="2"/>
  <c r="D242" i="2"/>
  <c r="AA241" i="2"/>
  <c r="Z241" i="2"/>
  <c r="Y241" i="2"/>
  <c r="X241" i="2"/>
  <c r="W241" i="2"/>
  <c r="V241" i="2"/>
  <c r="U241" i="2"/>
  <c r="T241" i="2"/>
  <c r="S241" i="2"/>
  <c r="R241" i="2"/>
  <c r="Q241" i="2"/>
  <c r="P241" i="2"/>
  <c r="O241" i="2"/>
  <c r="N241" i="2"/>
  <c r="M241" i="2"/>
  <c r="L241" i="2"/>
  <c r="K241" i="2"/>
  <c r="J241" i="2"/>
  <c r="F241" i="2"/>
  <c r="E241" i="2"/>
  <c r="D241" i="2"/>
  <c r="Z240" i="2"/>
  <c r="Y240" i="2"/>
  <c r="X240" i="2"/>
  <c r="W240" i="2"/>
  <c r="V240" i="2"/>
  <c r="U240" i="2"/>
  <c r="T240" i="2"/>
  <c r="S240" i="2"/>
  <c r="R240" i="2"/>
  <c r="Q240" i="2"/>
  <c r="P240" i="2"/>
  <c r="O240" i="2"/>
  <c r="N240" i="2"/>
  <c r="M240" i="2"/>
  <c r="L240" i="2"/>
  <c r="K240" i="2"/>
  <c r="J240" i="2"/>
  <c r="F240" i="2"/>
  <c r="E240" i="2"/>
  <c r="D240" i="2"/>
  <c r="Y239" i="2"/>
  <c r="X239" i="2"/>
  <c r="W239" i="2"/>
  <c r="V239" i="2"/>
  <c r="U239" i="2"/>
  <c r="T239" i="2"/>
  <c r="S239" i="2"/>
  <c r="R239" i="2"/>
  <c r="Q239" i="2"/>
  <c r="P239" i="2"/>
  <c r="O239" i="2"/>
  <c r="N239" i="2"/>
  <c r="M239" i="2"/>
  <c r="L239" i="2"/>
  <c r="K239" i="2"/>
  <c r="J239" i="2"/>
  <c r="F239" i="2"/>
  <c r="E239" i="2"/>
  <c r="D239" i="2"/>
  <c r="X238" i="2"/>
  <c r="W238" i="2"/>
  <c r="V238" i="2"/>
  <c r="U238" i="2"/>
  <c r="T238" i="2"/>
  <c r="S238" i="2"/>
  <c r="R238" i="2"/>
  <c r="Q238" i="2"/>
  <c r="P238" i="2"/>
  <c r="O238" i="2"/>
  <c r="N238" i="2"/>
  <c r="M238" i="2"/>
  <c r="L238" i="2"/>
  <c r="K238" i="2"/>
  <c r="J238" i="2"/>
  <c r="F238" i="2"/>
  <c r="E238" i="2"/>
  <c r="D238" i="2"/>
  <c r="W237" i="2"/>
  <c r="V237" i="2"/>
  <c r="U237" i="2"/>
  <c r="T237" i="2"/>
  <c r="S237" i="2"/>
  <c r="R237" i="2"/>
  <c r="Q237" i="2"/>
  <c r="P237" i="2"/>
  <c r="O237" i="2"/>
  <c r="N237" i="2"/>
  <c r="M237" i="2"/>
  <c r="L237" i="2"/>
  <c r="K237" i="2"/>
  <c r="J237" i="2"/>
  <c r="F237" i="2"/>
  <c r="E237" i="2"/>
  <c r="D237" i="2"/>
  <c r="V236" i="2"/>
  <c r="U236" i="2"/>
  <c r="T236" i="2"/>
  <c r="S236" i="2"/>
  <c r="R236" i="2"/>
  <c r="Q236" i="2"/>
  <c r="P236" i="2"/>
  <c r="O236" i="2"/>
  <c r="N236" i="2"/>
  <c r="M236" i="2"/>
  <c r="L236" i="2"/>
  <c r="K236" i="2"/>
  <c r="J236" i="2"/>
  <c r="AC206" i="2"/>
  <c r="AB206" i="2"/>
  <c r="AA206" i="2"/>
  <c r="Z206" i="2"/>
  <c r="Y206" i="2"/>
  <c r="X206" i="2"/>
  <c r="W206" i="2"/>
  <c r="V206" i="2"/>
  <c r="U206" i="2"/>
  <c r="T206" i="2"/>
  <c r="S206" i="2"/>
  <c r="R206" i="2"/>
  <c r="Q206" i="2"/>
  <c r="P206" i="2"/>
  <c r="O206" i="2"/>
  <c r="N206" i="2"/>
  <c r="M206" i="2"/>
  <c r="L206" i="2"/>
  <c r="K206" i="2"/>
  <c r="J206" i="2"/>
  <c r="F206" i="2"/>
  <c r="E206" i="2"/>
  <c r="D206" i="2"/>
  <c r="AC205" i="2"/>
  <c r="AB205" i="2"/>
  <c r="AA205" i="2"/>
  <c r="Z205" i="2"/>
  <c r="Y205" i="2"/>
  <c r="X205" i="2"/>
  <c r="W205" i="2"/>
  <c r="V205" i="2"/>
  <c r="U205" i="2"/>
  <c r="T205" i="2"/>
  <c r="S205" i="2"/>
  <c r="R205" i="2"/>
  <c r="Q205" i="2"/>
  <c r="P205" i="2"/>
  <c r="O205" i="2"/>
  <c r="N205" i="2"/>
  <c r="M205" i="2"/>
  <c r="L205" i="2"/>
  <c r="K205" i="2"/>
  <c r="J205" i="2"/>
  <c r="F205" i="2"/>
  <c r="E205" i="2"/>
  <c r="D205" i="2"/>
  <c r="AC204" i="2"/>
  <c r="AB204" i="2"/>
  <c r="AA204" i="2"/>
  <c r="Z204" i="2"/>
  <c r="Y204" i="2"/>
  <c r="X204" i="2"/>
  <c r="W204" i="2"/>
  <c r="V204" i="2"/>
  <c r="U204" i="2"/>
  <c r="T204" i="2"/>
  <c r="S204" i="2"/>
  <c r="R204" i="2"/>
  <c r="Q204" i="2"/>
  <c r="P204" i="2"/>
  <c r="O204" i="2"/>
  <c r="N204" i="2"/>
  <c r="M204" i="2"/>
  <c r="L204" i="2"/>
  <c r="K204" i="2"/>
  <c r="J204" i="2"/>
  <c r="F204" i="2"/>
  <c r="E204" i="2"/>
  <c r="D204" i="2"/>
  <c r="AC203" i="2"/>
  <c r="AB203" i="2"/>
  <c r="AA203" i="2"/>
  <c r="Z203" i="2"/>
  <c r="Y203" i="2"/>
  <c r="X203" i="2"/>
  <c r="W203" i="2"/>
  <c r="V203" i="2"/>
  <c r="U203" i="2"/>
  <c r="T203" i="2"/>
  <c r="S203" i="2"/>
  <c r="R203" i="2"/>
  <c r="Q203" i="2"/>
  <c r="P203" i="2"/>
  <c r="O203" i="2"/>
  <c r="N203" i="2"/>
  <c r="M203" i="2"/>
  <c r="L203" i="2"/>
  <c r="K203" i="2"/>
  <c r="J203" i="2"/>
  <c r="F203" i="2"/>
  <c r="E203" i="2"/>
  <c r="D203" i="2"/>
  <c r="AC202" i="2"/>
  <c r="AB202" i="2"/>
  <c r="AA202" i="2"/>
  <c r="Z202" i="2"/>
  <c r="Y202" i="2"/>
  <c r="X202" i="2"/>
  <c r="W202" i="2"/>
  <c r="V202" i="2"/>
  <c r="U202" i="2"/>
  <c r="T202" i="2"/>
  <c r="S202" i="2"/>
  <c r="R202" i="2"/>
  <c r="Q202" i="2"/>
  <c r="P202" i="2"/>
  <c r="O202" i="2"/>
  <c r="N202" i="2"/>
  <c r="M202" i="2"/>
  <c r="L202" i="2"/>
  <c r="K202" i="2"/>
  <c r="J202" i="2"/>
  <c r="F202" i="2"/>
  <c r="E202" i="2"/>
  <c r="D202" i="2"/>
  <c r="AB201" i="2"/>
  <c r="AA201" i="2"/>
  <c r="Z201" i="2"/>
  <c r="Y201" i="2"/>
  <c r="X201" i="2"/>
  <c r="W201" i="2"/>
  <c r="V201" i="2"/>
  <c r="U201" i="2"/>
  <c r="T201" i="2"/>
  <c r="S201" i="2"/>
  <c r="R201" i="2"/>
  <c r="Q201" i="2"/>
  <c r="P201" i="2"/>
  <c r="O201" i="2"/>
  <c r="N201" i="2"/>
  <c r="M201" i="2"/>
  <c r="L201" i="2"/>
  <c r="K201" i="2"/>
  <c r="J201" i="2"/>
  <c r="F201" i="2"/>
  <c r="E201" i="2"/>
  <c r="D201" i="2"/>
  <c r="AA200" i="2"/>
  <c r="Z200" i="2"/>
  <c r="Y200" i="2"/>
  <c r="X200" i="2"/>
  <c r="W200" i="2"/>
  <c r="V200" i="2"/>
  <c r="U200" i="2"/>
  <c r="T200" i="2"/>
  <c r="S200" i="2"/>
  <c r="R200" i="2"/>
  <c r="Q200" i="2"/>
  <c r="P200" i="2"/>
  <c r="O200" i="2"/>
  <c r="N200" i="2"/>
  <c r="M200" i="2"/>
  <c r="L200" i="2"/>
  <c r="K200" i="2"/>
  <c r="J200" i="2"/>
  <c r="F200" i="2"/>
  <c r="E200" i="2"/>
  <c r="D200" i="2"/>
  <c r="Z199" i="2"/>
  <c r="Y199" i="2"/>
  <c r="X199" i="2"/>
  <c r="W199" i="2"/>
  <c r="V199" i="2"/>
  <c r="U199" i="2"/>
  <c r="T199" i="2"/>
  <c r="S199" i="2"/>
  <c r="R199" i="2"/>
  <c r="Q199" i="2"/>
  <c r="P199" i="2"/>
  <c r="O199" i="2"/>
  <c r="N199" i="2"/>
  <c r="M199" i="2"/>
  <c r="L199" i="2"/>
  <c r="K199" i="2"/>
  <c r="J199" i="2"/>
  <c r="F199" i="2"/>
  <c r="E199" i="2"/>
  <c r="D199" i="2"/>
  <c r="Y198" i="2"/>
  <c r="X198" i="2"/>
  <c r="W198" i="2"/>
  <c r="V198" i="2"/>
  <c r="U198" i="2"/>
  <c r="T198" i="2"/>
  <c r="S198" i="2"/>
  <c r="R198" i="2"/>
  <c r="Q198" i="2"/>
  <c r="P198" i="2"/>
  <c r="O198" i="2"/>
  <c r="N198" i="2"/>
  <c r="M198" i="2"/>
  <c r="L198" i="2"/>
  <c r="K198" i="2"/>
  <c r="J198" i="2"/>
  <c r="F198" i="2"/>
  <c r="E198" i="2"/>
  <c r="D198" i="2"/>
  <c r="X197" i="2"/>
  <c r="W197" i="2"/>
  <c r="V197" i="2"/>
  <c r="U197" i="2"/>
  <c r="T197" i="2"/>
  <c r="S197" i="2"/>
  <c r="R197" i="2"/>
  <c r="Q197" i="2"/>
  <c r="P197" i="2"/>
  <c r="O197" i="2"/>
  <c r="N197" i="2"/>
  <c r="M197" i="2"/>
  <c r="L197" i="2"/>
  <c r="K197" i="2"/>
  <c r="J197" i="2"/>
  <c r="F197" i="2"/>
  <c r="E197" i="2"/>
  <c r="D197" i="2"/>
  <c r="W196" i="2"/>
  <c r="V196" i="2"/>
  <c r="U196" i="2"/>
  <c r="T196" i="2"/>
  <c r="S196" i="2"/>
  <c r="R196" i="2"/>
  <c r="Q196" i="2"/>
  <c r="P196" i="2"/>
  <c r="O196" i="2"/>
  <c r="N196" i="2"/>
  <c r="M196" i="2"/>
  <c r="L196" i="2"/>
  <c r="K196" i="2"/>
  <c r="J196" i="2"/>
  <c r="F196" i="2"/>
  <c r="E196" i="2"/>
  <c r="D196" i="2"/>
  <c r="V195" i="2"/>
  <c r="U195" i="2"/>
  <c r="T195" i="2"/>
  <c r="S195" i="2"/>
  <c r="R195" i="2"/>
  <c r="Q195" i="2"/>
  <c r="P195" i="2"/>
  <c r="O195" i="2"/>
  <c r="N195" i="2"/>
  <c r="M195" i="2"/>
  <c r="L195" i="2"/>
  <c r="K195" i="2"/>
  <c r="J195" i="2"/>
  <c r="AC189" i="2"/>
  <c r="AB189" i="2"/>
  <c r="AA189" i="2"/>
  <c r="Z189" i="2"/>
  <c r="Y189" i="2"/>
  <c r="X189" i="2"/>
  <c r="W189" i="2"/>
  <c r="V189" i="2"/>
  <c r="U189" i="2"/>
  <c r="T189" i="2"/>
  <c r="S189" i="2"/>
  <c r="R189" i="2"/>
  <c r="Q189" i="2"/>
  <c r="P189" i="2"/>
  <c r="O189" i="2"/>
  <c r="N189" i="2"/>
  <c r="M189" i="2"/>
  <c r="L189" i="2"/>
  <c r="K189" i="2"/>
  <c r="J189" i="2"/>
  <c r="F189" i="2"/>
  <c r="E189" i="2"/>
  <c r="D189" i="2"/>
  <c r="AC188" i="2"/>
  <c r="AB188" i="2"/>
  <c r="AA188" i="2"/>
  <c r="Z188" i="2"/>
  <c r="Y188" i="2"/>
  <c r="X188" i="2"/>
  <c r="W188" i="2"/>
  <c r="V188" i="2"/>
  <c r="U188" i="2"/>
  <c r="T188" i="2"/>
  <c r="S188" i="2"/>
  <c r="R188" i="2"/>
  <c r="Q188" i="2"/>
  <c r="P188" i="2"/>
  <c r="O188" i="2"/>
  <c r="N188" i="2"/>
  <c r="M188" i="2"/>
  <c r="L188" i="2"/>
  <c r="K188" i="2"/>
  <c r="J188" i="2"/>
  <c r="F188" i="2"/>
  <c r="E188" i="2"/>
  <c r="D188" i="2"/>
  <c r="AC187" i="2"/>
  <c r="AB187" i="2"/>
  <c r="AA187" i="2"/>
  <c r="Z187" i="2"/>
  <c r="Y187" i="2"/>
  <c r="X187" i="2"/>
  <c r="W187" i="2"/>
  <c r="V187" i="2"/>
  <c r="U187" i="2"/>
  <c r="T187" i="2"/>
  <c r="S187" i="2"/>
  <c r="R187" i="2"/>
  <c r="Q187" i="2"/>
  <c r="P187" i="2"/>
  <c r="O187" i="2"/>
  <c r="N187" i="2"/>
  <c r="M187" i="2"/>
  <c r="L187" i="2"/>
  <c r="K187" i="2"/>
  <c r="J187" i="2"/>
  <c r="F187" i="2"/>
  <c r="E187" i="2"/>
  <c r="D187" i="2"/>
  <c r="AC186" i="2"/>
  <c r="AB186" i="2"/>
  <c r="AA186" i="2"/>
  <c r="Z186" i="2"/>
  <c r="Y186" i="2"/>
  <c r="X186" i="2"/>
  <c r="W186" i="2"/>
  <c r="V186" i="2"/>
  <c r="U186" i="2"/>
  <c r="T186" i="2"/>
  <c r="S186" i="2"/>
  <c r="R186" i="2"/>
  <c r="Q186" i="2"/>
  <c r="P186" i="2"/>
  <c r="O186" i="2"/>
  <c r="N186" i="2"/>
  <c r="M186" i="2"/>
  <c r="L186" i="2"/>
  <c r="K186" i="2"/>
  <c r="J186" i="2"/>
  <c r="F186" i="2"/>
  <c r="E186" i="2"/>
  <c r="D186" i="2"/>
  <c r="AC185" i="2"/>
  <c r="AB185" i="2"/>
  <c r="AA185" i="2"/>
  <c r="Z185" i="2"/>
  <c r="Y185" i="2"/>
  <c r="X185" i="2"/>
  <c r="W185" i="2"/>
  <c r="V185" i="2"/>
  <c r="U185" i="2"/>
  <c r="T185" i="2"/>
  <c r="S185" i="2"/>
  <c r="R185" i="2"/>
  <c r="Q185" i="2"/>
  <c r="P185" i="2"/>
  <c r="O185" i="2"/>
  <c r="N185" i="2"/>
  <c r="M185" i="2"/>
  <c r="L185" i="2"/>
  <c r="K185" i="2"/>
  <c r="J185" i="2"/>
  <c r="F185" i="2"/>
  <c r="E185" i="2"/>
  <c r="D185" i="2"/>
  <c r="AB184" i="2"/>
  <c r="AA184" i="2"/>
  <c r="Z184" i="2"/>
  <c r="Y184" i="2"/>
  <c r="X184" i="2"/>
  <c r="W184" i="2"/>
  <c r="V184" i="2"/>
  <c r="U184" i="2"/>
  <c r="T184" i="2"/>
  <c r="S184" i="2"/>
  <c r="R184" i="2"/>
  <c r="Q184" i="2"/>
  <c r="P184" i="2"/>
  <c r="O184" i="2"/>
  <c r="N184" i="2"/>
  <c r="M184" i="2"/>
  <c r="L184" i="2"/>
  <c r="K184" i="2"/>
  <c r="J184" i="2"/>
  <c r="F184" i="2"/>
  <c r="E184" i="2"/>
  <c r="D184" i="2"/>
  <c r="AA183" i="2"/>
  <c r="Z183" i="2"/>
  <c r="Y183" i="2"/>
  <c r="X183" i="2"/>
  <c r="W183" i="2"/>
  <c r="V183" i="2"/>
  <c r="U183" i="2"/>
  <c r="T183" i="2"/>
  <c r="S183" i="2"/>
  <c r="R183" i="2"/>
  <c r="Q183" i="2"/>
  <c r="P183" i="2"/>
  <c r="O183" i="2"/>
  <c r="N183" i="2"/>
  <c r="M183" i="2"/>
  <c r="L183" i="2"/>
  <c r="K183" i="2"/>
  <c r="J183" i="2"/>
  <c r="F183" i="2"/>
  <c r="E183" i="2"/>
  <c r="D183" i="2"/>
  <c r="Z182" i="2"/>
  <c r="Y182" i="2"/>
  <c r="X182" i="2"/>
  <c r="W182" i="2"/>
  <c r="V182" i="2"/>
  <c r="U182" i="2"/>
  <c r="T182" i="2"/>
  <c r="S182" i="2"/>
  <c r="R182" i="2"/>
  <c r="Q182" i="2"/>
  <c r="P182" i="2"/>
  <c r="O182" i="2"/>
  <c r="N182" i="2"/>
  <c r="M182" i="2"/>
  <c r="L182" i="2"/>
  <c r="K182" i="2"/>
  <c r="J182" i="2"/>
  <c r="F182" i="2"/>
  <c r="E182" i="2"/>
  <c r="D182" i="2"/>
  <c r="Y181" i="2"/>
  <c r="X181" i="2"/>
  <c r="W181" i="2"/>
  <c r="V181" i="2"/>
  <c r="U181" i="2"/>
  <c r="T181" i="2"/>
  <c r="S181" i="2"/>
  <c r="R181" i="2"/>
  <c r="Q181" i="2"/>
  <c r="P181" i="2"/>
  <c r="O181" i="2"/>
  <c r="N181" i="2"/>
  <c r="M181" i="2"/>
  <c r="L181" i="2"/>
  <c r="K181" i="2"/>
  <c r="J181" i="2"/>
  <c r="F181" i="2"/>
  <c r="E181" i="2"/>
  <c r="D181" i="2"/>
  <c r="X180" i="2"/>
  <c r="W180" i="2"/>
  <c r="V180" i="2"/>
  <c r="U180" i="2"/>
  <c r="T180" i="2"/>
  <c r="S180" i="2"/>
  <c r="R180" i="2"/>
  <c r="Q180" i="2"/>
  <c r="P180" i="2"/>
  <c r="O180" i="2"/>
  <c r="N180" i="2"/>
  <c r="M180" i="2"/>
  <c r="L180" i="2"/>
  <c r="K180" i="2"/>
  <c r="J180" i="2"/>
  <c r="F180" i="2"/>
  <c r="E180" i="2"/>
  <c r="D180" i="2"/>
  <c r="W179" i="2"/>
  <c r="V179" i="2"/>
  <c r="U179" i="2"/>
  <c r="T179" i="2"/>
  <c r="S179" i="2"/>
  <c r="R179" i="2"/>
  <c r="Q179" i="2"/>
  <c r="P179" i="2"/>
  <c r="O179" i="2"/>
  <c r="N179" i="2"/>
  <c r="M179" i="2"/>
  <c r="L179" i="2"/>
  <c r="K179" i="2"/>
  <c r="J179" i="2"/>
  <c r="F179" i="2"/>
  <c r="E179" i="2"/>
  <c r="D179" i="2"/>
  <c r="V178" i="2"/>
  <c r="U178" i="2"/>
  <c r="T178" i="2"/>
  <c r="S178" i="2"/>
  <c r="R178" i="2"/>
  <c r="Q178" i="2"/>
  <c r="P178" i="2"/>
  <c r="O178" i="2"/>
  <c r="N178" i="2"/>
  <c r="M178" i="2"/>
  <c r="L178" i="2"/>
  <c r="K178" i="2"/>
  <c r="J178" i="2"/>
  <c r="AC147" i="2"/>
  <c r="AB147" i="2"/>
  <c r="AA147" i="2"/>
  <c r="Z147" i="2"/>
  <c r="Y147" i="2"/>
  <c r="X147" i="2"/>
  <c r="W147" i="2"/>
  <c r="V147" i="2"/>
  <c r="U147" i="2"/>
  <c r="T147" i="2"/>
  <c r="S147" i="2"/>
  <c r="R147" i="2"/>
  <c r="Q147" i="2"/>
  <c r="P147" i="2"/>
  <c r="O147" i="2"/>
  <c r="N147" i="2"/>
  <c r="M147" i="2"/>
  <c r="L147" i="2"/>
  <c r="K147" i="2"/>
  <c r="J147" i="2"/>
  <c r="F147" i="2"/>
  <c r="E147" i="2"/>
  <c r="D147" i="2"/>
  <c r="AC146" i="2"/>
  <c r="AB146" i="2"/>
  <c r="AA146" i="2"/>
  <c r="Z146" i="2"/>
  <c r="Y146" i="2"/>
  <c r="X146" i="2"/>
  <c r="W146" i="2"/>
  <c r="V146" i="2"/>
  <c r="U146" i="2"/>
  <c r="T146" i="2"/>
  <c r="S146" i="2"/>
  <c r="R146" i="2"/>
  <c r="Q146" i="2"/>
  <c r="P146" i="2"/>
  <c r="O146" i="2"/>
  <c r="N146" i="2"/>
  <c r="M146" i="2"/>
  <c r="L146" i="2"/>
  <c r="K146" i="2"/>
  <c r="J146" i="2"/>
  <c r="F146" i="2"/>
  <c r="E146" i="2"/>
  <c r="D146" i="2"/>
  <c r="AC145" i="2"/>
  <c r="AB145" i="2"/>
  <c r="AA145" i="2"/>
  <c r="Z145" i="2"/>
  <c r="Y145" i="2"/>
  <c r="X145" i="2"/>
  <c r="W145" i="2"/>
  <c r="V145" i="2"/>
  <c r="U145" i="2"/>
  <c r="T145" i="2"/>
  <c r="S145" i="2"/>
  <c r="R145" i="2"/>
  <c r="Q145" i="2"/>
  <c r="P145" i="2"/>
  <c r="O145" i="2"/>
  <c r="N145" i="2"/>
  <c r="M145" i="2"/>
  <c r="L145" i="2"/>
  <c r="K145" i="2"/>
  <c r="J145" i="2"/>
  <c r="F145" i="2"/>
  <c r="E145" i="2"/>
  <c r="D145" i="2"/>
  <c r="AC144" i="2"/>
  <c r="AB144" i="2"/>
  <c r="AA144" i="2"/>
  <c r="Z144" i="2"/>
  <c r="Y144" i="2"/>
  <c r="X144" i="2"/>
  <c r="W144" i="2"/>
  <c r="V144" i="2"/>
  <c r="U144" i="2"/>
  <c r="T144" i="2"/>
  <c r="S144" i="2"/>
  <c r="R144" i="2"/>
  <c r="Q144" i="2"/>
  <c r="P144" i="2"/>
  <c r="O144" i="2"/>
  <c r="N144" i="2"/>
  <c r="M144" i="2"/>
  <c r="L144" i="2"/>
  <c r="K144" i="2"/>
  <c r="J144" i="2"/>
  <c r="F144" i="2"/>
  <c r="E144" i="2"/>
  <c r="D144" i="2"/>
  <c r="AC143" i="2"/>
  <c r="AB143" i="2"/>
  <c r="AA143" i="2"/>
  <c r="Z143" i="2"/>
  <c r="Y143" i="2"/>
  <c r="X143" i="2"/>
  <c r="W143" i="2"/>
  <c r="V143" i="2"/>
  <c r="U143" i="2"/>
  <c r="T143" i="2"/>
  <c r="S143" i="2"/>
  <c r="R143" i="2"/>
  <c r="Q143" i="2"/>
  <c r="P143" i="2"/>
  <c r="O143" i="2"/>
  <c r="N143" i="2"/>
  <c r="M143" i="2"/>
  <c r="L143" i="2"/>
  <c r="K143" i="2"/>
  <c r="J143" i="2"/>
  <c r="F143" i="2"/>
  <c r="E143" i="2"/>
  <c r="D143" i="2"/>
  <c r="AB142" i="2"/>
  <c r="AA142" i="2"/>
  <c r="Z142" i="2"/>
  <c r="Y142" i="2"/>
  <c r="X142" i="2"/>
  <c r="W142" i="2"/>
  <c r="V142" i="2"/>
  <c r="U142" i="2"/>
  <c r="T142" i="2"/>
  <c r="S142" i="2"/>
  <c r="R142" i="2"/>
  <c r="Q142" i="2"/>
  <c r="P142" i="2"/>
  <c r="O142" i="2"/>
  <c r="N142" i="2"/>
  <c r="M142" i="2"/>
  <c r="L142" i="2"/>
  <c r="K142" i="2"/>
  <c r="J142" i="2"/>
  <c r="F142" i="2"/>
  <c r="E142" i="2"/>
  <c r="D142" i="2"/>
  <c r="AA141" i="2"/>
  <c r="Z141" i="2"/>
  <c r="Y141" i="2"/>
  <c r="X141" i="2"/>
  <c r="W141" i="2"/>
  <c r="V141" i="2"/>
  <c r="U141" i="2"/>
  <c r="T141" i="2"/>
  <c r="S141" i="2"/>
  <c r="R141" i="2"/>
  <c r="Q141" i="2"/>
  <c r="P141" i="2"/>
  <c r="O141" i="2"/>
  <c r="N141" i="2"/>
  <c r="M141" i="2"/>
  <c r="L141" i="2"/>
  <c r="K141" i="2"/>
  <c r="J141" i="2"/>
  <c r="F141" i="2"/>
  <c r="E141" i="2"/>
  <c r="D141" i="2"/>
  <c r="Z140" i="2"/>
  <c r="Y140" i="2"/>
  <c r="X140" i="2"/>
  <c r="W140" i="2"/>
  <c r="V140" i="2"/>
  <c r="U140" i="2"/>
  <c r="T140" i="2"/>
  <c r="S140" i="2"/>
  <c r="R140" i="2"/>
  <c r="Q140" i="2"/>
  <c r="P140" i="2"/>
  <c r="O140" i="2"/>
  <c r="N140" i="2"/>
  <c r="M140" i="2"/>
  <c r="L140" i="2"/>
  <c r="K140" i="2"/>
  <c r="J140" i="2"/>
  <c r="F140" i="2"/>
  <c r="E140" i="2"/>
  <c r="D140" i="2"/>
  <c r="Y139" i="2"/>
  <c r="X139" i="2"/>
  <c r="W139" i="2"/>
  <c r="V139" i="2"/>
  <c r="U139" i="2"/>
  <c r="T139" i="2"/>
  <c r="S139" i="2"/>
  <c r="R139" i="2"/>
  <c r="Q139" i="2"/>
  <c r="P139" i="2"/>
  <c r="O139" i="2"/>
  <c r="N139" i="2"/>
  <c r="M139" i="2"/>
  <c r="L139" i="2"/>
  <c r="K139" i="2"/>
  <c r="J139" i="2"/>
  <c r="F139" i="2"/>
  <c r="E139" i="2"/>
  <c r="D139" i="2"/>
  <c r="X138" i="2"/>
  <c r="W138" i="2"/>
  <c r="V138" i="2"/>
  <c r="U138" i="2"/>
  <c r="T138" i="2"/>
  <c r="S138" i="2"/>
  <c r="R138" i="2"/>
  <c r="Q138" i="2"/>
  <c r="P138" i="2"/>
  <c r="O138" i="2"/>
  <c r="N138" i="2"/>
  <c r="M138" i="2"/>
  <c r="L138" i="2"/>
  <c r="K138" i="2"/>
  <c r="J138" i="2"/>
  <c r="F138" i="2"/>
  <c r="E138" i="2"/>
  <c r="D138" i="2"/>
  <c r="W137" i="2"/>
  <c r="V137" i="2"/>
  <c r="U137" i="2"/>
  <c r="T137" i="2"/>
  <c r="S137" i="2"/>
  <c r="R137" i="2"/>
  <c r="Q137" i="2"/>
  <c r="P137" i="2"/>
  <c r="O137" i="2"/>
  <c r="N137" i="2"/>
  <c r="M137" i="2"/>
  <c r="L137" i="2"/>
  <c r="K137" i="2"/>
  <c r="J137" i="2"/>
  <c r="F137" i="2"/>
  <c r="E137" i="2"/>
  <c r="D137" i="2"/>
  <c r="V136" i="2"/>
  <c r="U136" i="2"/>
  <c r="T136" i="2"/>
  <c r="S136" i="2"/>
  <c r="R136" i="2"/>
  <c r="Q136" i="2"/>
  <c r="P136" i="2"/>
  <c r="O136" i="2"/>
  <c r="N136" i="2"/>
  <c r="M136" i="2"/>
  <c r="L136" i="2"/>
  <c r="K136" i="2"/>
  <c r="J136"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AF104" i="2" l="1"/>
  <c r="K104" i="2"/>
  <c r="K54" i="2"/>
  <c r="AF54" i="2"/>
  <c r="AE30" i="2"/>
  <c r="AG30" i="2" s="1"/>
  <c r="AE37" i="2"/>
  <c r="AG37" i="2" s="1"/>
  <c r="AE31" i="2"/>
  <c r="AG31" i="2" s="1"/>
  <c r="AE38" i="2"/>
  <c r="AG38" i="2" s="1"/>
  <c r="AE29" i="2"/>
  <c r="AG29" i="2" s="1"/>
  <c r="AE32" i="2"/>
  <c r="AG32" i="2" s="1"/>
  <c r="AE39" i="2"/>
  <c r="AG39" i="2" s="1"/>
  <c r="AE42" i="2"/>
  <c r="AG42" i="2" s="1"/>
  <c r="AE47" i="2"/>
  <c r="AG47" i="2" s="1"/>
  <c r="AE35" i="2"/>
  <c r="AG35" i="2" s="1"/>
  <c r="AE43" i="2"/>
  <c r="AG43" i="2" s="1"/>
  <c r="AE46" i="2"/>
  <c r="AG46" i="2" s="1"/>
  <c r="AE44" i="2"/>
  <c r="AG44" i="2" s="1"/>
  <c r="AE45" i="2"/>
  <c r="AG45" i="2" s="1"/>
  <c r="AE40" i="2"/>
  <c r="AG40" i="2" s="1"/>
  <c r="N33" i="2"/>
  <c r="O33" i="2" s="1"/>
  <c r="P33" i="2" s="1"/>
  <c r="Q33" i="2" s="1"/>
  <c r="R33" i="2" s="1"/>
  <c r="S33" i="2" s="1"/>
  <c r="T33" i="2" s="1"/>
  <c r="U33" i="2" s="1"/>
  <c r="V33" i="2" s="1"/>
  <c r="W33" i="2" s="1"/>
  <c r="X33" i="2" s="1"/>
  <c r="Y33" i="2" s="1"/>
  <c r="Z33" i="2" s="1"/>
  <c r="AA33" i="2" s="1"/>
  <c r="AB33" i="2" s="1"/>
  <c r="AC33" i="2" s="1"/>
  <c r="AE36" i="2"/>
  <c r="AG36" i="2" s="1"/>
  <c r="J29" i="2"/>
  <c r="AE34" i="2"/>
  <c r="AG34" i="2" s="1"/>
  <c r="AE41" i="2"/>
  <c r="AG41" i="2" s="1"/>
  <c r="AE48" i="2"/>
  <c r="AG48" i="2" s="1"/>
  <c r="AE33" i="2"/>
  <c r="AG33" i="2" s="1"/>
  <c r="AE161" i="2"/>
  <c r="AG161" i="2" s="1"/>
  <c r="AE160" i="2"/>
  <c r="AG160" i="2" s="1"/>
  <c r="AE153" i="2"/>
  <c r="AG153" i="2" s="1"/>
  <c r="J152" i="2"/>
  <c r="AE162" i="2"/>
  <c r="AG162" i="2" s="1"/>
  <c r="AE165" i="2"/>
  <c r="AG165" i="2" s="1"/>
  <c r="AE170" i="2"/>
  <c r="AG170" i="2" s="1"/>
  <c r="AE155" i="2"/>
  <c r="AG155" i="2" s="1"/>
  <c r="AE158" i="2"/>
  <c r="AG158" i="2" s="1"/>
  <c r="AE166" i="2"/>
  <c r="AG166" i="2" s="1"/>
  <c r="AE169" i="2"/>
  <c r="AG169" i="2" s="1"/>
  <c r="AE154" i="2"/>
  <c r="AG154" i="2" s="1"/>
  <c r="AE167" i="2"/>
  <c r="AG167" i="2" s="1"/>
  <c r="AE168" i="2"/>
  <c r="AG168" i="2" s="1"/>
  <c r="AE163" i="2"/>
  <c r="AG163" i="2" s="1"/>
  <c r="N156" i="2"/>
  <c r="O156" i="2" s="1"/>
  <c r="P156" i="2" s="1"/>
  <c r="Q156" i="2" s="1"/>
  <c r="R156" i="2" s="1"/>
  <c r="S156" i="2" s="1"/>
  <c r="T156" i="2" s="1"/>
  <c r="U156" i="2" s="1"/>
  <c r="V156" i="2" s="1"/>
  <c r="W156" i="2" s="1"/>
  <c r="X156" i="2" s="1"/>
  <c r="Y156" i="2" s="1"/>
  <c r="Z156" i="2" s="1"/>
  <c r="AA156" i="2" s="1"/>
  <c r="AB156" i="2" s="1"/>
  <c r="AC156" i="2" s="1"/>
  <c r="AE157" i="2"/>
  <c r="AG157" i="2" s="1"/>
  <c r="AE159" i="2"/>
  <c r="AG159" i="2" s="1"/>
  <c r="AE164" i="2"/>
  <c r="AG164" i="2" s="1"/>
  <c r="AE171" i="2"/>
  <c r="AG171" i="2" s="1"/>
  <c r="AE156" i="2"/>
  <c r="AG156" i="2" s="1"/>
  <c r="AE219" i="2"/>
  <c r="AG219" i="2" s="1"/>
  <c r="AE214" i="2"/>
  <c r="AG214" i="2" s="1"/>
  <c r="AE221" i="2"/>
  <c r="AG221" i="2" s="1"/>
  <c r="AE224" i="2"/>
  <c r="AG224" i="2" s="1"/>
  <c r="AE229" i="2"/>
  <c r="AG229" i="2" s="1"/>
  <c r="AE217" i="2"/>
  <c r="AG217" i="2" s="1"/>
  <c r="AE225" i="2"/>
  <c r="AG225" i="2" s="1"/>
  <c r="AE228" i="2"/>
  <c r="AG228" i="2" s="1"/>
  <c r="AE213" i="2"/>
  <c r="AG213" i="2" s="1"/>
  <c r="AE226" i="2"/>
  <c r="AG226" i="2" s="1"/>
  <c r="AE227" i="2"/>
  <c r="AG227" i="2" s="1"/>
  <c r="AE211" i="2"/>
  <c r="AG211" i="2" s="1"/>
  <c r="AE212" i="2"/>
  <c r="AG212" i="2" s="1"/>
  <c r="AE222" i="2"/>
  <c r="AG222" i="2" s="1"/>
  <c r="AE216" i="2"/>
  <c r="AG216" i="2" s="1"/>
  <c r="AE220" i="2"/>
  <c r="AG220" i="2" s="1"/>
  <c r="AE218" i="2"/>
  <c r="AG218" i="2" s="1"/>
  <c r="J211" i="2"/>
  <c r="AE223" i="2"/>
  <c r="AG223" i="2" s="1"/>
  <c r="AE230" i="2"/>
  <c r="AG230" i="2" s="1"/>
  <c r="AE215" i="2"/>
  <c r="AG215" i="2" s="1"/>
  <c r="AE87" i="2"/>
  <c r="AG87" i="2" s="1"/>
  <c r="AE86" i="2"/>
  <c r="AG86" i="2" s="1"/>
  <c r="AE89" i="2"/>
  <c r="AG89" i="2" s="1"/>
  <c r="AE92" i="2"/>
  <c r="AG92" i="2" s="1"/>
  <c r="AE97" i="2"/>
  <c r="AG97" i="2" s="1"/>
  <c r="AE82" i="2"/>
  <c r="AG82" i="2" s="1"/>
  <c r="AE85" i="2"/>
  <c r="AG85" i="2" s="1"/>
  <c r="AE93" i="2"/>
  <c r="AG93" i="2" s="1"/>
  <c r="AE96" i="2"/>
  <c r="AG96" i="2" s="1"/>
  <c r="AE81" i="2"/>
  <c r="AG81" i="2" s="1"/>
  <c r="AE94" i="2"/>
  <c r="AG94" i="2" s="1"/>
  <c r="AE95" i="2"/>
  <c r="AG95" i="2" s="1"/>
  <c r="AE79" i="2"/>
  <c r="AG79" i="2" s="1"/>
  <c r="AE80" i="2"/>
  <c r="AG80" i="2" s="1"/>
  <c r="AE90" i="2"/>
  <c r="AG90" i="2" s="1"/>
  <c r="AE84" i="2"/>
  <c r="AG84" i="2" s="1"/>
  <c r="AE88" i="2"/>
  <c r="AG88" i="2" s="1"/>
  <c r="AE91" i="2"/>
  <c r="AG91" i="2" s="1"/>
  <c r="AE98" i="2"/>
  <c r="AG98" i="2" s="1"/>
  <c r="AE83" i="2"/>
  <c r="AG83" i="2" s="1"/>
  <c r="J79"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180" i="2"/>
  <c r="AG180" i="2" s="1"/>
  <c r="AF182" i="2"/>
  <c r="AF261" i="2"/>
  <c r="AF275" i="2"/>
  <c r="AF237" i="2"/>
  <c r="AF180" i="2"/>
  <c r="AF258" i="2"/>
  <c r="AE277" i="2"/>
  <c r="AG277" i="2" s="1"/>
  <c r="AE197" i="2"/>
  <c r="AG197" i="2" s="1"/>
  <c r="AE254" i="2"/>
  <c r="AG254" i="2" s="1"/>
  <c r="AF236" i="2"/>
  <c r="AE244" i="2"/>
  <c r="AG244" i="2" s="1"/>
  <c r="AE245" i="2"/>
  <c r="AG245" i="2" s="1"/>
  <c r="AE140" i="2"/>
  <c r="AG140" i="2" s="1"/>
  <c r="AE147" i="2"/>
  <c r="AG147" i="2" s="1"/>
  <c r="AE200" i="2"/>
  <c r="AG200" i="2" s="1"/>
  <c r="AF243" i="2"/>
  <c r="AE273" i="2"/>
  <c r="AG273" i="2" s="1"/>
  <c r="AE276" i="2"/>
  <c r="AG276" i="2" s="1"/>
  <c r="AE139" i="2"/>
  <c r="AG139" i="2" s="1"/>
  <c r="AF196" i="2"/>
  <c r="AE279" i="2"/>
  <c r="AG279" i="2" s="1"/>
  <c r="AF140" i="2"/>
  <c r="AE146" i="2"/>
  <c r="AG146" i="2" s="1"/>
  <c r="AE178" i="2"/>
  <c r="AG178" i="2" s="1"/>
  <c r="AE255" i="2"/>
  <c r="AG255" i="2" s="1"/>
  <c r="AE271" i="2"/>
  <c r="AG271" i="2" s="1"/>
  <c r="AE138" i="2"/>
  <c r="AG138" i="2" s="1"/>
  <c r="AF179" i="2"/>
  <c r="AE239" i="2"/>
  <c r="AG239" i="2" s="1"/>
  <c r="AF137" i="2"/>
  <c r="AF276" i="2"/>
  <c r="AF147" i="2"/>
  <c r="AE243" i="2"/>
  <c r="AG243" i="2" s="1"/>
  <c r="AF259" i="2"/>
  <c r="AF253" i="2"/>
  <c r="AE237" i="2"/>
  <c r="AG237" i="2" s="1"/>
  <c r="AE142" i="2"/>
  <c r="AG142" i="2" s="1"/>
  <c r="AE185" i="2"/>
  <c r="AG185" i="2" s="1"/>
  <c r="AF195" i="2"/>
  <c r="AF241" i="2"/>
  <c r="AF201" i="2"/>
  <c r="AE241" i="2"/>
  <c r="AG241" i="2" s="1"/>
  <c r="AE199" i="2"/>
  <c r="AG199" i="2" s="1"/>
  <c r="AE136" i="2"/>
  <c r="AG136" i="2" s="1"/>
  <c r="AF144" i="2"/>
  <c r="AF146" i="2"/>
  <c r="AE179" i="2"/>
  <c r="AG179" i="2" s="1"/>
  <c r="AF181" i="2"/>
  <c r="AE183" i="2"/>
  <c r="AG183" i="2" s="1"/>
  <c r="AE195" i="2"/>
  <c r="AG195" i="2" s="1"/>
  <c r="AE196" i="2"/>
  <c r="AG196" i="2" s="1"/>
  <c r="AF197" i="2"/>
  <c r="AF198" i="2"/>
  <c r="AF238" i="2"/>
  <c r="AF242" i="2"/>
  <c r="AE253" i="2"/>
  <c r="AG253" i="2" s="1"/>
  <c r="AF256" i="2"/>
  <c r="AF257" i="2"/>
  <c r="AE259" i="2"/>
  <c r="AG259" i="2" s="1"/>
  <c r="AE264" i="2"/>
  <c r="AG264" i="2" s="1"/>
  <c r="AF271" i="2"/>
  <c r="AF272" i="2"/>
  <c r="AE274" i="2"/>
  <c r="AG274" i="2" s="1"/>
  <c r="AE275" i="2"/>
  <c r="AG275" i="2" s="1"/>
  <c r="AE278" i="2"/>
  <c r="AG278" i="2" s="1"/>
  <c r="AF279" i="2"/>
  <c r="AE280" i="2"/>
  <c r="AG280" i="2" s="1"/>
  <c r="AE184" i="2"/>
  <c r="AG184" i="2" s="1"/>
  <c r="AE242" i="2"/>
  <c r="AG242" i="2" s="1"/>
  <c r="AE198" i="2"/>
  <c r="AG198" i="2" s="1"/>
  <c r="AE240" i="2"/>
  <c r="AG240" i="2" s="1"/>
  <c r="AE246" i="2"/>
  <c r="AG246" i="2" s="1"/>
  <c r="AE270" i="2"/>
  <c r="AG270" i="2" s="1"/>
  <c r="AF278" i="2"/>
  <c r="AE257" i="2"/>
  <c r="AG257" i="2" s="1"/>
  <c r="AE137" i="2"/>
  <c r="AG137" i="2" s="1"/>
  <c r="AE238" i="2"/>
  <c r="AG238" i="2" s="1"/>
  <c r="AF200" i="2"/>
  <c r="AF277" i="2"/>
  <c r="AF141" i="2"/>
  <c r="AF281" i="2"/>
  <c r="AF199" i="2"/>
  <c r="AF264" i="2"/>
  <c r="AF280" i="2"/>
  <c r="AE182" i="2"/>
  <c r="AG182" i="2" s="1"/>
  <c r="AE236" i="2"/>
  <c r="AG236" i="2" s="1"/>
  <c r="AF136" i="2"/>
  <c r="AF274" i="2"/>
  <c r="AE206" i="2"/>
  <c r="AG206" i="2" s="1"/>
  <c r="AF246" i="2"/>
  <c r="AF262" i="2"/>
  <c r="AF263" i="2"/>
  <c r="AE181" i="2"/>
  <c r="AG181" i="2" s="1"/>
  <c r="AE263" i="2"/>
  <c r="AG263" i="2" s="1"/>
  <c r="AF178" i="2"/>
  <c r="AF273" i="2"/>
  <c r="AF189" i="2"/>
  <c r="AF205" i="2"/>
  <c r="AF245" i="2"/>
  <c r="AE261" i="2"/>
  <c r="AG261" i="2" s="1"/>
  <c r="AF183" i="2"/>
  <c r="AF188" i="2"/>
  <c r="AE204" i="2"/>
  <c r="AG204" i="2" s="1"/>
  <c r="AF244" i="2"/>
  <c r="AE260" i="2"/>
  <c r="AG260" i="2" s="1"/>
  <c r="AE256" i="2"/>
  <c r="AG256" i="2" s="1"/>
  <c r="AF255" i="2"/>
  <c r="AF186" i="2"/>
  <c r="AF202" i="2"/>
  <c r="AE258" i="2"/>
  <c r="AG258" i="2" s="1"/>
  <c r="AF187" i="2"/>
  <c r="AE202" i="2"/>
  <c r="AG202" i="2" s="1"/>
  <c r="AF254" i="2"/>
  <c r="AF145" i="2"/>
  <c r="AF185" i="2"/>
  <c r="AE188" i="2"/>
  <c r="AG188" i="2" s="1"/>
  <c r="AE201" i="2"/>
  <c r="AG201" i="2" s="1"/>
  <c r="AF138" i="2"/>
  <c r="AF240" i="2"/>
  <c r="AF270" i="2"/>
  <c r="AE144" i="2"/>
  <c r="AG144" i="2" s="1"/>
  <c r="AF184" i="2"/>
  <c r="AE272" i="2"/>
  <c r="AG272" i="2" s="1"/>
  <c r="AF247" i="2"/>
  <c r="AE203" i="2"/>
  <c r="AG203" i="2" s="1"/>
  <c r="AE189" i="2"/>
  <c r="AG189" i="2" s="1"/>
  <c r="AF139" i="2"/>
  <c r="AE187" i="2"/>
  <c r="AG187" i="2" s="1"/>
  <c r="AF239" i="2"/>
  <c r="AF143" i="2"/>
  <c r="AE186" i="2"/>
  <c r="AG186" i="2" s="1"/>
  <c r="AE281" i="2"/>
  <c r="AG281" i="2" s="1"/>
  <c r="AF142" i="2"/>
  <c r="AF260" i="2"/>
  <c r="AE262" i="2"/>
  <c r="AG262" i="2" s="1"/>
  <c r="AE247" i="2"/>
  <c r="AG247" i="2" s="1"/>
  <c r="AF206" i="2"/>
  <c r="AE205" i="2"/>
  <c r="AG205" i="2" s="1"/>
  <c r="AF204" i="2"/>
  <c r="AF203" i="2"/>
  <c r="AE145" i="2"/>
  <c r="AG145" i="2" s="1"/>
  <c r="AE143" i="2"/>
  <c r="AG143" i="2" s="1"/>
  <c r="AE141" i="2"/>
  <c r="AG141" i="2" s="1"/>
  <c r="L104" i="2" l="1"/>
  <c r="AF105" i="2"/>
  <c r="AF55" i="2"/>
  <c r="L54" i="2"/>
  <c r="K29" i="2"/>
  <c r="AF29" i="2"/>
  <c r="K152" i="2"/>
  <c r="AF152" i="2"/>
  <c r="K211" i="2"/>
  <c r="AF211" i="2"/>
  <c r="K79" i="2"/>
  <c r="AF79" i="2"/>
  <c r="M6" i="2"/>
  <c r="AF7" i="2"/>
  <c r="M104" i="2" l="1"/>
  <c r="AF106" i="2"/>
  <c r="M54" i="2"/>
  <c r="AF56" i="2"/>
  <c r="L29" i="2"/>
  <c r="AF30" i="2"/>
  <c r="L152" i="2"/>
  <c r="AF153" i="2"/>
  <c r="L211" i="2"/>
  <c r="AF212" i="2"/>
  <c r="L79" i="2"/>
  <c r="AF80" i="2"/>
  <c r="AF8" i="2"/>
  <c r="N6" i="2"/>
  <c r="N104" i="2" l="1"/>
  <c r="AF107" i="2"/>
  <c r="AF57" i="2"/>
  <c r="N54" i="2"/>
  <c r="M29" i="2"/>
  <c r="AF31" i="2"/>
  <c r="M152" i="2"/>
  <c r="AF154" i="2"/>
  <c r="M211" i="2"/>
  <c r="AF213" i="2"/>
  <c r="M79" i="2"/>
  <c r="AF81" i="2"/>
  <c r="AF9" i="2"/>
  <c r="O6" i="2"/>
  <c r="AF108" i="2" l="1"/>
  <c r="O104" i="2"/>
  <c r="AF58" i="2"/>
  <c r="O54" i="2"/>
  <c r="AF32" i="2"/>
  <c r="N29" i="2"/>
  <c r="AF155" i="2"/>
  <c r="N152" i="2"/>
  <c r="AF214" i="2"/>
  <c r="N211" i="2"/>
  <c r="AF82" i="2"/>
  <c r="N79" i="2"/>
  <c r="AF10" i="2"/>
  <c r="P6" i="2"/>
  <c r="AF109" i="2" l="1"/>
  <c r="P104" i="2"/>
  <c r="AF59" i="2"/>
  <c r="P54" i="2"/>
  <c r="AF33" i="2"/>
  <c r="O29" i="2"/>
  <c r="AF156" i="2"/>
  <c r="O152" i="2"/>
  <c r="AF215" i="2"/>
  <c r="O211" i="2"/>
  <c r="AF83" i="2"/>
  <c r="O79" i="2"/>
  <c r="AF11" i="2"/>
  <c r="Q6" i="2"/>
  <c r="Q104" i="2" l="1"/>
  <c r="AF110" i="2"/>
  <c r="Q54" i="2"/>
  <c r="AF60" i="2"/>
  <c r="AF34" i="2"/>
  <c r="P29" i="2"/>
  <c r="P152" i="2"/>
  <c r="AF157" i="2"/>
  <c r="AF216" i="2"/>
  <c r="P211" i="2"/>
  <c r="AF84" i="2"/>
  <c r="P79" i="2"/>
  <c r="AF12" i="2"/>
  <c r="R6" i="2"/>
  <c r="AF111" i="2" l="1"/>
  <c r="R104" i="2"/>
  <c r="AF61" i="2"/>
  <c r="R54" i="2"/>
  <c r="Q29" i="2"/>
  <c r="AF35" i="2"/>
  <c r="Q152" i="2"/>
  <c r="AF158" i="2"/>
  <c r="Q211" i="2"/>
  <c r="AF217" i="2"/>
  <c r="Q79" i="2"/>
  <c r="AF85" i="2"/>
  <c r="AF13" i="2"/>
  <c r="S6" i="2"/>
  <c r="S104" i="2" l="1"/>
  <c r="AF112" i="2"/>
  <c r="S54" i="2"/>
  <c r="AF62" i="2"/>
  <c r="AF36" i="2"/>
  <c r="R29" i="2"/>
  <c r="R152" i="2"/>
  <c r="AF159" i="2"/>
  <c r="AF218" i="2"/>
  <c r="R211" i="2"/>
  <c r="AF86" i="2"/>
  <c r="R79" i="2"/>
  <c r="AF14" i="2"/>
  <c r="T6" i="2"/>
  <c r="AF113" i="2" l="1"/>
  <c r="T104" i="2"/>
  <c r="AF63" i="2"/>
  <c r="T54" i="2"/>
  <c r="S29" i="2"/>
  <c r="AF37" i="2"/>
  <c r="S152" i="2"/>
  <c r="AF160" i="2"/>
  <c r="S211" i="2"/>
  <c r="AF219" i="2"/>
  <c r="S79" i="2"/>
  <c r="AF87" i="2"/>
  <c r="AF15" i="2"/>
  <c r="U6" i="2"/>
  <c r="U104" i="2" l="1"/>
  <c r="AF114" i="2"/>
  <c r="U54" i="2"/>
  <c r="AF64" i="2"/>
  <c r="T29" i="2"/>
  <c r="AF38" i="2"/>
  <c r="AF161" i="2"/>
  <c r="T152" i="2"/>
  <c r="AF220" i="2"/>
  <c r="T211" i="2"/>
  <c r="AF88" i="2"/>
  <c r="T79" i="2"/>
  <c r="AF16" i="2"/>
  <c r="V6" i="2"/>
  <c r="V104" i="2" l="1"/>
  <c r="AF115" i="2"/>
  <c r="V54" i="2"/>
  <c r="AF65" i="2"/>
  <c r="U29" i="2"/>
  <c r="AF39" i="2"/>
  <c r="U152" i="2"/>
  <c r="AF162" i="2"/>
  <c r="U211" i="2"/>
  <c r="AF221" i="2"/>
  <c r="AF89" i="2"/>
  <c r="U79" i="2"/>
  <c r="AF17" i="2"/>
  <c r="W6" i="2"/>
  <c r="AF116" i="2" l="1"/>
  <c r="W104" i="2"/>
  <c r="AF66" i="2"/>
  <c r="W54" i="2"/>
  <c r="V29" i="2"/>
  <c r="AF40" i="2"/>
  <c r="AF163" i="2"/>
  <c r="V152" i="2"/>
  <c r="V211" i="2"/>
  <c r="AF222" i="2"/>
  <c r="V79" i="2"/>
  <c r="AF90" i="2"/>
  <c r="AF18" i="2"/>
  <c r="X6" i="2"/>
  <c r="X104" i="2" l="1"/>
  <c r="AF117" i="2"/>
  <c r="X54" i="2"/>
  <c r="AF67" i="2"/>
  <c r="AF41" i="2"/>
  <c r="W29" i="2"/>
  <c r="AF164" i="2"/>
  <c r="W152" i="2"/>
  <c r="AF223" i="2"/>
  <c r="W211" i="2"/>
  <c r="AF91" i="2"/>
  <c r="W79" i="2"/>
  <c r="AF19" i="2"/>
  <c r="Y6" i="2"/>
  <c r="Y104" i="2" l="1"/>
  <c r="AF118" i="2"/>
  <c r="Y54" i="2"/>
  <c r="AF68" i="2"/>
  <c r="X29" i="2"/>
  <c r="AF42" i="2"/>
  <c r="X152" i="2"/>
  <c r="AF165" i="2"/>
  <c r="X211" i="2"/>
  <c r="AF224" i="2"/>
  <c r="X79" i="2"/>
  <c r="AF92" i="2"/>
  <c r="AF20" i="2"/>
  <c r="Z6" i="2"/>
  <c r="AF119" i="2" l="1"/>
  <c r="Z104" i="2"/>
  <c r="AF69" i="2"/>
  <c r="Z54" i="2"/>
  <c r="Y29" i="2"/>
  <c r="AF43" i="2"/>
  <c r="Y152" i="2"/>
  <c r="AF166" i="2"/>
  <c r="Y211" i="2"/>
  <c r="AF225" i="2"/>
  <c r="Y79" i="2"/>
  <c r="AF93" i="2"/>
  <c r="AF21" i="2"/>
  <c r="AA6" i="2"/>
  <c r="AA104" i="2" l="1"/>
  <c r="AF120" i="2"/>
  <c r="AF70" i="2"/>
  <c r="AA54" i="2"/>
  <c r="AF44" i="2"/>
  <c r="Z29" i="2"/>
  <c r="AF167" i="2"/>
  <c r="Z152" i="2"/>
  <c r="AF226" i="2"/>
  <c r="Z211" i="2"/>
  <c r="AF94" i="2"/>
  <c r="Z79" i="2"/>
  <c r="AF22" i="2"/>
  <c r="AB6" i="2"/>
  <c r="AB104" i="2" l="1"/>
  <c r="AF121" i="2"/>
  <c r="AF71" i="2"/>
  <c r="AB54" i="2"/>
  <c r="AF45" i="2"/>
  <c r="AA29" i="2"/>
  <c r="AF168" i="2"/>
  <c r="AA152" i="2"/>
  <c r="AF227" i="2"/>
  <c r="AA211" i="2"/>
  <c r="AF95" i="2"/>
  <c r="AA79" i="2"/>
  <c r="AF23" i="2"/>
  <c r="AC6" i="2"/>
  <c r="AF24" i="2" s="1"/>
  <c r="AC104" i="2" l="1"/>
  <c r="AF123" i="2" s="1"/>
  <c r="AF122" i="2"/>
  <c r="AC54" i="2"/>
  <c r="AF73" i="2" s="1"/>
  <c r="AF72" i="2"/>
  <c r="AF46" i="2"/>
  <c r="AB29" i="2"/>
  <c r="AF169" i="2"/>
  <c r="AB152" i="2"/>
  <c r="AF228" i="2"/>
  <c r="AB211" i="2"/>
  <c r="AF96" i="2"/>
  <c r="AB79" i="2"/>
  <c r="AC29" i="2" l="1"/>
  <c r="AF48" i="2" s="1"/>
  <c r="AF47" i="2"/>
  <c r="AC152" i="2"/>
  <c r="AF171" i="2" s="1"/>
  <c r="AF170" i="2"/>
  <c r="AC211" i="2"/>
  <c r="AF230" i="2" s="1"/>
  <c r="AF229" i="2"/>
  <c r="AC79" i="2"/>
  <c r="AF98" i="2" s="1"/>
  <c r="AF97" i="2"/>
</calcChain>
</file>

<file path=xl/sharedStrings.xml><?xml version="1.0" encoding="utf-8"?>
<sst xmlns="http://purl.oclc.org/ooxml/spreadsheetml/main" count="4195" uniqueCount="494">
  <si>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</si>
  <si>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</si>
  <si>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</si>
  <si>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</si>
  <si>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</si>
  <si>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</si>
  <si>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</si>
  <si>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</si>
  <si>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</si>
  <si>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</si>
  <si>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</si>
  <si>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</si>
  <si>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</si>
  <si>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</si>
  <si>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</si>
  <si>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</si>
  <si>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</si>
  <si>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</si>
  <si>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</si>
  <si>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</si>
  <si>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</si>
  <si>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</si>
  <si>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</si>
  <si>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</si>
  <si>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</si>
  <si>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</si>
  <si>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</si>
  <si>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</si>
  <si>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</si>
  <si>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</si>
  <si>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</si>
  <si>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</si>
  <si>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</si>
  <si>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</si>
  <si>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</si>
  <si>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</si>
  <si>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</si>
  <si>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</si>
  <si>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</si>
  <si>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</si>
  <si>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</si>
  <si>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</si>
  <si>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</si>
  <si>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</si>
  <si>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</si>
  <si>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</si>
  <si>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</si>
  <si>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</si>
  <si>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</si>
  <si>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</si>
  <si>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</si>
  <si>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</si>
  <si>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</si>
  <si>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</si>
  <si>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</si>
  <si>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</si>
  <si>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</si>
  <si>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</si>
  <si>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</si>
  <si>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</si>
  <si>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</si>
  <si>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</si>
  <si>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</si>
  <si>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</si>
  <si>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</si>
  <si>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</si>
  <si>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</si>
  <si>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</si>
  <si>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</si>
  <si>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</si>
  <si>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</si>
  <si>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</si>
  <si>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</si>
  <si>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</si>
  <si>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</si>
  <si>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</si>
  <si>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</si>
  <si>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</si>
  <si>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</si>
  <si>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</si>
  <si>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</si>
  <si>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</si>
  <si>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</si>
  <si>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</si>
  <si>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</si>
  <si>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</si>
  <si>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</si>
  <si>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</si>
  <si>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</si>
  <si>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</si>
  <si>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</si>
  <si>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</si>
  <si>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</si>
  <si>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</si>
  <si>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</si>
  <si>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</si>
  <si>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</si>
  <si>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</si>
  <si>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</si>
  <si>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</si>
  <si>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</si>
  <si>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</si>
  <si>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</si>
  <si>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</si>
  <si>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</si>
  <si>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</si>
  <si>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</si>
  <si>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</si>
  <si>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</si>
  <si>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</si>
  <si>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</si>
  <si>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</si>
  <si>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</si>
  <si>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</si>
  <si>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</si>
  <si>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</si>
  <si>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</si>
  <si>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</si>
  <si>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</si>
  <si>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</si>
  <si>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</si>
  <si>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</si>
  <si>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</si>
  <si>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</si>
  <si>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</si>
  <si>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</si>
  <si>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</si>
  <si>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</si>
  <si>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</si>
  <si>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</si>
  <si>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</si>
  <si>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</si>
  <si>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</si>
  <si>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</si>
  <si>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</si>
  <si>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</si>
  <si>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</si>
  <si>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</si>
  <si>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</si>
  <si>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</si>
  <si>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</si>
  <si>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</si>
  <si>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</si>
  <si>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</si>
  <si>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</si>
  <si>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</si>
  <si>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</si>
  <si>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</si>
  <si>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</si>
  <si>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</si>
  <si>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</si>
  <si>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</si>
  <si>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</si>
  <si>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</si>
  <si>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</si>
  <si>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</si>
  <si>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</si>
  <si>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</si>
  <si>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</si>
  <si>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</si>
  <si>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</si>
  <si>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</si>
  <si>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</si>
  <si>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</si>
  <si>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</si>
  <si>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</si>
  <si>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</si>
  <si>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</si>
  <si>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</si>
  <si>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</si>
  <si>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</si>
  <si>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</si>
  <si>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</si>
  <si>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</si>
  <si>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</si>
  <si>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</si>
  <si>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</si>
  <si>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</si>
  <si>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</si>
  <si>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</si>
  <si>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</si>
  <si>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</si>
  <si>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</si>
  <si>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</si>
  <si>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</si>
  <si>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</si>
  <si>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</si>
  <si>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</si>
  <si>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</si>
  <si>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</si>
  <si>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</si>
  <si>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</si>
  <si>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</si>
  <si>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</si>
  <si>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</si>
  <si>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</si>
  <si>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</si>
  <si>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</si>
  <si>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</si>
  <si>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</si>
  <si>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</si>
  <si>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</si>
  <si>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</si>
  <si>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</si>
  <si>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</si>
  <si>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</si>
  <si>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</si>
  <si>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</si>
  <si>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</si>
  <si>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</si>
  <si>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</si>
  <si>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</si>
  <si>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</si>
  <si>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</si>
  <si>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</si>
  <si>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</si>
  <si>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</si>
  <si>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</si>
  <si>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</si>
  <si>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</si>
  <si>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</si>
  <si>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</si>
  <si>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</si>
  <si>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</si>
  <si>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</si>
  <si>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</si>
  <si>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</si>
  <si>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</si>
  <si>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</si>
  <si>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</si>
  <si>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</si>
  <si>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</si>
  <si>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</si>
  <si>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</si>
  <si>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</si>
  <si>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</si>
  <si>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</si>
  <si>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</si>
  <si>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</si>
  <si>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</si>
  <si>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</si>
  <si>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</si>
  <si>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</si>
  <si>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</si>
  <si>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</si>
  <si>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</si>
  <si>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</si>
  <si>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</si>
  <si>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</si>
  <si>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</si>
  <si>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</si>
  <si>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</si>
  <si>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</si>
  <si>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</si>
  <si>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</si>
  <si>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</si>
  <si>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</si>
  <si>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</si>
  <si>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</si>
  <si>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</si>
  <si>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</si>
  <si>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</si>
  <si>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</si>
  <si>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</si>
  <si>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</si>
  <si>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</si>
  <si>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</si>
  <si>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</si>
  <si>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</si>
  <si>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</si>
  <si>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</si>
  <si>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</si>
  <si>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</si>
  <si>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</si>
  <si>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</si>
  <si>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</si>
  <si>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</si>
  <si>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</si>
  <si>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</si>
  <si>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</si>
  <si>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</si>
  <si>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</si>
  <si>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</si>
  <si>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</si>
  <si>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</si>
  <si>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</si>
  <si>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</si>
  <si>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</si>
  <si>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</si>
  <si>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</si>
  <si>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</si>
  <si>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</si>
  <si>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</si>
  <si>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</si>
  <si>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</si>
  <si>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</si>
  <si>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</si>
  <si>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</si>
  <si>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</si>
  <si>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</si>
  <si>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</si>
  <si>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</si>
  <si>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</si>
  <si>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</si>
  <si>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</si>
  <si>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</si>
  <si>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</si>
  <si>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</si>
  <si>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</si>
  <si>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</si>
  <si>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</si>
  <si>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</si>
  <si>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</si>
  <si>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</si>
  <si>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</si>
  <si>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</si>
  <si>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</si>
  <si>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</si>
  <si>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</si>
  <si>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</si>
  <si>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</si>
  <si>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</si>
  <si>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</si>
  <si>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</si>
  <si>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</si>
  <si>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</si>
  <si>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</si>
  <si>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</si>
  <si>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</si>
  <si>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</si>
  <si>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</si>
  <si>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</si>
  <si>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</si>
  <si>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</si>
  <si>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</si>
  <si>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</si>
  <si>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</si>
  <si>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</si>
  <si>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</si>
  <si>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</si>
  <si>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</si>
  <si>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</si>
  <si>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</si>
  <si>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</si>
  <si>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</si>
  <si>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</si>
  <si>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</si>
  <si>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</si>
  <si>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</si>
  <si>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</si>
  <si>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</si>
  <si>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</si>
  <si>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</si>
  <si>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</si>
  <si>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</si>
  <si>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</si>
  <si>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</si>
  <si>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</si>
  <si>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</si>
  <si>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</si>
  <si>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</si>
  <si>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</si>
  <si>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</si>
  <si>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</si>
  <si>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</si>
  <si>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</si>
  <si>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</si>
  <si>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</si>
  <si>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</si>
  <si>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</si>
  <si>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</si>
  <si>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</si>
  <si>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</si>
  <si>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</si>
  <si>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</si>
  <si>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</si>
  <si>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</si>
  <si>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</si>
  <si>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</si>
  <si>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</si>
  <si>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</si>
  <si>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</si>
  <si>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</si>
  <si>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</si>
  <si>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</si>
  <si>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</si>
  <si>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</si>
  <si>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</si>
  <si>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</si>
  <si>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</si>
  <si>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</si>
  <si>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</si>
  <si>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</si>
  <si>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</si>
  <si>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</si>
  <si>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</si>
  <si>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</si>
  <si>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</si>
  <si>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</si>
  <si>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</si>
  <si>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</si>
  <si>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</si>
  <si>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</si>
  <si>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</si>
  <si>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</si>
  <si>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</si>
  <si>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</si>
  <si>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</si>
  <si>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</si>
  <si>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</si>
  <si>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</si>
  <si>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</si>
  <si>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</si>
  <si>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</si>
  <si>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</si>
  <si>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</si>
  <si>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</si>
  <si>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</si>
  <si>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</si>
  <si>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</si>
  <si>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</si>
  <si>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</si>
  <si>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</si>
  <si>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</si>
  <si>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</si>
  <si>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</si>
  <si>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</si>
  <si>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</si>
  <si>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</si>
  <si>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</si>
  <si>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</si>
  <si>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</si>
  <si>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</si>
  <si>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</si>
  <si>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</si>
  <si>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</si>
  <si>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</si>
  <si>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</si>
  <si>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</si>
  <si>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</si>
  <si>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</si>
  <si>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</si>
  <si>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</si>
  <si>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</si>
  <si>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</si>
  <si>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</si>
  <si>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</si>
  <si>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</si>
  <si>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</si>
  <si>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</si>
  <si>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</si>
  <si>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</si>
  <si>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</si>
  <si>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</si>
  <si>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</si>
  <si>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</si>
  <si>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</si>
  <si>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</si>
  <si>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</si>
  <si>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</si>
  <si>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</si>
  <si>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</si>
  <si>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</si>
  <si>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</si>
  <si>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</si>
  <si>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</si>
  <si>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</si>
  <si>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</si>
  <si>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</si>
  <si>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</si>
  <si>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</si>
  <si>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</si>
  <si>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</si>
  <si>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</si>
  <si>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</si>
  <si>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</si>
  <si>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</si>
  <si>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</si>
  <si>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</si>
  <si>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</si>
  <si>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</si>
  <si>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</si>
  <si>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</si>
  <si>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</si>
  <si>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</si>
  <si>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</si>
  <si>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</si>
  <si>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</si>
  <si>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</si>
  <si>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</si>
  <si>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</si>
  <si>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</si>
  <si>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</si>
  <si>
    <t>q1</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</si>
</sst>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U1" workbookViewId="0">
      <pane ySplit="1" topLeftCell="A29" activePane="bottomLeft" state="frozen"/>
      <selection pane="bottomLeft" activeCell="AJ56" sqref="AJ56"/>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5" max="35" width="12.1640625" bestFit="1" customWidth="1"/>
    <col min="36" max="36" width="12.83203125" bestFit="1" customWidth="1"/>
    <col min="37" max="37" width="20" bestFit="1" customWidth="1"/>
    <col min="38" max="38" width="12.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7" max="57" width="11.832031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14050000</v>
      </c>
      <c r="AT14" s="3">
        <v>211150000</v>
      </c>
      <c r="AU14" s="3">
        <v>18950000</v>
      </c>
      <c r="AV14" s="3" t="s">
        <v>473</v>
      </c>
      <c r="AW14">
        <v>19300</v>
      </c>
      <c r="AX14" s="3">
        <v>2023</v>
      </c>
      <c r="AY14" t="s">
        <v>493</v>
      </c>
      <c r="AZ14" s="3">
        <v>-2</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2468000000</v>
      </c>
      <c r="AF15">
        <v>0</v>
      </c>
      <c r="AG15">
        <v>1290000000</v>
      </c>
      <c r="AH15">
        <v>-301000000</v>
      </c>
      <c r="AI15">
        <v>391000000</v>
      </c>
      <c r="AJ15">
        <v>0</v>
      </c>
      <c r="AK15">
        <v>3638000000</v>
      </c>
      <c r="AL15">
        <v>5195000000</v>
      </c>
      <c r="AM15">
        <v>3024000000</v>
      </c>
      <c r="AN15">
        <v>715000000</v>
      </c>
      <c r="AO15">
        <v>36683000000</v>
      </c>
      <c r="AP15">
        <v>24000000</v>
      </c>
      <c r="AQ15">
        <v>326000000</v>
      </c>
      <c r="AR15">
        <v>-115000000</v>
      </c>
      <c r="AS15" s="3">
        <v>15650000</v>
      </c>
      <c r="AT15" s="3">
        <v>227500000</v>
      </c>
      <c r="AU15" s="3">
        <v>16350000</v>
      </c>
      <c r="AV15" s="3" t="s">
        <v>473</v>
      </c>
      <c r="AW15">
        <v>19300</v>
      </c>
      <c r="AZ15">
        <v>2</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17200000</v>
      </c>
      <c r="AT16" s="3">
        <v>241300000</v>
      </c>
      <c r="AU16" s="3">
        <v>13800000</v>
      </c>
      <c r="AV16" s="3" t="s">
        <v>473</v>
      </c>
      <c r="AW16">
        <v>19300</v>
      </c>
      <c r="AZ16">
        <v>0</v>
      </c>
    </row>
    <row r="17" spans="1:55"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1769000000</v>
      </c>
      <c r="AE17">
        <v>3390000000</v>
      </c>
      <c r="AF17">
        <v>0</v>
      </c>
      <c r="AG17">
        <v>1504000000</v>
      </c>
      <c r="AH17">
        <v>-484000000</v>
      </c>
      <c r="AI17">
        <v>380000000</v>
      </c>
      <c r="AJ17">
        <v>-54000000</v>
      </c>
      <c r="AK17">
        <v>3356000000</v>
      </c>
      <c r="AL17">
        <v>4765000000</v>
      </c>
      <c r="AM17">
        <v>3354000000</v>
      </c>
      <c r="AN17">
        <v>185000000</v>
      </c>
      <c r="AO17">
        <v>37000000000</v>
      </c>
      <c r="AP17">
        <v>20000000</v>
      </c>
      <c r="AQ17">
        <v>326000000</v>
      </c>
      <c r="AR17">
        <v>-121000000</v>
      </c>
      <c r="AS17" s="3">
        <v>18900000</v>
      </c>
      <c r="AT17" s="3">
        <v>256400000</v>
      </c>
      <c r="AU17" s="3">
        <v>15100000</v>
      </c>
      <c r="AV17" s="3" t="s">
        <v>473</v>
      </c>
      <c r="AW17">
        <v>20000</v>
      </c>
      <c r="AZ17">
        <v>0</v>
      </c>
    </row>
    <row r="18" spans="1:55"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20500000</v>
      </c>
      <c r="AT18" s="3">
        <v>267900000</v>
      </c>
      <c r="AU18" s="3">
        <v>11500000</v>
      </c>
      <c r="AV18" s="3" t="s">
        <v>473</v>
      </c>
      <c r="AW18">
        <v>20000</v>
      </c>
    </row>
    <row r="19" spans="1:55"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1174000000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3557000000</v>
      </c>
      <c r="AN19">
        <v>924000000</v>
      </c>
      <c r="AO19">
        <v>37064000000</v>
      </c>
      <c r="AP19">
        <v>19000000</v>
      </c>
      <c r="AQ19">
        <v>326000000</v>
      </c>
      <c r="AR19">
        <v>-120000000</v>
      </c>
      <c r="AS19" s="3">
        <v>22150000</v>
      </c>
      <c r="AT19" s="3">
        <v>278750000</v>
      </c>
      <c r="AU19" s="3">
        <v>10850000</v>
      </c>
      <c r="AV19" s="3" t="s">
        <v>473</v>
      </c>
      <c r="AW19">
        <v>20000</v>
      </c>
    </row>
    <row r="20" spans="1:55"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23700000</v>
      </c>
      <c r="AT20" s="3">
        <v>286050000</v>
      </c>
      <c r="AU20" s="3">
        <v>7300000</v>
      </c>
      <c r="AV20" s="3" t="s">
        <v>473</v>
      </c>
      <c r="AW20">
        <v>20000</v>
      </c>
    </row>
    <row r="21" spans="1:55"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-878000000</v>
      </c>
      <c r="AA21" s="9">
        <v>12474000000</v>
      </c>
      <c r="AB21">
        <v>119000000</v>
      </c>
      <c r="AC21">
        <v>10532000000</v>
      </c>
      <c r="AD21">
        <v>1774000000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25650000</v>
      </c>
      <c r="AT21" s="3">
        <v>299400000</v>
      </c>
      <c r="AU21" s="3">
        <v>13350000</v>
      </c>
      <c r="AV21" s="3" t="s">
        <v>473</v>
      </c>
      <c r="AW21">
        <v>20000</v>
      </c>
    </row>
    <row r="22" spans="1:55"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27350000</v>
      </c>
      <c r="AT22" s="3">
        <v>306050000</v>
      </c>
      <c r="AU22" s="3">
        <v>6650000</v>
      </c>
      <c r="AV22" s="3" t="s">
        <v>473</v>
      </c>
      <c r="AW22">
        <v>20000</v>
      </c>
    </row>
    <row r="23" spans="1:55"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29100000</v>
      </c>
      <c r="AT23" s="3">
        <v>311950000</v>
      </c>
      <c r="AU23" s="3">
        <v>5900000</v>
      </c>
      <c r="AV23" s="3" t="s">
        <v>473</v>
      </c>
      <c r="AW23">
        <v>20000</v>
      </c>
    </row>
    <row r="24" spans="1:55"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30800000</v>
      </c>
      <c r="AT24" s="3">
        <v>315150000</v>
      </c>
      <c r="AU24" s="3">
        <v>3200000</v>
      </c>
      <c r="AV24" s="3" t="s">
        <v>473</v>
      </c>
      <c r="AW24">
        <v>20000</v>
      </c>
    </row>
    <row r="25" spans="1:55"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1697000000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32450000</v>
      </c>
      <c r="AT25" s="3">
        <v>315700000</v>
      </c>
      <c r="AU25" s="3">
        <v>550000</v>
      </c>
      <c r="AV25" s="3" t="s">
        <v>473</v>
      </c>
      <c r="AW25">
        <v>18970</v>
      </c>
      <c r="BC25">
        <v>50740000</v>
      </c>
    </row>
    <row r="26" spans="1:55"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8950400</v>
      </c>
      <c r="AT26" s="3">
        <v>157903400</v>
      </c>
      <c r="AU26" s="3">
        <v>40715600</v>
      </c>
      <c r="AV26" s="3" t="s">
        <v>473</v>
      </c>
      <c r="AW26">
        <v>1120</v>
      </c>
      <c r="BA26" s="3"/>
      <c r="BB26" s="3"/>
      <c r="BC26">
        <v>49666000</v>
      </c>
    </row>
    <row r="27" spans="1:55"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11392650</v>
      </c>
      <c r="AT27" s="3">
        <v>195355750</v>
      </c>
      <c r="AU27" s="3">
        <v>37452350</v>
      </c>
      <c r="AV27" s="3" t="s">
        <v>473</v>
      </c>
      <c r="AW27">
        <v>1120</v>
      </c>
      <c r="BA27" s="3"/>
      <c r="BB27" s="3"/>
      <c r="BC27">
        <v>48845000</v>
      </c>
    </row>
    <row r="28" spans="1:55"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45791000</v>
      </c>
      <c r="Y28">
        <v>-4859000</v>
      </c>
      <c r="Z28">
        <v>-50274000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13682200</v>
      </c>
      <c r="AT28" s="3">
        <v>227464550</v>
      </c>
      <c r="AU28" s="3">
        <v>32108800</v>
      </c>
      <c r="AV28" s="3" t="s">
        <v>473</v>
      </c>
      <c r="AW28">
        <v>1300</v>
      </c>
      <c r="BA28" s="3"/>
      <c r="BB28" s="3"/>
      <c r="BC28">
        <f>195042000-BC27-BC26-BC25</f>
        <v>45791000</v>
      </c>
    </row>
    <row r="29" spans="1:55"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15789400</v>
      </c>
      <c r="AT29" s="3">
        <v>253819150</v>
      </c>
      <c r="AU29" s="3">
        <v>26354600</v>
      </c>
      <c r="AV29" s="3" t="s">
        <v>473</v>
      </c>
      <c r="AW29">
        <v>1300</v>
      </c>
      <c r="BA29" s="3"/>
      <c r="BB29" s="3"/>
    </row>
    <row r="30" spans="1:55"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18112500</v>
      </c>
      <c r="AT30" s="3">
        <v>282168650</v>
      </c>
      <c r="AU30" s="3">
        <v>28349500</v>
      </c>
      <c r="AV30" s="3" t="s">
        <v>473</v>
      </c>
      <c r="AW30">
        <v>1300</v>
      </c>
      <c r="BA30" s="3"/>
      <c r="BB30" s="3"/>
    </row>
    <row r="31" spans="1:55"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20348600</v>
      </c>
      <c r="AT31" s="3">
        <v>306542050</v>
      </c>
      <c r="AU31" s="3">
        <v>24373400</v>
      </c>
      <c r="AV31" s="3" t="s">
        <v>473</v>
      </c>
      <c r="AW31">
        <v>1300</v>
      </c>
      <c r="BA31" s="3"/>
      <c r="BB31" s="3"/>
    </row>
    <row r="32" spans="1:55"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22355050</v>
      </c>
      <c r="AT32" s="3">
        <v>324316000</v>
      </c>
      <c r="AU32" s="3">
        <v>17773950</v>
      </c>
      <c r="AV32" s="3" t="s">
        <v>473</v>
      </c>
      <c r="AW32" s="7">
        <v>1650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24534650</v>
      </c>
      <c r="AT33" s="3">
        <v>343373350</v>
      </c>
      <c r="AU33" s="3">
        <v>19057350</v>
      </c>
      <c r="AV33" s="3" t="s">
        <v>473</v>
      </c>
      <c r="AW33" s="7">
        <v>1650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27611650</v>
      </c>
      <c r="AT34" s="3">
        <v>377301700</v>
      </c>
      <c r="AU34" s="3">
        <v>33928350</v>
      </c>
      <c r="AV34" s="3" t="s">
        <v>473</v>
      </c>
      <c r="AW34" s="7">
        <v>1650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30219000</v>
      </c>
      <c r="AT35" s="3">
        <v>399229700</v>
      </c>
      <c r="AU35" s="3">
        <v>21928000</v>
      </c>
      <c r="AV35" s="3" t="s">
        <v>473</v>
      </c>
      <c r="AW35" s="7">
        <v>1650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-423000</v>
      </c>
      <c r="Z36">
        <v>-13687000</v>
      </c>
      <c r="AA36" s="9">
        <v>483213000</v>
      </c>
      <c r="AB36">
        <v>0</v>
      </c>
      <c r="AC36">
        <v>0</v>
      </c>
      <c r="AD36">
        <v>31680000</v>
      </c>
      <c r="AE36">
        <v>1244993000</v>
      </c>
      <c r="AF36">
        <v>0</v>
      </c>
      <c r="AG36">
        <v>530680000</v>
      </c>
      <c r="AH36">
        <v>-36246000</v>
      </c>
      <c r="AI36">
        <v>10003000</v>
      </c>
      <c r="AJ36">
        <v>-29487000</v>
      </c>
      <c r="AK36">
        <v>186705000</v>
      </c>
      <c r="AL36">
        <v>164390000</v>
      </c>
      <c r="AM36">
        <v>286669000</v>
      </c>
      <c r="AN36">
        <v>-19149000</v>
      </c>
      <c r="AO36">
        <v>2401197000</v>
      </c>
      <c r="AP36">
        <v>64368000</v>
      </c>
      <c r="AQ36">
        <v>108670159</v>
      </c>
      <c r="AR36">
        <v>0</v>
      </c>
      <c r="AS36" s="3">
        <v>33155700</v>
      </c>
      <c r="AT36" s="3">
        <v>424808000</v>
      </c>
      <c r="AU36" s="3">
        <v>25578300</v>
      </c>
      <c r="AV36" s="3" t="s">
        <v>473</v>
      </c>
      <c r="AW36" s="7">
        <v>2000</v>
      </c>
      <c r="BA36" s="3"/>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10092000</v>
      </c>
      <c r="AJ37">
        <v>-38528000</v>
      </c>
      <c r="AK37">
        <v>107631000</v>
      </c>
      <c r="AL37">
        <v>183680000</v>
      </c>
      <c r="AM37">
        <v>266102000</v>
      </c>
      <c r="AN37">
        <v>13358000</v>
      </c>
      <c r="AO37">
        <v>2994058000</v>
      </c>
      <c r="AP37">
        <v>45941000</v>
      </c>
      <c r="AQ37">
        <v>127870238</v>
      </c>
      <c r="AR37">
        <v>0</v>
      </c>
      <c r="AS37" s="3">
        <v>35306000</v>
      </c>
      <c r="AT37" s="3">
        <v>432508000</v>
      </c>
      <c r="AU37" s="3">
        <v>7700000</v>
      </c>
      <c r="AV37" s="3" t="s">
        <v>473</v>
      </c>
      <c r="AW37" s="7">
        <v>2000</v>
      </c>
      <c r="BA37" s="3"/>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A48">
        <v>2023</v>
      </c>
      <c r="BB48" s="3" t="s">
        <v>57</v>
      </c>
      <c r="BC48">
        <v>2790</v>
      </c>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A49">
        <v>2023</v>
      </c>
      <c r="BB49" s="3" t="s">
        <v>58</v>
      </c>
      <c r="BC49">
        <f>6438-BC48</f>
        <v>3648</v>
      </c>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2792950000</v>
      </c>
      <c r="AT50">
        <v>42581250000</v>
      </c>
      <c r="AU50">
        <v>4191050000</v>
      </c>
      <c r="AV50" s="3" t="s">
        <v>473</v>
      </c>
      <c r="AW50">
        <v>221000</v>
      </c>
      <c r="BA50">
        <v>2023</v>
      </c>
      <c r="BB50" t="s">
        <v>63</v>
      </c>
      <c r="BC50">
        <f>9987-BC49-BC48</f>
        <v>3549</v>
      </c>
      <c r="BD50">
        <v>3549000000</v>
      </c>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3874000000</v>
      </c>
      <c r="AJ51">
        <v>-341000000</v>
      </c>
      <c r="AK51">
        <v>48688000000</v>
      </c>
      <c r="AL51">
        <v>2500000000</v>
      </c>
      <c r="AM51">
        <v>18095000000</v>
      </c>
      <c r="AN51">
        <v>20081000000</v>
      </c>
      <c r="AO51" s="9">
        <v>411976000000</v>
      </c>
      <c r="AP51">
        <v>2416000000</v>
      </c>
      <c r="AQ51">
        <v>7472000000</v>
      </c>
      <c r="AR51">
        <v>-482000000</v>
      </c>
      <c r="AS51">
        <v>3129900000</v>
      </c>
      <c r="AT51">
        <v>46190350000</v>
      </c>
      <c r="AU51">
        <v>3609100000</v>
      </c>
      <c r="AV51" s="3" t="s">
        <v>473</v>
      </c>
      <c r="AW51">
        <v>221000</v>
      </c>
      <c r="BA51" s="3"/>
      <c r="BB51" s="3"/>
      <c r="BC51">
        <f>13861-BC50-BC49-BC48</f>
        <v>3874</v>
      </c>
      <c r="BD51">
        <v>4472000000</v>
      </c>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29556000000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3462850000</v>
      </c>
      <c r="AT52">
        <v>49386500000</v>
      </c>
      <c r="AU52">
        <v>3196150000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29291000000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3819950000</v>
      </c>
      <c r="AT53">
        <v>52708550000</v>
      </c>
      <c r="AU53">
        <v>3322050000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22784000000</v>
      </c>
      <c r="AC54">
        <v>42658000000</v>
      </c>
      <c r="AD54">
        <v>14469000000</v>
      </c>
      <c r="AE54">
        <v>19634000000</v>
      </c>
      <c r="AF54">
        <v>60387000000</v>
      </c>
      <c r="AG54">
        <v>31917000000</v>
      </c>
      <c r="AH54">
        <v>-10952000000</v>
      </c>
      <c r="AI54">
        <v>6027000000</v>
      </c>
      <c r="AJ54">
        <v>-1575000000</v>
      </c>
      <c r="AK54">
        <v>44029000000</v>
      </c>
      <c r="AL54">
        <v>1304000000</v>
      </c>
      <c r="AM54">
        <v>18087000000</v>
      </c>
      <c r="AN54">
        <v>21939000000</v>
      </c>
      <c r="AO54" s="9">
        <v>484275000000</v>
      </c>
      <c r="AP54">
        <v>2703000000</v>
      </c>
      <c r="AQ54">
        <v>7472000000</v>
      </c>
      <c r="AR54">
        <v>-800000000</v>
      </c>
      <c r="AS54">
        <v>4202600000</v>
      </c>
      <c r="AT54">
        <v>56158950000</v>
      </c>
      <c r="AU54">
        <v>3450400000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8949000000</v>
      </c>
      <c r="AC55">
        <v>42688000000</v>
      </c>
      <c r="AD55">
        <v>15497000000</v>
      </c>
      <c r="AE55">
        <v>18315000000</v>
      </c>
      <c r="AF55">
        <v>57228000000</v>
      </c>
      <c r="AG55">
        <v>37195000000</v>
      </c>
      <c r="AH55">
        <v>-13873000000</v>
      </c>
      <c r="AI55">
        <v>6380000000</v>
      </c>
      <c r="AJ55">
        <v>-1342000000</v>
      </c>
      <c r="AK55">
        <v>56924000000</v>
      </c>
      <c r="AL55">
        <v>1246000000</v>
      </c>
      <c r="AM55">
        <v>21996000000</v>
      </c>
      <c r="AN55">
        <v>22036000000</v>
      </c>
      <c r="AO55" s="9">
        <v>512163000000</v>
      </c>
      <c r="AP55">
        <v>2696000000</v>
      </c>
      <c r="AQ55">
        <v>7469000000</v>
      </c>
      <c r="AR55">
        <v>-701000000</v>
      </c>
      <c r="AS55">
        <v>4605400000</v>
      </c>
      <c r="AT55">
        <v>59609550000</v>
      </c>
      <c r="AU55">
        <v>3450600000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2249000000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4982600000</v>
      </c>
      <c r="AT56">
        <v>62170950000</v>
      </c>
      <c r="AU56">
        <v>2561400000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5248000000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5378450000</v>
      </c>
      <c r="AT57">
        <v>64709500000</v>
      </c>
      <c r="AU57">
        <v>2538550000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2999000000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5788350000</v>
      </c>
      <c r="AT58">
        <v>67119150000</v>
      </c>
      <c r="AU58">
        <v>2409650000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2999000000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6229800000</v>
      </c>
      <c r="AT59">
        <v>69718350000</v>
      </c>
      <c r="AU59">
        <v>2599200000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8147000000</v>
      </c>
      <c r="AJ60">
        <v>-578000000</v>
      </c>
      <c r="AK60">
        <v>52894000000</v>
      </c>
      <c r="AL60">
        <v>1130000000</v>
      </c>
      <c r="AM60">
        <v>32580000000</v>
      </c>
      <c r="AN60">
        <v>27747000000</v>
      </c>
      <c r="AO60" s="9">
        <v>636351000000</v>
      </c>
      <c r="AP60">
        <v>2983000000</v>
      </c>
      <c r="AQ60">
        <v>7466000000</v>
      </c>
      <c r="AR60">
        <v>-698000000</v>
      </c>
      <c r="AS60">
        <v>6637100000</v>
      </c>
      <c r="AT60">
        <v>71227250000</v>
      </c>
      <c r="AU60">
        <v>1508900000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7062300000</v>
      </c>
      <c r="AT61">
        <v>72668950000</v>
      </c>
      <c r="AU61">
        <v>1441700000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81"/>
  <sheetViews>
    <sheetView topLeftCell="A84" workbookViewId="0">
      <selection activeCell="B104" sqref="B104:B123"/>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439</v>
      </c>
      <c r="E27" s="6" t="s">
        <v>440</v>
      </c>
      <c r="F27" s="6" t="s">
        <v>471</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A29">
        <v>1</v>
      </c>
      <c r="B29" t="s">
        <v>77</v>
      </c>
      <c r="C29" s="18" t="s">
        <v>488</v>
      </c>
      <c r="G29" s="23">
        <f t="shared" ref="G29:G36" si="9">$G$13</f>
        <v>20</v>
      </c>
      <c r="H29" s="4">
        <v>29000000</v>
      </c>
      <c r="I29" s="20">
        <f>+H29/20</f>
        <v>1450000</v>
      </c>
      <c r="J29" s="20">
        <f>+H29-$I29</f>
        <v>27550000</v>
      </c>
      <c r="K29" s="20">
        <f>+J29-$I29</f>
        <v>26100000</v>
      </c>
      <c r="L29" s="20">
        <f t="shared" ref="L29" si="10">+K29-$I29</f>
        <v>24650000</v>
      </c>
      <c r="M29" s="20">
        <f t="shared" ref="M29:M30" si="11">+L29-$I29</f>
        <v>23200000</v>
      </c>
      <c r="N29" s="20">
        <f t="shared" ref="N29:N31" si="12">+M29-$I29</f>
        <v>21750000</v>
      </c>
      <c r="O29" s="20">
        <f t="shared" ref="O29:O33" si="13">+N29-$I29</f>
        <v>20300000</v>
      </c>
      <c r="P29" s="20">
        <f t="shared" ref="P29:P34" si="14">+O29-$I29</f>
        <v>18850000</v>
      </c>
      <c r="Q29" s="20">
        <f t="shared" ref="Q29:Q35" si="15">+P29-$I29</f>
        <v>17400000</v>
      </c>
      <c r="R29" s="20">
        <f t="shared" ref="R29:R36" si="16">+Q29-$I29</f>
        <v>15950000</v>
      </c>
      <c r="S29" s="20">
        <f t="shared" ref="S29:S37" si="17">+R29-$I29</f>
        <v>14500000</v>
      </c>
      <c r="T29" s="20">
        <f t="shared" ref="T29:T38" si="18">+S29-$I29</f>
        <v>13050000</v>
      </c>
      <c r="U29" s="20">
        <f t="shared" ref="U29:U39" si="19">+T29-$I29</f>
        <v>11600000</v>
      </c>
      <c r="V29" s="20">
        <f t="shared" ref="V29:V40" si="20">+U29-$I29</f>
        <v>10150000</v>
      </c>
      <c r="W29" s="20">
        <f t="shared" ref="W29:W41" si="21">+V29-$I29</f>
        <v>8700000</v>
      </c>
      <c r="X29" s="20">
        <f t="shared" ref="X29:X42" si="22">+W29-$I29</f>
        <v>7250000</v>
      </c>
      <c r="Y29" s="20">
        <f t="shared" ref="Y29:Y43" si="23">+X29-$I29</f>
        <v>5800000</v>
      </c>
      <c r="Z29" s="20">
        <f t="shared" ref="Z29:Z44" si="24">+Y29-$I29</f>
        <v>4350000</v>
      </c>
      <c r="AA29" s="20">
        <f t="shared" ref="AA29:AA45" si="25">+Z29-$I29</f>
        <v>2900000</v>
      </c>
      <c r="AB29" s="20">
        <f t="shared" ref="AB29:AB46" si="26">+AA29-$I29</f>
        <v>1450000</v>
      </c>
      <c r="AC29" s="20">
        <f t="shared" ref="AC29:AC47" si="27">+AB29-$I29</f>
        <v>0</v>
      </c>
      <c r="AE29" s="21">
        <f>SUM(I29)</f>
        <v>1450000</v>
      </c>
      <c r="AF29" s="21">
        <f>SUM(J29:J29)</f>
        <v>27550000</v>
      </c>
      <c r="AG29" s="21">
        <f t="shared" ref="AG29:AG48" si="28">H29-AE29</f>
        <v>27550000</v>
      </c>
    </row>
    <row r="30" spans="1:33" x14ac:dyDescent="0.2">
      <c r="A30">
        <v>2</v>
      </c>
      <c r="B30" t="s">
        <v>77</v>
      </c>
      <c r="C30" s="18" t="s">
        <v>489</v>
      </c>
      <c r="G30" s="23">
        <f t="shared" si="9"/>
        <v>20</v>
      </c>
      <c r="H30" s="4">
        <v>32000000</v>
      </c>
      <c r="I30" s="20">
        <f t="shared" ref="I30:I48" si="29">+H30/20</f>
        <v>1600000</v>
      </c>
      <c r="J30" s="20"/>
      <c r="K30" s="20">
        <f>+H30-I30</f>
        <v>30400000</v>
      </c>
      <c r="L30" s="20">
        <f>+K30-$I30</f>
        <v>28800000</v>
      </c>
      <c r="M30" s="20">
        <f t="shared" si="11"/>
        <v>27200000</v>
      </c>
      <c r="N30" s="20">
        <f t="shared" si="12"/>
        <v>25600000</v>
      </c>
      <c r="O30" s="20">
        <f t="shared" si="13"/>
        <v>24000000</v>
      </c>
      <c r="P30" s="20">
        <f t="shared" si="14"/>
        <v>22400000</v>
      </c>
      <c r="Q30" s="20">
        <f t="shared" si="15"/>
        <v>20800000</v>
      </c>
      <c r="R30" s="20">
        <f t="shared" si="16"/>
        <v>19200000</v>
      </c>
      <c r="S30" s="20">
        <f t="shared" si="17"/>
        <v>17600000</v>
      </c>
      <c r="T30" s="20">
        <f t="shared" si="18"/>
        <v>16000000</v>
      </c>
      <c r="U30" s="20">
        <f t="shared" si="19"/>
        <v>14400000</v>
      </c>
      <c r="V30" s="20">
        <f t="shared" si="20"/>
        <v>12800000</v>
      </c>
      <c r="W30" s="20">
        <f t="shared" si="21"/>
        <v>11200000</v>
      </c>
      <c r="X30" s="20">
        <f t="shared" si="22"/>
        <v>9600000</v>
      </c>
      <c r="Y30" s="20">
        <f t="shared" si="23"/>
        <v>8000000</v>
      </c>
      <c r="Z30" s="20">
        <f t="shared" si="24"/>
        <v>6400000</v>
      </c>
      <c r="AA30" s="20">
        <f t="shared" si="25"/>
        <v>4800000</v>
      </c>
      <c r="AB30" s="20">
        <f t="shared" si="26"/>
        <v>3200000</v>
      </c>
      <c r="AC30" s="20">
        <f t="shared" si="27"/>
        <v>1600000</v>
      </c>
      <c r="AE30" s="21">
        <f>SUM(I29:I30)</f>
        <v>3050000</v>
      </c>
      <c r="AF30" s="21">
        <f>SUM(K29:K30)</f>
        <v>56500000</v>
      </c>
      <c r="AG30" s="21">
        <f t="shared" si="28"/>
        <v>28950000</v>
      </c>
    </row>
    <row r="31" spans="1:33" x14ac:dyDescent="0.2">
      <c r="A31">
        <v>3</v>
      </c>
      <c r="B31" t="s">
        <v>77</v>
      </c>
      <c r="C31" s="18" t="s">
        <v>490</v>
      </c>
      <c r="G31" s="23">
        <f t="shared" si="9"/>
        <v>20</v>
      </c>
      <c r="H31" s="4">
        <v>30000000</v>
      </c>
      <c r="I31" s="20">
        <f t="shared" si="29"/>
        <v>1500000</v>
      </c>
      <c r="J31" s="20"/>
      <c r="K31" s="20"/>
      <c r="L31" s="20">
        <f>+H31-I31</f>
        <v>28500000</v>
      </c>
      <c r="M31" s="20">
        <f>+L31-$I31</f>
        <v>27000000</v>
      </c>
      <c r="N31" s="20">
        <f t="shared" si="12"/>
        <v>25500000</v>
      </c>
      <c r="O31" s="20">
        <f t="shared" si="13"/>
        <v>24000000</v>
      </c>
      <c r="P31" s="20">
        <f t="shared" si="14"/>
        <v>22500000</v>
      </c>
      <c r="Q31" s="20">
        <f t="shared" si="15"/>
        <v>21000000</v>
      </c>
      <c r="R31" s="20">
        <f t="shared" si="16"/>
        <v>19500000</v>
      </c>
      <c r="S31" s="20">
        <f t="shared" si="17"/>
        <v>18000000</v>
      </c>
      <c r="T31" s="20">
        <f t="shared" si="18"/>
        <v>16500000</v>
      </c>
      <c r="U31" s="20">
        <f t="shared" si="19"/>
        <v>15000000</v>
      </c>
      <c r="V31" s="20">
        <f t="shared" si="20"/>
        <v>13500000</v>
      </c>
      <c r="W31" s="20">
        <f t="shared" si="21"/>
        <v>12000000</v>
      </c>
      <c r="X31" s="20">
        <f t="shared" si="22"/>
        <v>10500000</v>
      </c>
      <c r="Y31" s="20">
        <f t="shared" si="23"/>
        <v>9000000</v>
      </c>
      <c r="Z31" s="20">
        <f t="shared" si="24"/>
        <v>7500000</v>
      </c>
      <c r="AA31" s="20">
        <f t="shared" si="25"/>
        <v>6000000</v>
      </c>
      <c r="AB31" s="20">
        <f t="shared" si="26"/>
        <v>4500000</v>
      </c>
      <c r="AC31" s="20">
        <f t="shared" si="27"/>
        <v>3000000</v>
      </c>
      <c r="AE31" s="21">
        <f>SUM(I29:I31)</f>
        <v>4550000</v>
      </c>
      <c r="AF31" s="21">
        <f>SUM(L29:L31)</f>
        <v>81950000</v>
      </c>
      <c r="AG31" s="21">
        <f t="shared" si="28"/>
        <v>25450000</v>
      </c>
    </row>
    <row r="32" spans="1:33" x14ac:dyDescent="0.2">
      <c r="A32">
        <v>4</v>
      </c>
      <c r="B32" t="s">
        <v>77</v>
      </c>
      <c r="C32" s="18" t="s">
        <v>491</v>
      </c>
      <c r="G32" s="23">
        <f t="shared" si="9"/>
        <v>20</v>
      </c>
      <c r="H32" s="4">
        <v>33000000</v>
      </c>
      <c r="I32" s="20">
        <f t="shared" si="29"/>
        <v>1650000</v>
      </c>
      <c r="J32" s="20"/>
      <c r="K32" s="20"/>
      <c r="L32" s="20"/>
      <c r="M32" s="20">
        <f>+H32-I32</f>
        <v>31350000</v>
      </c>
      <c r="N32" s="20">
        <f>+M32-$I32</f>
        <v>29700000</v>
      </c>
      <c r="O32" s="20">
        <f t="shared" si="13"/>
        <v>28050000</v>
      </c>
      <c r="P32" s="20">
        <f t="shared" si="14"/>
        <v>26400000</v>
      </c>
      <c r="Q32" s="20">
        <f t="shared" si="15"/>
        <v>24750000</v>
      </c>
      <c r="R32" s="20">
        <f t="shared" si="16"/>
        <v>23100000</v>
      </c>
      <c r="S32" s="20">
        <f t="shared" si="17"/>
        <v>21450000</v>
      </c>
      <c r="T32" s="20">
        <f t="shared" si="18"/>
        <v>19800000</v>
      </c>
      <c r="U32" s="20">
        <f t="shared" si="19"/>
        <v>18150000</v>
      </c>
      <c r="V32" s="20">
        <f t="shared" si="20"/>
        <v>16500000</v>
      </c>
      <c r="W32" s="20">
        <f t="shared" si="21"/>
        <v>14850000</v>
      </c>
      <c r="X32" s="20">
        <f t="shared" si="22"/>
        <v>13200000</v>
      </c>
      <c r="Y32" s="20">
        <f t="shared" si="23"/>
        <v>11550000</v>
      </c>
      <c r="Z32" s="20">
        <f t="shared" si="24"/>
        <v>9900000</v>
      </c>
      <c r="AA32" s="20">
        <f t="shared" si="25"/>
        <v>8250000</v>
      </c>
      <c r="AB32" s="20">
        <f t="shared" si="26"/>
        <v>6600000</v>
      </c>
      <c r="AC32" s="20">
        <f t="shared" si="27"/>
        <v>4950000</v>
      </c>
      <c r="AE32" s="21">
        <f>SUM(I29:I32)</f>
        <v>6200000</v>
      </c>
      <c r="AF32" s="21">
        <f>SUM(M29:M32)</f>
        <v>108750000</v>
      </c>
      <c r="AG32" s="21">
        <f t="shared" si="28"/>
        <v>26800000</v>
      </c>
    </row>
    <row r="33" spans="1:33" x14ac:dyDescent="0.2">
      <c r="A33">
        <v>5</v>
      </c>
      <c r="B33" t="s">
        <v>77</v>
      </c>
      <c r="C33" s="18" t="s">
        <v>484</v>
      </c>
      <c r="G33" s="23">
        <f t="shared" si="9"/>
        <v>20</v>
      </c>
      <c r="H33" s="4">
        <v>32000000</v>
      </c>
      <c r="I33" s="20">
        <f t="shared" si="29"/>
        <v>1600000</v>
      </c>
      <c r="J33" s="20"/>
      <c r="K33" s="20"/>
      <c r="L33" s="20"/>
      <c r="M33" s="20"/>
      <c r="N33" s="20">
        <f>+H33-I33</f>
        <v>30400000</v>
      </c>
      <c r="O33" s="20">
        <f t="shared" si="13"/>
        <v>28800000</v>
      </c>
      <c r="P33" s="20">
        <f t="shared" si="14"/>
        <v>27200000</v>
      </c>
      <c r="Q33" s="20">
        <f t="shared" si="15"/>
        <v>25600000</v>
      </c>
      <c r="R33" s="20">
        <f t="shared" si="16"/>
        <v>24000000</v>
      </c>
      <c r="S33" s="20">
        <f t="shared" si="17"/>
        <v>22400000</v>
      </c>
      <c r="T33" s="20">
        <f t="shared" si="18"/>
        <v>20800000</v>
      </c>
      <c r="U33" s="20">
        <f t="shared" si="19"/>
        <v>19200000</v>
      </c>
      <c r="V33" s="20">
        <f t="shared" si="20"/>
        <v>17600000</v>
      </c>
      <c r="W33" s="20">
        <f t="shared" si="21"/>
        <v>16000000</v>
      </c>
      <c r="X33" s="20">
        <f t="shared" si="22"/>
        <v>14400000</v>
      </c>
      <c r="Y33" s="20">
        <f t="shared" si="23"/>
        <v>12800000</v>
      </c>
      <c r="Z33" s="20">
        <f t="shared" si="24"/>
        <v>11200000</v>
      </c>
      <c r="AA33" s="20">
        <f t="shared" si="25"/>
        <v>9600000</v>
      </c>
      <c r="AB33" s="20">
        <f t="shared" si="26"/>
        <v>8000000</v>
      </c>
      <c r="AC33" s="20">
        <f t="shared" si="27"/>
        <v>6400000</v>
      </c>
      <c r="AE33" s="21">
        <f>SUM(I29:I33)</f>
        <v>7800000</v>
      </c>
      <c r="AF33" s="21">
        <f>SUM(N29:N33)</f>
        <v>132950000</v>
      </c>
      <c r="AG33" s="21">
        <f t="shared" si="28"/>
        <v>24200000</v>
      </c>
    </row>
    <row r="34" spans="1:33" x14ac:dyDescent="0.2">
      <c r="A34">
        <v>6</v>
      </c>
      <c r="B34" t="s">
        <v>77</v>
      </c>
      <c r="C34" s="18" t="s">
        <v>485</v>
      </c>
      <c r="G34" s="23">
        <f t="shared" si="9"/>
        <v>20</v>
      </c>
      <c r="H34" s="4">
        <v>32000000</v>
      </c>
      <c r="I34" s="20">
        <f t="shared" si="29"/>
        <v>1600000</v>
      </c>
      <c r="J34" s="20"/>
      <c r="K34" s="20"/>
      <c r="L34" s="20"/>
      <c r="M34" s="20"/>
      <c r="N34" s="20"/>
      <c r="O34" s="20">
        <f>+H34-I34</f>
        <v>30400000</v>
      </c>
      <c r="P34" s="20">
        <f t="shared" si="14"/>
        <v>28800000</v>
      </c>
      <c r="Q34" s="20">
        <f t="shared" si="15"/>
        <v>27200000</v>
      </c>
      <c r="R34" s="20">
        <f t="shared" si="16"/>
        <v>25600000</v>
      </c>
      <c r="S34" s="20">
        <f t="shared" si="17"/>
        <v>24000000</v>
      </c>
      <c r="T34" s="20">
        <f t="shared" si="18"/>
        <v>22400000</v>
      </c>
      <c r="U34" s="20">
        <f t="shared" si="19"/>
        <v>20800000</v>
      </c>
      <c r="V34" s="20">
        <f t="shared" si="20"/>
        <v>19200000</v>
      </c>
      <c r="W34" s="20">
        <f t="shared" si="21"/>
        <v>17600000</v>
      </c>
      <c r="X34" s="20">
        <f t="shared" si="22"/>
        <v>16000000</v>
      </c>
      <c r="Y34" s="20">
        <f t="shared" si="23"/>
        <v>14400000</v>
      </c>
      <c r="Z34" s="20">
        <f t="shared" si="24"/>
        <v>12800000</v>
      </c>
      <c r="AA34" s="20">
        <f t="shared" si="25"/>
        <v>11200000</v>
      </c>
      <c r="AB34" s="20">
        <f t="shared" si="26"/>
        <v>9600000</v>
      </c>
      <c r="AC34" s="20">
        <f t="shared" si="27"/>
        <v>8000000</v>
      </c>
      <c r="AE34" s="21">
        <f>SUM(I29:I34)</f>
        <v>9400000</v>
      </c>
      <c r="AF34" s="21">
        <f>SUM(O29:O34)</f>
        <v>155550000</v>
      </c>
      <c r="AG34" s="21">
        <f t="shared" si="28"/>
        <v>22600000</v>
      </c>
    </row>
    <row r="35" spans="1:33" x14ac:dyDescent="0.2">
      <c r="A35">
        <v>7</v>
      </c>
      <c r="B35" t="s">
        <v>77</v>
      </c>
      <c r="C35" s="18" t="s">
        <v>486</v>
      </c>
      <c r="G35" s="23">
        <f t="shared" si="9"/>
        <v>20</v>
      </c>
      <c r="H35" s="4">
        <v>31000000</v>
      </c>
      <c r="I35" s="20">
        <f t="shared" si="29"/>
        <v>1550000</v>
      </c>
      <c r="J35" s="20"/>
      <c r="K35" s="20"/>
      <c r="L35" s="20"/>
      <c r="M35" s="20"/>
      <c r="N35" s="20"/>
      <c r="O35" s="20"/>
      <c r="P35" s="20">
        <f>+H35-I35</f>
        <v>29450000</v>
      </c>
      <c r="Q35" s="20">
        <f t="shared" si="15"/>
        <v>27900000</v>
      </c>
      <c r="R35" s="20">
        <f t="shared" si="16"/>
        <v>26350000</v>
      </c>
      <c r="S35" s="20">
        <f t="shared" si="17"/>
        <v>24800000</v>
      </c>
      <c r="T35" s="20">
        <f t="shared" si="18"/>
        <v>23250000</v>
      </c>
      <c r="U35" s="20">
        <f t="shared" si="19"/>
        <v>21700000</v>
      </c>
      <c r="V35" s="20">
        <f t="shared" si="20"/>
        <v>20150000</v>
      </c>
      <c r="W35" s="20">
        <f t="shared" si="21"/>
        <v>18600000</v>
      </c>
      <c r="X35" s="20">
        <f t="shared" si="22"/>
        <v>17050000</v>
      </c>
      <c r="Y35" s="20">
        <f t="shared" si="23"/>
        <v>15500000</v>
      </c>
      <c r="Z35" s="20">
        <f t="shared" si="24"/>
        <v>13950000</v>
      </c>
      <c r="AA35" s="20">
        <f t="shared" si="25"/>
        <v>12400000</v>
      </c>
      <c r="AB35" s="20">
        <f t="shared" si="26"/>
        <v>10850000</v>
      </c>
      <c r="AC35" s="20">
        <f t="shared" si="27"/>
        <v>9300000</v>
      </c>
      <c r="AE35" s="21">
        <f>SUM(I29:I35)</f>
        <v>10950000</v>
      </c>
      <c r="AF35" s="21">
        <f>SUM(P29:P35)</f>
        <v>175600000</v>
      </c>
      <c r="AG35" s="21">
        <f t="shared" si="28"/>
        <v>20050000</v>
      </c>
    </row>
    <row r="36" spans="1:33" x14ac:dyDescent="0.2">
      <c r="A36">
        <v>8</v>
      </c>
      <c r="B36" t="s">
        <v>77</v>
      </c>
      <c r="C36" s="18" t="s">
        <v>487</v>
      </c>
      <c r="G36" s="23">
        <f t="shared" si="9"/>
        <v>20</v>
      </c>
      <c r="H36" s="4">
        <v>29000000</v>
      </c>
      <c r="I36" s="20">
        <f t="shared" si="29"/>
        <v>1450000</v>
      </c>
      <c r="J36" s="20"/>
      <c r="K36" s="20"/>
      <c r="L36" s="20"/>
      <c r="M36" s="20"/>
      <c r="N36" s="20"/>
      <c r="O36" s="20"/>
      <c r="P36" s="20"/>
      <c r="Q36" s="20">
        <f>+H36-I36</f>
        <v>27550000</v>
      </c>
      <c r="R36" s="20">
        <f t="shared" si="16"/>
        <v>26100000</v>
      </c>
      <c r="S36" s="20">
        <f t="shared" si="17"/>
        <v>24650000</v>
      </c>
      <c r="T36" s="20">
        <f t="shared" si="18"/>
        <v>23200000</v>
      </c>
      <c r="U36" s="20">
        <f t="shared" si="19"/>
        <v>21750000</v>
      </c>
      <c r="V36" s="20">
        <f t="shared" si="20"/>
        <v>20300000</v>
      </c>
      <c r="W36" s="20">
        <f t="shared" si="21"/>
        <v>18850000</v>
      </c>
      <c r="X36" s="20">
        <f t="shared" si="22"/>
        <v>17400000</v>
      </c>
      <c r="Y36" s="20">
        <f t="shared" si="23"/>
        <v>15950000</v>
      </c>
      <c r="Z36" s="20">
        <f t="shared" si="24"/>
        <v>14500000</v>
      </c>
      <c r="AA36" s="20">
        <f t="shared" si="25"/>
        <v>13050000</v>
      </c>
      <c r="AB36" s="20">
        <f t="shared" si="26"/>
        <v>11600000</v>
      </c>
      <c r="AC36" s="20">
        <f t="shared" si="27"/>
        <v>10150000</v>
      </c>
      <c r="AE36" s="21">
        <f>SUM(I29:I36)</f>
        <v>12400000</v>
      </c>
      <c r="AF36" s="21">
        <f>SUM(Q29:Q36)</f>
        <v>192200000</v>
      </c>
      <c r="AG36" s="21">
        <f t="shared" si="28"/>
        <v>16600000</v>
      </c>
    </row>
    <row r="37" spans="1:33" x14ac:dyDescent="0.2">
      <c r="A37">
        <v>9</v>
      </c>
      <c r="B37" t="s">
        <v>77</v>
      </c>
      <c r="C37" s="18" t="s">
        <v>104</v>
      </c>
      <c r="D37" s="4">
        <v>3924000000</v>
      </c>
      <c r="E37" s="4">
        <v>5268000000</v>
      </c>
      <c r="F37" s="4">
        <v>7339000000</v>
      </c>
      <c r="G37" s="19">
        <v>20</v>
      </c>
      <c r="H37" s="4">
        <v>33000000</v>
      </c>
      <c r="I37" s="20">
        <f t="shared" si="29"/>
        <v>1650000</v>
      </c>
      <c r="J37" s="20"/>
      <c r="K37" s="20"/>
      <c r="L37" s="20"/>
      <c r="M37" s="20"/>
      <c r="N37" s="20"/>
      <c r="O37" s="20"/>
      <c r="P37" s="20"/>
      <c r="Q37" s="20"/>
      <c r="R37" s="20">
        <f>+H37-I37</f>
        <v>31350000</v>
      </c>
      <c r="S37" s="20">
        <f t="shared" si="17"/>
        <v>29700000</v>
      </c>
      <c r="T37" s="20">
        <f t="shared" si="18"/>
        <v>28050000</v>
      </c>
      <c r="U37" s="20">
        <f t="shared" si="19"/>
        <v>26400000</v>
      </c>
      <c r="V37" s="20">
        <f t="shared" si="20"/>
        <v>24750000</v>
      </c>
      <c r="W37" s="20">
        <f t="shared" si="21"/>
        <v>23100000</v>
      </c>
      <c r="X37" s="20">
        <f t="shared" si="22"/>
        <v>21450000</v>
      </c>
      <c r="Y37" s="20">
        <f t="shared" si="23"/>
        <v>19800000</v>
      </c>
      <c r="Z37" s="20">
        <f t="shared" si="24"/>
        <v>18150000</v>
      </c>
      <c r="AA37" s="20">
        <f t="shared" si="25"/>
        <v>16500000</v>
      </c>
      <c r="AB37" s="20">
        <f t="shared" si="26"/>
        <v>14850000</v>
      </c>
      <c r="AC37" s="20">
        <f t="shared" si="27"/>
        <v>13200000</v>
      </c>
      <c r="AE37" s="21">
        <f>SUM(I29:I37)</f>
        <v>14050000</v>
      </c>
      <c r="AF37" s="21">
        <f>SUM(R29:R37)</f>
        <v>211150000</v>
      </c>
      <c r="AG37" s="21">
        <f t="shared" si="28"/>
        <v>18950000</v>
      </c>
    </row>
    <row r="38" spans="1:33" x14ac:dyDescent="0.2">
      <c r="A38">
        <v>10</v>
      </c>
      <c r="B38" t="s">
        <v>77</v>
      </c>
      <c r="C38" s="18" t="s">
        <v>103</v>
      </c>
      <c r="D38" s="22">
        <f>$D37</f>
        <v>3924000000</v>
      </c>
      <c r="E38" s="22">
        <f>$E37</f>
        <v>5268000000</v>
      </c>
      <c r="F38" s="22">
        <f>$F37</f>
        <v>7339000000</v>
      </c>
      <c r="G38" s="23">
        <f>$G$13</f>
        <v>20</v>
      </c>
      <c r="H38" s="4">
        <v>32000000</v>
      </c>
      <c r="I38" s="20">
        <f t="shared" si="29"/>
        <v>1600000</v>
      </c>
      <c r="J38" s="20"/>
      <c r="K38" s="20"/>
      <c r="L38" s="20"/>
      <c r="M38" s="20"/>
      <c r="N38" s="20"/>
      <c r="O38" s="20"/>
      <c r="P38" s="20"/>
      <c r="Q38" s="20"/>
      <c r="R38" s="20"/>
      <c r="S38" s="20">
        <f>+H38-I38</f>
        <v>30400000</v>
      </c>
      <c r="T38" s="20">
        <f t="shared" si="18"/>
        <v>28800000</v>
      </c>
      <c r="U38" s="20">
        <f t="shared" si="19"/>
        <v>27200000</v>
      </c>
      <c r="V38" s="20">
        <f t="shared" si="20"/>
        <v>25600000</v>
      </c>
      <c r="W38" s="20">
        <f t="shared" si="21"/>
        <v>24000000</v>
      </c>
      <c r="X38" s="20">
        <f t="shared" si="22"/>
        <v>22400000</v>
      </c>
      <c r="Y38" s="20">
        <f t="shared" si="23"/>
        <v>20800000</v>
      </c>
      <c r="Z38" s="20">
        <f t="shared" si="24"/>
        <v>19200000</v>
      </c>
      <c r="AA38" s="20">
        <f t="shared" si="25"/>
        <v>17600000</v>
      </c>
      <c r="AB38" s="20">
        <f t="shared" si="26"/>
        <v>16000000</v>
      </c>
      <c r="AC38" s="20">
        <f t="shared" si="27"/>
        <v>14400000</v>
      </c>
      <c r="AE38" s="21">
        <f>SUM(I29:I38)</f>
        <v>15650000</v>
      </c>
      <c r="AF38" s="21">
        <f>SUM(S29:S38)</f>
        <v>227500000</v>
      </c>
      <c r="AG38" s="21">
        <f t="shared" si="28"/>
        <v>16350000</v>
      </c>
    </row>
    <row r="39" spans="1:33" x14ac:dyDescent="0.2">
      <c r="A39">
        <v>11</v>
      </c>
      <c r="B39" t="s">
        <v>77</v>
      </c>
      <c r="C39" s="18" t="s">
        <v>102</v>
      </c>
      <c r="D39" s="22">
        <f>$D37</f>
        <v>3924000000</v>
      </c>
      <c r="E39" s="22">
        <f>$E37</f>
        <v>5268000000</v>
      </c>
      <c r="F39" s="22">
        <f>$F37</f>
        <v>7339000000</v>
      </c>
      <c r="G39" s="23">
        <f t="shared" ref="G39:G48" si="30">$G$13</f>
        <v>20</v>
      </c>
      <c r="H39" s="4">
        <v>31000000</v>
      </c>
      <c r="I39" s="20">
        <f t="shared" si="29"/>
        <v>1550000</v>
      </c>
      <c r="J39" s="20"/>
      <c r="K39" s="20"/>
      <c r="L39" s="20"/>
      <c r="M39" s="20"/>
      <c r="N39" s="20"/>
      <c r="O39" s="20"/>
      <c r="P39" s="20"/>
      <c r="Q39" s="20"/>
      <c r="R39" s="20"/>
      <c r="S39" s="20"/>
      <c r="T39" s="20">
        <f>+H39-I39</f>
        <v>29450000</v>
      </c>
      <c r="U39" s="20">
        <f t="shared" si="19"/>
        <v>27900000</v>
      </c>
      <c r="V39" s="20">
        <f t="shared" si="20"/>
        <v>26350000</v>
      </c>
      <c r="W39" s="20">
        <f t="shared" si="21"/>
        <v>24800000</v>
      </c>
      <c r="X39" s="20">
        <f t="shared" si="22"/>
        <v>23250000</v>
      </c>
      <c r="Y39" s="20">
        <f t="shared" si="23"/>
        <v>21700000</v>
      </c>
      <c r="Z39" s="20">
        <f t="shared" si="24"/>
        <v>20150000</v>
      </c>
      <c r="AA39" s="20">
        <f t="shared" si="25"/>
        <v>18600000</v>
      </c>
      <c r="AB39" s="20">
        <f t="shared" si="26"/>
        <v>17050000</v>
      </c>
      <c r="AC39" s="20">
        <f t="shared" si="27"/>
        <v>15500000</v>
      </c>
      <c r="AE39" s="21">
        <f>SUM(I29:I39)</f>
        <v>17200000</v>
      </c>
      <c r="AF39" s="21">
        <f>SUM(T29:T39)</f>
        <v>241300000</v>
      </c>
      <c r="AG39" s="21">
        <f t="shared" si="28"/>
        <v>13800000</v>
      </c>
    </row>
    <row r="40" spans="1:33" x14ac:dyDescent="0.2">
      <c r="A40">
        <v>12</v>
      </c>
      <c r="B40" t="s">
        <v>77</v>
      </c>
      <c r="C40" s="18" t="s">
        <v>101</v>
      </c>
      <c r="D40" s="22">
        <f>$D37</f>
        <v>3924000000</v>
      </c>
      <c r="E40" s="22">
        <f>$E37</f>
        <v>5268000000</v>
      </c>
      <c r="F40" s="22">
        <f>$F37</f>
        <v>7339000000</v>
      </c>
      <c r="G40" s="23">
        <f t="shared" si="30"/>
        <v>20</v>
      </c>
      <c r="H40" s="4">
        <v>34000000</v>
      </c>
      <c r="I40" s="20">
        <f t="shared" si="29"/>
        <v>1700000</v>
      </c>
      <c r="J40" s="20"/>
      <c r="K40" s="20"/>
      <c r="L40" s="20"/>
      <c r="M40" s="20"/>
      <c r="N40" s="20"/>
      <c r="O40" s="20"/>
      <c r="P40" s="20"/>
      <c r="Q40" s="20"/>
      <c r="R40" s="20"/>
      <c r="S40" s="20"/>
      <c r="T40" s="20"/>
      <c r="U40" s="20">
        <f>+H40-I40</f>
        <v>32300000</v>
      </c>
      <c r="V40" s="20">
        <f t="shared" si="20"/>
        <v>30600000</v>
      </c>
      <c r="W40" s="20">
        <f t="shared" si="21"/>
        <v>28900000</v>
      </c>
      <c r="X40" s="20">
        <f t="shared" si="22"/>
        <v>27200000</v>
      </c>
      <c r="Y40" s="20">
        <f t="shared" si="23"/>
        <v>25500000</v>
      </c>
      <c r="Z40" s="20">
        <f t="shared" si="24"/>
        <v>23800000</v>
      </c>
      <c r="AA40" s="20">
        <f t="shared" si="25"/>
        <v>22100000</v>
      </c>
      <c r="AB40" s="20">
        <f t="shared" si="26"/>
        <v>20400000</v>
      </c>
      <c r="AC40" s="20">
        <f t="shared" si="27"/>
        <v>18700000</v>
      </c>
      <c r="AE40" s="21">
        <f>SUM(I29:I40)</f>
        <v>18900000</v>
      </c>
      <c r="AF40" s="21">
        <f>SUM(U29:U40)</f>
        <v>256400000</v>
      </c>
      <c r="AG40" s="21">
        <f t="shared" si="28"/>
        <v>15100000</v>
      </c>
    </row>
    <row r="41" spans="1:33" x14ac:dyDescent="0.2">
      <c r="A41">
        <v>13</v>
      </c>
      <c r="B41" t="s">
        <v>77</v>
      </c>
      <c r="C41" s="18" t="s">
        <v>100</v>
      </c>
      <c r="D41" s="22">
        <f>$D37</f>
        <v>3924000000</v>
      </c>
      <c r="E41" s="22">
        <f>$E37</f>
        <v>5268000000</v>
      </c>
      <c r="F41" s="22">
        <f>$F37</f>
        <v>7339000000</v>
      </c>
      <c r="G41" s="23">
        <f t="shared" si="30"/>
        <v>20</v>
      </c>
      <c r="H41" s="4">
        <v>32000000</v>
      </c>
      <c r="I41" s="20">
        <f t="shared" si="29"/>
        <v>1600000</v>
      </c>
      <c r="J41" s="20"/>
      <c r="K41" s="20"/>
      <c r="L41" s="20"/>
      <c r="M41" s="20"/>
      <c r="N41" s="20"/>
      <c r="O41" s="20"/>
      <c r="P41" s="20"/>
      <c r="Q41" s="20"/>
      <c r="R41" s="20"/>
      <c r="S41" s="20"/>
      <c r="T41" s="20"/>
      <c r="U41" s="20"/>
      <c r="V41" s="20">
        <f>+H41-I41</f>
        <v>30400000</v>
      </c>
      <c r="W41" s="20">
        <f t="shared" si="21"/>
        <v>28800000</v>
      </c>
      <c r="X41" s="20">
        <f t="shared" si="22"/>
        <v>27200000</v>
      </c>
      <c r="Y41" s="20">
        <f t="shared" si="23"/>
        <v>25600000</v>
      </c>
      <c r="Z41" s="20">
        <f t="shared" si="24"/>
        <v>24000000</v>
      </c>
      <c r="AA41" s="20">
        <f t="shared" si="25"/>
        <v>22400000</v>
      </c>
      <c r="AB41" s="20">
        <f t="shared" si="26"/>
        <v>20800000</v>
      </c>
      <c r="AC41" s="20">
        <f t="shared" si="27"/>
        <v>19200000</v>
      </c>
      <c r="AE41" s="21">
        <f>SUM(I29:I41)</f>
        <v>20500000</v>
      </c>
      <c r="AF41" s="21">
        <f>SUM(V29:V41)</f>
        <v>267900000</v>
      </c>
      <c r="AG41" s="21">
        <f t="shared" si="28"/>
        <v>11500000</v>
      </c>
    </row>
    <row r="42" spans="1:33" x14ac:dyDescent="0.2">
      <c r="A42">
        <v>14</v>
      </c>
      <c r="B42" t="s">
        <v>77</v>
      </c>
      <c r="C42" s="18" t="s">
        <v>99</v>
      </c>
      <c r="D42" s="22">
        <f>$D37</f>
        <v>3924000000</v>
      </c>
      <c r="E42" s="22">
        <f>$E37</f>
        <v>5268000000</v>
      </c>
      <c r="F42" s="22">
        <f>$F37</f>
        <v>7339000000</v>
      </c>
      <c r="G42" s="23">
        <f t="shared" si="30"/>
        <v>20</v>
      </c>
      <c r="H42" s="4">
        <v>33000000</v>
      </c>
      <c r="I42" s="20">
        <f t="shared" si="29"/>
        <v>1650000</v>
      </c>
      <c r="J42" s="20"/>
      <c r="K42" s="20"/>
      <c r="L42" s="20"/>
      <c r="M42" s="20"/>
      <c r="N42" s="20"/>
      <c r="O42" s="20"/>
      <c r="P42" s="20"/>
      <c r="Q42" s="20"/>
      <c r="R42" s="20"/>
      <c r="S42" s="20"/>
      <c r="T42" s="20"/>
      <c r="U42" s="20"/>
      <c r="V42" s="20"/>
      <c r="W42" s="20">
        <f>+H42-I42</f>
        <v>31350000</v>
      </c>
      <c r="X42" s="20">
        <f t="shared" si="22"/>
        <v>29700000</v>
      </c>
      <c r="Y42" s="20">
        <f t="shared" si="23"/>
        <v>28050000</v>
      </c>
      <c r="Z42" s="20">
        <f t="shared" si="24"/>
        <v>26400000</v>
      </c>
      <c r="AA42" s="20">
        <f t="shared" si="25"/>
        <v>24750000</v>
      </c>
      <c r="AB42" s="20">
        <f t="shared" si="26"/>
        <v>23100000</v>
      </c>
      <c r="AC42" s="20">
        <f t="shared" si="27"/>
        <v>21450000</v>
      </c>
      <c r="AE42" s="21">
        <f>SUM(I29:I42)</f>
        <v>22150000</v>
      </c>
      <c r="AF42" s="21">
        <f>SUM(W29:W42)</f>
        <v>278750000</v>
      </c>
      <c r="AG42" s="21">
        <f t="shared" si="28"/>
        <v>10850000</v>
      </c>
    </row>
    <row r="43" spans="1:33" x14ac:dyDescent="0.2">
      <c r="A43">
        <v>15</v>
      </c>
      <c r="B43" t="s">
        <v>77</v>
      </c>
      <c r="C43" s="18" t="s">
        <v>98</v>
      </c>
      <c r="D43" s="22">
        <f>$D37</f>
        <v>3924000000</v>
      </c>
      <c r="E43" s="22">
        <f>$E37</f>
        <v>5268000000</v>
      </c>
      <c r="F43" s="22">
        <f>$F37</f>
        <v>7339000000</v>
      </c>
      <c r="G43" s="23">
        <f t="shared" si="30"/>
        <v>20</v>
      </c>
      <c r="H43" s="4">
        <v>31000000</v>
      </c>
      <c r="I43" s="20">
        <f t="shared" si="29"/>
        <v>1550000</v>
      </c>
      <c r="J43" s="20"/>
      <c r="K43" s="20"/>
      <c r="L43" s="20"/>
      <c r="M43" s="20"/>
      <c r="N43" s="20"/>
      <c r="O43" s="20"/>
      <c r="P43" s="20"/>
      <c r="Q43" s="20"/>
      <c r="R43" s="20"/>
      <c r="S43" s="20"/>
      <c r="T43" s="20"/>
      <c r="U43" s="20"/>
      <c r="V43" s="20"/>
      <c r="W43" s="20"/>
      <c r="X43" s="20">
        <f>+H43-I43</f>
        <v>29450000</v>
      </c>
      <c r="Y43" s="20">
        <f t="shared" si="23"/>
        <v>27900000</v>
      </c>
      <c r="Z43" s="20">
        <f t="shared" si="24"/>
        <v>26350000</v>
      </c>
      <c r="AA43" s="20">
        <f t="shared" si="25"/>
        <v>24800000</v>
      </c>
      <c r="AB43" s="20">
        <f t="shared" si="26"/>
        <v>23250000</v>
      </c>
      <c r="AC43" s="20">
        <f t="shared" si="27"/>
        <v>21700000</v>
      </c>
      <c r="AE43" s="21">
        <f>SUM(I29:I43)</f>
        <v>23700000</v>
      </c>
      <c r="AF43" s="21">
        <f>SUM(X29:X43)</f>
        <v>286050000</v>
      </c>
      <c r="AG43" s="21">
        <f t="shared" si="28"/>
        <v>7300000</v>
      </c>
    </row>
    <row r="44" spans="1:33" x14ac:dyDescent="0.2">
      <c r="A44">
        <v>16</v>
      </c>
      <c r="B44" t="s">
        <v>77</v>
      </c>
      <c r="C44" s="18" t="s">
        <v>97</v>
      </c>
      <c r="D44" s="22">
        <f>$D37</f>
        <v>3924000000</v>
      </c>
      <c r="E44" s="22">
        <f>$E37</f>
        <v>5268000000</v>
      </c>
      <c r="F44" s="22">
        <f>$F37</f>
        <v>7339000000</v>
      </c>
      <c r="G44" s="23">
        <f t="shared" si="30"/>
        <v>20</v>
      </c>
      <c r="H44" s="4">
        <v>39000000</v>
      </c>
      <c r="I44" s="20">
        <f t="shared" si="29"/>
        <v>1950000</v>
      </c>
      <c r="J44" s="20"/>
      <c r="K44" s="20"/>
      <c r="L44" s="20"/>
      <c r="M44" s="20"/>
      <c r="N44" s="20"/>
      <c r="O44" s="20"/>
      <c r="P44" s="20"/>
      <c r="Q44" s="20"/>
      <c r="R44" s="20"/>
      <c r="S44" s="20"/>
      <c r="T44" s="20"/>
      <c r="U44" s="20"/>
      <c r="V44" s="20"/>
      <c r="W44" s="20"/>
      <c r="X44" s="20"/>
      <c r="Y44" s="20">
        <f>+H44-I44</f>
        <v>37050000</v>
      </c>
      <c r="Z44" s="20">
        <f t="shared" si="24"/>
        <v>35100000</v>
      </c>
      <c r="AA44" s="20">
        <f t="shared" si="25"/>
        <v>33150000</v>
      </c>
      <c r="AB44" s="20">
        <f t="shared" si="26"/>
        <v>31200000</v>
      </c>
      <c r="AC44" s="20">
        <f t="shared" si="27"/>
        <v>29250000</v>
      </c>
      <c r="AE44" s="21">
        <f>SUM(I29:I44)</f>
        <v>25650000</v>
      </c>
      <c r="AF44" s="21">
        <f>SUM(Y29:Y44)</f>
        <v>299400000</v>
      </c>
      <c r="AG44" s="21">
        <f t="shared" si="28"/>
        <v>13350000</v>
      </c>
    </row>
    <row r="45" spans="1:33" x14ac:dyDescent="0.2">
      <c r="A45">
        <v>17</v>
      </c>
      <c r="B45" t="s">
        <v>77</v>
      </c>
      <c r="C45" s="18" t="s">
        <v>96</v>
      </c>
      <c r="D45" s="22">
        <f>$D37</f>
        <v>3924000000</v>
      </c>
      <c r="E45" s="22">
        <f>$E37</f>
        <v>5268000000</v>
      </c>
      <c r="F45" s="22">
        <f>$F37</f>
        <v>7339000000</v>
      </c>
      <c r="G45" s="23">
        <f t="shared" si="30"/>
        <v>20</v>
      </c>
      <c r="H45" s="4">
        <v>34000000</v>
      </c>
      <c r="I45" s="20">
        <f t="shared" si="29"/>
        <v>1700000</v>
      </c>
      <c r="J45" s="20"/>
      <c r="K45" s="20"/>
      <c r="L45" s="20"/>
      <c r="M45" s="20"/>
      <c r="N45" s="20"/>
      <c r="O45" s="20"/>
      <c r="P45" s="20"/>
      <c r="Q45" s="20"/>
      <c r="R45" s="20"/>
      <c r="S45" s="20"/>
      <c r="T45" s="20"/>
      <c r="U45" s="20"/>
      <c r="V45" s="20"/>
      <c r="W45" s="20"/>
      <c r="X45" s="20"/>
      <c r="Y45" s="20"/>
      <c r="Z45" s="20">
        <f>+H45-I45</f>
        <v>32300000</v>
      </c>
      <c r="AA45" s="20">
        <f t="shared" si="25"/>
        <v>30600000</v>
      </c>
      <c r="AB45" s="20">
        <f t="shared" si="26"/>
        <v>28900000</v>
      </c>
      <c r="AC45" s="20">
        <f t="shared" si="27"/>
        <v>27200000</v>
      </c>
      <c r="AE45" s="21">
        <f>SUM(I29:I45)</f>
        <v>27350000</v>
      </c>
      <c r="AF45" s="21">
        <f>SUM(Z29:Z45)</f>
        <v>306050000</v>
      </c>
      <c r="AG45" s="21">
        <f t="shared" si="28"/>
        <v>6650000</v>
      </c>
    </row>
    <row r="46" spans="1:33" x14ac:dyDescent="0.2">
      <c r="A46">
        <v>18</v>
      </c>
      <c r="B46" t="s">
        <v>77</v>
      </c>
      <c r="C46" s="18" t="s">
        <v>95</v>
      </c>
      <c r="D46" s="22">
        <f>$D37</f>
        <v>3924000000</v>
      </c>
      <c r="E46" s="22">
        <f>$E37</f>
        <v>5268000000</v>
      </c>
      <c r="F46" s="22">
        <f>$F37</f>
        <v>7339000000</v>
      </c>
      <c r="G46" s="23">
        <f t="shared" si="30"/>
        <v>20</v>
      </c>
      <c r="H46" s="4">
        <v>35000000</v>
      </c>
      <c r="I46" s="20">
        <f t="shared" si="29"/>
        <v>1750000</v>
      </c>
      <c r="J46" s="20"/>
      <c r="K46" s="20"/>
      <c r="L46" s="20"/>
      <c r="M46" s="20"/>
      <c r="N46" s="20"/>
      <c r="O46" s="20"/>
      <c r="P46" s="20"/>
      <c r="Q46" s="20"/>
      <c r="R46" s="20"/>
      <c r="S46" s="20"/>
      <c r="T46" s="20"/>
      <c r="U46" s="20"/>
      <c r="V46" s="20"/>
      <c r="W46" s="20"/>
      <c r="X46" s="20"/>
      <c r="Y46" s="20"/>
      <c r="Z46" s="20"/>
      <c r="AA46" s="20">
        <f>+H46-I46</f>
        <v>33250000</v>
      </c>
      <c r="AB46" s="20">
        <f t="shared" si="26"/>
        <v>31500000</v>
      </c>
      <c r="AC46" s="20">
        <f t="shared" si="27"/>
        <v>29750000</v>
      </c>
      <c r="AE46" s="21">
        <f>SUM(I29:I46)</f>
        <v>29100000</v>
      </c>
      <c r="AF46" s="21">
        <f>SUM(AA29:AA46)</f>
        <v>311950000</v>
      </c>
      <c r="AG46" s="21">
        <f t="shared" si="28"/>
        <v>5900000</v>
      </c>
    </row>
    <row r="47" spans="1:33" x14ac:dyDescent="0.2">
      <c r="A47">
        <v>19</v>
      </c>
      <c r="B47" t="s">
        <v>77</v>
      </c>
      <c r="C47" s="18" t="s">
        <v>94</v>
      </c>
      <c r="D47" s="22">
        <f>$D37</f>
        <v>3924000000</v>
      </c>
      <c r="E47" s="22">
        <f>$E37</f>
        <v>5268000000</v>
      </c>
      <c r="F47" s="22">
        <f>$F37</f>
        <v>7339000000</v>
      </c>
      <c r="G47" s="23">
        <f t="shared" si="30"/>
        <v>20</v>
      </c>
      <c r="H47" s="4">
        <v>34000000</v>
      </c>
      <c r="I47" s="20">
        <f t="shared" si="29"/>
        <v>1700000</v>
      </c>
      <c r="J47" s="20"/>
      <c r="K47" s="20"/>
      <c r="L47" s="20"/>
      <c r="M47" s="20"/>
      <c r="N47" s="20"/>
      <c r="O47" s="20"/>
      <c r="P47" s="20"/>
      <c r="Q47" s="20"/>
      <c r="R47" s="20"/>
      <c r="S47" s="20"/>
      <c r="T47" s="20"/>
      <c r="U47" s="20"/>
      <c r="V47" s="20"/>
      <c r="W47" s="20"/>
      <c r="X47" s="20"/>
      <c r="Y47" s="20"/>
      <c r="Z47" s="20"/>
      <c r="AA47" s="20"/>
      <c r="AB47" s="20">
        <f>+H47-I47</f>
        <v>32300000</v>
      </c>
      <c r="AC47" s="20">
        <f t="shared" si="27"/>
        <v>30600000</v>
      </c>
      <c r="AE47" s="21">
        <f>SUM(I29:I47)</f>
        <v>30800000</v>
      </c>
      <c r="AF47" s="21">
        <f>SUM(AB29:AB47)</f>
        <v>315150000</v>
      </c>
      <c r="AG47" s="21">
        <f t="shared" si="28"/>
        <v>3200000</v>
      </c>
    </row>
    <row r="48" spans="1:33" x14ac:dyDescent="0.2">
      <c r="A48">
        <v>20</v>
      </c>
      <c r="B48" t="s">
        <v>77</v>
      </c>
      <c r="C48" s="18" t="s">
        <v>93</v>
      </c>
      <c r="D48" s="22">
        <f>$D37</f>
        <v>3924000000</v>
      </c>
      <c r="E48" s="22">
        <f>$E37</f>
        <v>5268000000</v>
      </c>
      <c r="F48" s="22">
        <f>$F37</f>
        <v>7339000000</v>
      </c>
      <c r="G48" s="23">
        <f t="shared" si="30"/>
        <v>20</v>
      </c>
      <c r="H48" s="4">
        <v>33000000</v>
      </c>
      <c r="I48" s="20">
        <f t="shared" si="29"/>
        <v>1650000</v>
      </c>
      <c r="J48" s="20"/>
      <c r="K48" s="20"/>
      <c r="L48" s="20"/>
      <c r="M48" s="20"/>
      <c r="N48" s="20"/>
      <c r="O48" s="20"/>
      <c r="P48" s="20"/>
      <c r="Q48" s="20"/>
      <c r="R48" s="20"/>
      <c r="S48" s="20"/>
      <c r="T48" s="20"/>
      <c r="U48" s="20"/>
      <c r="V48" s="20"/>
      <c r="W48" s="20"/>
      <c r="X48" s="20"/>
      <c r="Y48" s="20"/>
      <c r="Z48" s="20"/>
      <c r="AA48" s="20"/>
      <c r="AB48" s="20"/>
      <c r="AC48" s="20">
        <f>+H48-I48</f>
        <v>31350000</v>
      </c>
      <c r="AE48" s="21">
        <f>SUM(I29:I48)</f>
        <v>32450000</v>
      </c>
      <c r="AF48" s="21">
        <f>SUM(AC29:AC48)</f>
        <v>315700000</v>
      </c>
      <c r="AG48" s="21">
        <f t="shared" si="28"/>
        <v>550000</v>
      </c>
    </row>
    <row r="49" spans="1:33" ht="18" customHeight="1" x14ac:dyDescent="0.2"/>
    <row r="50" spans="1:33" ht="18" customHeight="1" x14ac:dyDescent="0.2"/>
    <row r="51" spans="1:33" x14ac:dyDescent="0.2">
      <c r="C51" t="s">
        <v>113</v>
      </c>
    </row>
    <row r="52" spans="1:33" x14ac:dyDescent="0.2">
      <c r="C52" s="6" t="s">
        <v>107</v>
      </c>
      <c r="D52" s="6" t="s">
        <v>439</v>
      </c>
      <c r="E52" s="6" t="s">
        <v>440</v>
      </c>
      <c r="F52" s="6" t="s">
        <v>471</v>
      </c>
      <c r="G52" s="6" t="s">
        <v>441</v>
      </c>
      <c r="H52" s="6" t="s">
        <v>442</v>
      </c>
      <c r="I52" s="15"/>
      <c r="J52" s="6" t="s">
        <v>443</v>
      </c>
      <c r="K52" s="6" t="s">
        <v>444</v>
      </c>
      <c r="L52" s="6" t="s">
        <v>445</v>
      </c>
      <c r="M52" s="6" t="s">
        <v>446</v>
      </c>
      <c r="N52" s="6" t="s">
        <v>447</v>
      </c>
      <c r="O52" s="6" t="s">
        <v>448</v>
      </c>
      <c r="P52" s="6" t="s">
        <v>449</v>
      </c>
      <c r="Q52" s="6" t="s">
        <v>450</v>
      </c>
      <c r="R52" s="6" t="s">
        <v>451</v>
      </c>
      <c r="S52" s="6" t="s">
        <v>452</v>
      </c>
      <c r="T52" s="6" t="s">
        <v>453</v>
      </c>
      <c r="U52" s="6" t="s">
        <v>454</v>
      </c>
      <c r="V52" s="6" t="s">
        <v>455</v>
      </c>
      <c r="W52" s="6" t="s">
        <v>456</v>
      </c>
      <c r="X52" s="6" t="s">
        <v>457</v>
      </c>
      <c r="Y52" s="6" t="s">
        <v>458</v>
      </c>
      <c r="Z52" s="6" t="s">
        <v>459</v>
      </c>
      <c r="AA52" s="6" t="s">
        <v>460</v>
      </c>
      <c r="AB52" s="6" t="s">
        <v>461</v>
      </c>
      <c r="AC52" s="6" t="s">
        <v>462</v>
      </c>
      <c r="AD52" s="15"/>
      <c r="AE52" s="6" t="s">
        <v>106</v>
      </c>
      <c r="AF52" s="6" t="s">
        <v>105</v>
      </c>
      <c r="AG52" s="6" t="s">
        <v>463</v>
      </c>
    </row>
    <row r="53" spans="1:33" x14ac:dyDescent="0.2">
      <c r="C53" s="16" t="s">
        <v>464</v>
      </c>
      <c r="J53" s="17">
        <v>20</v>
      </c>
      <c r="K53" s="17">
        <v>19</v>
      </c>
      <c r="L53" s="17">
        <v>18</v>
      </c>
      <c r="M53" s="17">
        <v>17</v>
      </c>
      <c r="N53" s="17">
        <v>16</v>
      </c>
      <c r="O53" s="17">
        <v>15</v>
      </c>
      <c r="P53" s="17">
        <v>14</v>
      </c>
      <c r="Q53" s="17">
        <v>13</v>
      </c>
      <c r="R53" s="17">
        <v>12</v>
      </c>
      <c r="S53" s="17">
        <v>11</v>
      </c>
      <c r="T53" s="17">
        <v>10</v>
      </c>
      <c r="U53" s="17">
        <v>9</v>
      </c>
      <c r="V53" s="17">
        <v>8</v>
      </c>
      <c r="W53" s="17">
        <v>7</v>
      </c>
      <c r="X53" s="17">
        <v>6</v>
      </c>
      <c r="Y53" s="17">
        <v>5</v>
      </c>
      <c r="Z53" s="17">
        <v>4</v>
      </c>
      <c r="AA53" s="17">
        <v>3</v>
      </c>
      <c r="AB53" s="17">
        <v>2</v>
      </c>
      <c r="AC53" s="17">
        <v>1</v>
      </c>
    </row>
    <row r="54" spans="1:33" x14ac:dyDescent="0.2">
      <c r="A54">
        <v>1</v>
      </c>
      <c r="B54" t="s">
        <v>113</v>
      </c>
      <c r="C54" s="18" t="s">
        <v>489</v>
      </c>
      <c r="G54" s="23">
        <f t="shared" ref="G54:G61" si="31">$G$13</f>
        <v>20</v>
      </c>
      <c r="H54" s="4">
        <v>0</v>
      </c>
      <c r="I54" s="20">
        <f>+H54/20</f>
        <v>0</v>
      </c>
      <c r="J54" s="20">
        <f>+H54-$I54</f>
        <v>0</v>
      </c>
      <c r="K54" s="20">
        <f>+J54-$I54</f>
        <v>0</v>
      </c>
      <c r="L54" s="20">
        <f t="shared" ref="L54" si="32">+K54-$I54</f>
        <v>0</v>
      </c>
      <c r="M54" s="20">
        <f t="shared" ref="M54:M55" si="33">+L54-$I54</f>
        <v>0</v>
      </c>
      <c r="N54" s="20">
        <f t="shared" ref="N54:N56" si="34">+M54-$I54</f>
        <v>0</v>
      </c>
      <c r="O54" s="20">
        <f t="shared" ref="O54:O58" si="35">+N54-$I54</f>
        <v>0</v>
      </c>
      <c r="P54" s="20">
        <f t="shared" ref="P54:P59" si="36">+O54-$I54</f>
        <v>0</v>
      </c>
      <c r="Q54" s="20">
        <f t="shared" ref="Q54:Q60" si="37">+P54-$I54</f>
        <v>0</v>
      </c>
      <c r="R54" s="20">
        <f t="shared" ref="R54:R61" si="38">+Q54-$I54</f>
        <v>0</v>
      </c>
      <c r="S54" s="20">
        <f t="shared" ref="S54:S62" si="39">+R54-$I54</f>
        <v>0</v>
      </c>
      <c r="T54" s="20">
        <f t="shared" ref="T54:T63" si="40">+S54-$I54</f>
        <v>0</v>
      </c>
      <c r="U54" s="20">
        <f t="shared" ref="U54:U64" si="41">+T54-$I54</f>
        <v>0</v>
      </c>
      <c r="V54" s="20">
        <f t="shared" ref="V54:V65" si="42">+U54-$I54</f>
        <v>0</v>
      </c>
      <c r="W54" s="20">
        <f t="shared" ref="W54:W66" si="43">+V54-$I54</f>
        <v>0</v>
      </c>
      <c r="X54" s="20">
        <f t="shared" ref="X54:X67" si="44">+W54-$I54</f>
        <v>0</v>
      </c>
      <c r="Y54" s="20">
        <f t="shared" ref="Y54:Y68" si="45">+X54-$I54</f>
        <v>0</v>
      </c>
      <c r="Z54" s="20">
        <f t="shared" ref="Z54:Z69" si="46">+Y54-$I54</f>
        <v>0</v>
      </c>
      <c r="AA54" s="20">
        <f t="shared" ref="AA54:AA70" si="47">+Z54-$I54</f>
        <v>0</v>
      </c>
      <c r="AB54" s="20">
        <f t="shared" ref="AB54:AB71" si="48">+AA54-$I54</f>
        <v>0</v>
      </c>
      <c r="AC54" s="20">
        <f t="shared" ref="AC54:AC72" si="49">+AB54-$I54</f>
        <v>0</v>
      </c>
      <c r="AE54" s="21">
        <f>SUM(I54)</f>
        <v>0</v>
      </c>
      <c r="AF54" s="21">
        <f>SUM(J54:J54)</f>
        <v>0</v>
      </c>
      <c r="AG54" s="21">
        <f t="shared" ref="AG54:AG73" si="50">H54-AE54</f>
        <v>0</v>
      </c>
    </row>
    <row r="55" spans="1:33" x14ac:dyDescent="0.2">
      <c r="A55">
        <v>2</v>
      </c>
      <c r="B55" t="s">
        <v>113</v>
      </c>
      <c r="C55" s="18" t="s">
        <v>490</v>
      </c>
      <c r="G55" s="23">
        <f t="shared" si="31"/>
        <v>20</v>
      </c>
      <c r="H55" s="4">
        <v>0</v>
      </c>
      <c r="I55" s="20">
        <f t="shared" ref="I55:I73" si="51">+H55/20</f>
        <v>0</v>
      </c>
      <c r="J55" s="20"/>
      <c r="K55" s="20">
        <f>+H55-I55</f>
        <v>0</v>
      </c>
      <c r="L55" s="20">
        <f>+K55-$I55</f>
        <v>0</v>
      </c>
      <c r="M55" s="20">
        <f t="shared" si="33"/>
        <v>0</v>
      </c>
      <c r="N55" s="20">
        <f t="shared" si="34"/>
        <v>0</v>
      </c>
      <c r="O55" s="20">
        <f t="shared" si="35"/>
        <v>0</v>
      </c>
      <c r="P55" s="20">
        <f t="shared" si="36"/>
        <v>0</v>
      </c>
      <c r="Q55" s="20">
        <f t="shared" si="37"/>
        <v>0</v>
      </c>
      <c r="R55" s="20">
        <f t="shared" si="38"/>
        <v>0</v>
      </c>
      <c r="S55" s="20">
        <f t="shared" si="39"/>
        <v>0</v>
      </c>
      <c r="T55" s="20">
        <f t="shared" si="40"/>
        <v>0</v>
      </c>
      <c r="U55" s="20">
        <f t="shared" si="41"/>
        <v>0</v>
      </c>
      <c r="V55" s="20">
        <f t="shared" si="42"/>
        <v>0</v>
      </c>
      <c r="W55" s="20">
        <f t="shared" si="43"/>
        <v>0</v>
      </c>
      <c r="X55" s="20">
        <f t="shared" si="44"/>
        <v>0</v>
      </c>
      <c r="Y55" s="20">
        <f t="shared" si="45"/>
        <v>0</v>
      </c>
      <c r="Z55" s="20">
        <f t="shared" si="46"/>
        <v>0</v>
      </c>
      <c r="AA55" s="20">
        <f t="shared" si="47"/>
        <v>0</v>
      </c>
      <c r="AB55" s="20">
        <f t="shared" si="48"/>
        <v>0</v>
      </c>
      <c r="AC55" s="20">
        <f t="shared" si="49"/>
        <v>0</v>
      </c>
      <c r="AE55" s="21">
        <f>SUM(I54:I55)</f>
        <v>0</v>
      </c>
      <c r="AF55" s="21">
        <f>SUM(K54:K55)</f>
        <v>0</v>
      </c>
      <c r="AG55" s="21">
        <f t="shared" si="50"/>
        <v>0</v>
      </c>
    </row>
    <row r="56" spans="1:33" x14ac:dyDescent="0.2">
      <c r="A56">
        <v>3</v>
      </c>
      <c r="B56" t="s">
        <v>113</v>
      </c>
      <c r="C56" s="18" t="s">
        <v>491</v>
      </c>
      <c r="G56" s="23">
        <f t="shared" si="31"/>
        <v>20</v>
      </c>
      <c r="H56" s="4">
        <v>0</v>
      </c>
      <c r="I56" s="20">
        <f t="shared" si="51"/>
        <v>0</v>
      </c>
      <c r="J56" s="20"/>
      <c r="K56" s="20"/>
      <c r="L56" s="20">
        <f>+H56-I56</f>
        <v>0</v>
      </c>
      <c r="M56" s="20">
        <f>+L56-$I56</f>
        <v>0</v>
      </c>
      <c r="N56" s="20">
        <f t="shared" si="34"/>
        <v>0</v>
      </c>
      <c r="O56" s="20">
        <f t="shared" si="35"/>
        <v>0</v>
      </c>
      <c r="P56" s="20">
        <f t="shared" si="36"/>
        <v>0</v>
      </c>
      <c r="Q56" s="20">
        <f t="shared" si="37"/>
        <v>0</v>
      </c>
      <c r="R56" s="20">
        <f t="shared" si="38"/>
        <v>0</v>
      </c>
      <c r="S56" s="20">
        <f t="shared" si="39"/>
        <v>0</v>
      </c>
      <c r="T56" s="20">
        <f t="shared" si="40"/>
        <v>0</v>
      </c>
      <c r="U56" s="20">
        <f t="shared" si="41"/>
        <v>0</v>
      </c>
      <c r="V56" s="20">
        <f t="shared" si="42"/>
        <v>0</v>
      </c>
      <c r="W56" s="20">
        <f t="shared" si="43"/>
        <v>0</v>
      </c>
      <c r="X56" s="20">
        <f t="shared" si="44"/>
        <v>0</v>
      </c>
      <c r="Y56" s="20">
        <f t="shared" si="45"/>
        <v>0</v>
      </c>
      <c r="Z56" s="20">
        <f t="shared" si="46"/>
        <v>0</v>
      </c>
      <c r="AA56" s="20">
        <f t="shared" si="47"/>
        <v>0</v>
      </c>
      <c r="AB56" s="20">
        <f t="shared" si="48"/>
        <v>0</v>
      </c>
      <c r="AC56" s="20">
        <f t="shared" si="49"/>
        <v>0</v>
      </c>
      <c r="AE56" s="21">
        <f>SUM(I54:I56)</f>
        <v>0</v>
      </c>
      <c r="AF56" s="21">
        <f>SUM(L54:L56)</f>
        <v>0</v>
      </c>
      <c r="AG56" s="21">
        <f t="shared" si="50"/>
        <v>0</v>
      </c>
    </row>
    <row r="57" spans="1:33" x14ac:dyDescent="0.2">
      <c r="A57">
        <v>4</v>
      </c>
      <c r="B57" t="s">
        <v>113</v>
      </c>
      <c r="C57" s="18" t="s">
        <v>484</v>
      </c>
      <c r="G57" s="23">
        <f t="shared" si="31"/>
        <v>20</v>
      </c>
      <c r="H57" s="4">
        <v>0</v>
      </c>
      <c r="I57" s="20">
        <f t="shared" si="51"/>
        <v>0</v>
      </c>
      <c r="J57" s="20"/>
      <c r="K57" s="20"/>
      <c r="L57" s="20"/>
      <c r="M57" s="20">
        <f>+H57-I57</f>
        <v>0</v>
      </c>
      <c r="N57" s="20">
        <f>+M57-$I57</f>
        <v>0</v>
      </c>
      <c r="O57" s="20">
        <f t="shared" si="35"/>
        <v>0</v>
      </c>
      <c r="P57" s="20">
        <f t="shared" si="36"/>
        <v>0</v>
      </c>
      <c r="Q57" s="20">
        <f t="shared" si="37"/>
        <v>0</v>
      </c>
      <c r="R57" s="20">
        <f t="shared" si="38"/>
        <v>0</v>
      </c>
      <c r="S57" s="20">
        <f t="shared" si="39"/>
        <v>0</v>
      </c>
      <c r="T57" s="20">
        <f t="shared" si="40"/>
        <v>0</v>
      </c>
      <c r="U57" s="20">
        <f t="shared" si="41"/>
        <v>0</v>
      </c>
      <c r="V57" s="20">
        <f t="shared" si="42"/>
        <v>0</v>
      </c>
      <c r="W57" s="20">
        <f t="shared" si="43"/>
        <v>0</v>
      </c>
      <c r="X57" s="20">
        <f t="shared" si="44"/>
        <v>0</v>
      </c>
      <c r="Y57" s="20">
        <f t="shared" si="45"/>
        <v>0</v>
      </c>
      <c r="Z57" s="20">
        <f t="shared" si="46"/>
        <v>0</v>
      </c>
      <c r="AA57" s="20">
        <f t="shared" si="47"/>
        <v>0</v>
      </c>
      <c r="AB57" s="20">
        <f t="shared" si="48"/>
        <v>0</v>
      </c>
      <c r="AC57" s="20">
        <f t="shared" si="49"/>
        <v>0</v>
      </c>
      <c r="AE57" s="21">
        <f>SUM(I54:I57)</f>
        <v>0</v>
      </c>
      <c r="AF57" s="21">
        <f>SUM(M54:M57)</f>
        <v>0</v>
      </c>
      <c r="AG57" s="21">
        <f t="shared" si="50"/>
        <v>0</v>
      </c>
    </row>
    <row r="58" spans="1:33" x14ac:dyDescent="0.2">
      <c r="A58">
        <v>5</v>
      </c>
      <c r="B58" t="s">
        <v>113</v>
      </c>
      <c r="C58" s="18" t="s">
        <v>485</v>
      </c>
      <c r="G58" s="23">
        <f t="shared" si="31"/>
        <v>20</v>
      </c>
      <c r="H58" s="4">
        <v>0</v>
      </c>
      <c r="I58" s="20">
        <f t="shared" si="51"/>
        <v>0</v>
      </c>
      <c r="J58" s="20"/>
      <c r="K58" s="20"/>
      <c r="L58" s="20"/>
      <c r="M58" s="20"/>
      <c r="N58" s="20">
        <f>+H58-I58</f>
        <v>0</v>
      </c>
      <c r="O58" s="20">
        <f t="shared" si="35"/>
        <v>0</v>
      </c>
      <c r="P58" s="20">
        <f t="shared" si="36"/>
        <v>0</v>
      </c>
      <c r="Q58" s="20">
        <f t="shared" si="37"/>
        <v>0</v>
      </c>
      <c r="R58" s="20">
        <f t="shared" si="38"/>
        <v>0</v>
      </c>
      <c r="S58" s="20">
        <f t="shared" si="39"/>
        <v>0</v>
      </c>
      <c r="T58" s="20">
        <f t="shared" si="40"/>
        <v>0</v>
      </c>
      <c r="U58" s="20">
        <f t="shared" si="41"/>
        <v>0</v>
      </c>
      <c r="V58" s="20">
        <f t="shared" si="42"/>
        <v>0</v>
      </c>
      <c r="W58" s="20">
        <f t="shared" si="43"/>
        <v>0</v>
      </c>
      <c r="X58" s="20">
        <f t="shared" si="44"/>
        <v>0</v>
      </c>
      <c r="Y58" s="20">
        <f t="shared" si="45"/>
        <v>0</v>
      </c>
      <c r="Z58" s="20">
        <f t="shared" si="46"/>
        <v>0</v>
      </c>
      <c r="AA58" s="20">
        <f t="shared" si="47"/>
        <v>0</v>
      </c>
      <c r="AB58" s="20">
        <f t="shared" si="48"/>
        <v>0</v>
      </c>
      <c r="AC58" s="20">
        <f t="shared" si="49"/>
        <v>0</v>
      </c>
      <c r="AE58" s="21">
        <f>SUM(I54:I58)</f>
        <v>0</v>
      </c>
      <c r="AF58" s="21">
        <f>SUM(N54:N58)</f>
        <v>0</v>
      </c>
      <c r="AG58" s="21">
        <f t="shared" si="50"/>
        <v>0</v>
      </c>
    </row>
    <row r="59" spans="1:33" x14ac:dyDescent="0.2">
      <c r="A59">
        <v>6</v>
      </c>
      <c r="B59" t="s">
        <v>113</v>
      </c>
      <c r="C59" s="18" t="s">
        <v>486</v>
      </c>
      <c r="G59" s="23">
        <f t="shared" si="31"/>
        <v>20</v>
      </c>
      <c r="H59" s="4">
        <v>35140000</v>
      </c>
      <c r="I59" s="20">
        <f t="shared" si="51"/>
        <v>1757000</v>
      </c>
      <c r="J59" s="20"/>
      <c r="K59" s="20"/>
      <c r="L59" s="20"/>
      <c r="M59" s="20"/>
      <c r="N59" s="20"/>
      <c r="O59" s="20">
        <f>+H59-I59</f>
        <v>33383000</v>
      </c>
      <c r="P59" s="20">
        <f t="shared" si="36"/>
        <v>31626000</v>
      </c>
      <c r="Q59" s="20">
        <f t="shared" si="37"/>
        <v>29869000</v>
      </c>
      <c r="R59" s="20">
        <f t="shared" si="38"/>
        <v>28112000</v>
      </c>
      <c r="S59" s="20">
        <f t="shared" si="39"/>
        <v>26355000</v>
      </c>
      <c r="T59" s="20">
        <f t="shared" si="40"/>
        <v>24598000</v>
      </c>
      <c r="U59" s="20">
        <f t="shared" si="41"/>
        <v>22841000</v>
      </c>
      <c r="V59" s="20">
        <f t="shared" si="42"/>
        <v>21084000</v>
      </c>
      <c r="W59" s="20">
        <f t="shared" si="43"/>
        <v>19327000</v>
      </c>
      <c r="X59" s="20">
        <f t="shared" si="44"/>
        <v>17570000</v>
      </c>
      <c r="Y59" s="20">
        <f t="shared" si="45"/>
        <v>15813000</v>
      </c>
      <c r="Z59" s="20">
        <f t="shared" si="46"/>
        <v>14056000</v>
      </c>
      <c r="AA59" s="20">
        <f t="shared" si="47"/>
        <v>12299000</v>
      </c>
      <c r="AB59" s="20">
        <f t="shared" si="48"/>
        <v>10542000</v>
      </c>
      <c r="AC59" s="20">
        <f t="shared" si="49"/>
        <v>8785000</v>
      </c>
      <c r="AE59" s="21">
        <f>SUM(I54:I59)</f>
        <v>1757000</v>
      </c>
      <c r="AF59" s="21">
        <f>SUM(O54:O59)</f>
        <v>33383000</v>
      </c>
      <c r="AG59" s="21">
        <f t="shared" si="50"/>
        <v>33383000</v>
      </c>
    </row>
    <row r="60" spans="1:33" x14ac:dyDescent="0.2">
      <c r="A60">
        <v>7</v>
      </c>
      <c r="B60" t="s">
        <v>113</v>
      </c>
      <c r="C60" s="18" t="s">
        <v>487</v>
      </c>
      <c r="G60" s="23">
        <f t="shared" si="31"/>
        <v>20</v>
      </c>
      <c r="H60" s="4">
        <v>43462000</v>
      </c>
      <c r="I60" s="20">
        <f t="shared" si="51"/>
        <v>2173100</v>
      </c>
      <c r="J60" s="20"/>
      <c r="K60" s="20"/>
      <c r="L60" s="20"/>
      <c r="M60" s="20"/>
      <c r="N60" s="20"/>
      <c r="O60" s="20"/>
      <c r="P60" s="20">
        <f>+H60-I60</f>
        <v>41288900</v>
      </c>
      <c r="Q60" s="20">
        <f t="shared" si="37"/>
        <v>39115800</v>
      </c>
      <c r="R60" s="20">
        <f t="shared" si="38"/>
        <v>36942700</v>
      </c>
      <c r="S60" s="20">
        <f t="shared" si="39"/>
        <v>34769600</v>
      </c>
      <c r="T60" s="20">
        <f t="shared" si="40"/>
        <v>32596500</v>
      </c>
      <c r="U60" s="20">
        <f t="shared" si="41"/>
        <v>30423400</v>
      </c>
      <c r="V60" s="20">
        <f t="shared" si="42"/>
        <v>28250300</v>
      </c>
      <c r="W60" s="20">
        <f t="shared" si="43"/>
        <v>26077200</v>
      </c>
      <c r="X60" s="20">
        <f t="shared" si="44"/>
        <v>23904100</v>
      </c>
      <c r="Y60" s="20">
        <f t="shared" si="45"/>
        <v>21731000</v>
      </c>
      <c r="Z60" s="20">
        <f t="shared" si="46"/>
        <v>19557900</v>
      </c>
      <c r="AA60" s="20">
        <f t="shared" si="47"/>
        <v>17384800</v>
      </c>
      <c r="AB60" s="20">
        <f t="shared" si="48"/>
        <v>15211700</v>
      </c>
      <c r="AC60" s="20">
        <f t="shared" si="49"/>
        <v>13038600</v>
      </c>
      <c r="AE60" s="21">
        <f>SUM(I54:I60)</f>
        <v>3930100</v>
      </c>
      <c r="AF60" s="21">
        <f>SUM(P54:P60)</f>
        <v>72914900</v>
      </c>
      <c r="AG60" s="21">
        <f t="shared" si="50"/>
        <v>39531900</v>
      </c>
    </row>
    <row r="61" spans="1:33" x14ac:dyDescent="0.2">
      <c r="A61">
        <v>8</v>
      </c>
      <c r="B61" t="s">
        <v>113</v>
      </c>
      <c r="C61" s="18" t="s">
        <v>104</v>
      </c>
      <c r="G61" s="23">
        <f t="shared" si="31"/>
        <v>20</v>
      </c>
      <c r="H61" s="4">
        <v>50740000</v>
      </c>
      <c r="I61" s="20">
        <f t="shared" si="51"/>
        <v>2537000</v>
      </c>
      <c r="J61" s="20"/>
      <c r="K61" s="20"/>
      <c r="L61" s="20"/>
      <c r="M61" s="20"/>
      <c r="N61" s="20"/>
      <c r="O61" s="20"/>
      <c r="P61" s="20"/>
      <c r="Q61" s="20">
        <f>+H61-I61</f>
        <v>48203000</v>
      </c>
      <c r="R61" s="20">
        <f t="shared" si="38"/>
        <v>45666000</v>
      </c>
      <c r="S61" s="20">
        <f t="shared" si="39"/>
        <v>43129000</v>
      </c>
      <c r="T61" s="20">
        <f t="shared" si="40"/>
        <v>40592000</v>
      </c>
      <c r="U61" s="20">
        <f t="shared" si="41"/>
        <v>38055000</v>
      </c>
      <c r="V61" s="20">
        <f t="shared" si="42"/>
        <v>35518000</v>
      </c>
      <c r="W61" s="20">
        <f t="shared" si="43"/>
        <v>32981000</v>
      </c>
      <c r="X61" s="20">
        <f t="shared" si="44"/>
        <v>30444000</v>
      </c>
      <c r="Y61" s="20">
        <f t="shared" si="45"/>
        <v>27907000</v>
      </c>
      <c r="Z61" s="20">
        <f t="shared" si="46"/>
        <v>25370000</v>
      </c>
      <c r="AA61" s="20">
        <f t="shared" si="47"/>
        <v>22833000</v>
      </c>
      <c r="AB61" s="20">
        <f t="shared" si="48"/>
        <v>20296000</v>
      </c>
      <c r="AC61" s="20">
        <f t="shared" si="49"/>
        <v>17759000</v>
      </c>
      <c r="AE61" s="21">
        <f>SUM(I54:I61)</f>
        <v>6467100</v>
      </c>
      <c r="AF61" s="21">
        <f>SUM(Q54:Q61)</f>
        <v>117187800</v>
      </c>
      <c r="AG61" s="21">
        <f t="shared" si="50"/>
        <v>44272900</v>
      </c>
    </row>
    <row r="62" spans="1:33" x14ac:dyDescent="0.2">
      <c r="A62">
        <v>9</v>
      </c>
      <c r="B62" t="s">
        <v>113</v>
      </c>
      <c r="C62" s="18" t="s">
        <v>103</v>
      </c>
      <c r="D62" s="4">
        <v>3924000000</v>
      </c>
      <c r="E62" s="4">
        <v>5268000000</v>
      </c>
      <c r="F62" s="4">
        <v>7339000000</v>
      </c>
      <c r="G62" s="19">
        <v>20</v>
      </c>
      <c r="H62" s="4">
        <v>49666000</v>
      </c>
      <c r="I62" s="20">
        <f t="shared" si="51"/>
        <v>2483300</v>
      </c>
      <c r="J62" s="20"/>
      <c r="K62" s="20"/>
      <c r="L62" s="20"/>
      <c r="M62" s="20"/>
      <c r="N62" s="20"/>
      <c r="O62" s="20"/>
      <c r="P62" s="20"/>
      <c r="Q62" s="20"/>
      <c r="R62" s="20">
        <f>+H62-I62</f>
        <v>47182700</v>
      </c>
      <c r="S62" s="20">
        <f t="shared" si="39"/>
        <v>44699400</v>
      </c>
      <c r="T62" s="20">
        <f t="shared" si="40"/>
        <v>42216100</v>
      </c>
      <c r="U62" s="20">
        <f t="shared" si="41"/>
        <v>39732800</v>
      </c>
      <c r="V62" s="20">
        <f t="shared" si="42"/>
        <v>37249500</v>
      </c>
      <c r="W62" s="20">
        <f t="shared" si="43"/>
        <v>34766200</v>
      </c>
      <c r="X62" s="20">
        <f t="shared" si="44"/>
        <v>32282900</v>
      </c>
      <c r="Y62" s="20">
        <f t="shared" si="45"/>
        <v>29799600</v>
      </c>
      <c r="Z62" s="20">
        <f t="shared" si="46"/>
        <v>27316300</v>
      </c>
      <c r="AA62" s="20">
        <f t="shared" si="47"/>
        <v>24833000</v>
      </c>
      <c r="AB62" s="20">
        <f t="shared" si="48"/>
        <v>22349700</v>
      </c>
      <c r="AC62" s="20">
        <f t="shared" si="49"/>
        <v>19866400</v>
      </c>
      <c r="AE62" s="21">
        <f>SUM(I54:I62)</f>
        <v>8950400</v>
      </c>
      <c r="AF62" s="21">
        <f>SUM(R54:R62)</f>
        <v>157903400</v>
      </c>
      <c r="AG62" s="21">
        <f t="shared" si="50"/>
        <v>40715600</v>
      </c>
    </row>
    <row r="63" spans="1:33" x14ac:dyDescent="0.2">
      <c r="A63">
        <v>10</v>
      </c>
      <c r="B63" t="s">
        <v>113</v>
      </c>
      <c r="C63" s="18" t="s">
        <v>102</v>
      </c>
      <c r="D63" s="22">
        <f>$D62</f>
        <v>3924000000</v>
      </c>
      <c r="E63" s="22">
        <f>$E62</f>
        <v>5268000000</v>
      </c>
      <c r="F63" s="22">
        <f>$F62</f>
        <v>7339000000</v>
      </c>
      <c r="G63" s="23">
        <f>$G$13</f>
        <v>20</v>
      </c>
      <c r="H63" s="4">
        <v>48845000</v>
      </c>
      <c r="I63" s="20">
        <f t="shared" si="51"/>
        <v>2442250</v>
      </c>
      <c r="J63" s="20"/>
      <c r="K63" s="20"/>
      <c r="L63" s="20"/>
      <c r="M63" s="20"/>
      <c r="N63" s="20"/>
      <c r="O63" s="20"/>
      <c r="P63" s="20"/>
      <c r="Q63" s="20"/>
      <c r="R63" s="20"/>
      <c r="S63" s="20">
        <f>+H63-I63</f>
        <v>46402750</v>
      </c>
      <c r="T63" s="20">
        <f t="shared" si="40"/>
        <v>43960500</v>
      </c>
      <c r="U63" s="20">
        <f t="shared" si="41"/>
        <v>41518250</v>
      </c>
      <c r="V63" s="20">
        <f t="shared" si="42"/>
        <v>39076000</v>
      </c>
      <c r="W63" s="20">
        <f t="shared" si="43"/>
        <v>36633750</v>
      </c>
      <c r="X63" s="20">
        <f t="shared" si="44"/>
        <v>34191500</v>
      </c>
      <c r="Y63" s="20">
        <f t="shared" si="45"/>
        <v>31749250</v>
      </c>
      <c r="Z63" s="20">
        <f t="shared" si="46"/>
        <v>29307000</v>
      </c>
      <c r="AA63" s="20">
        <f t="shared" si="47"/>
        <v>26864750</v>
      </c>
      <c r="AB63" s="20">
        <f t="shared" si="48"/>
        <v>24422500</v>
      </c>
      <c r="AC63" s="20">
        <f t="shared" si="49"/>
        <v>21980250</v>
      </c>
      <c r="AE63" s="21">
        <f>SUM(I54:I63)</f>
        <v>11392650</v>
      </c>
      <c r="AF63" s="21">
        <f>SUM(S54:S63)</f>
        <v>195355750</v>
      </c>
      <c r="AG63" s="21">
        <f t="shared" si="50"/>
        <v>37452350</v>
      </c>
    </row>
    <row r="64" spans="1:33" x14ac:dyDescent="0.2">
      <c r="A64">
        <v>11</v>
      </c>
      <c r="B64" t="s">
        <v>113</v>
      </c>
      <c r="C64" s="18" t="s">
        <v>101</v>
      </c>
      <c r="D64" s="22">
        <f>$D62</f>
        <v>3924000000</v>
      </c>
      <c r="E64" s="22">
        <f>$E62</f>
        <v>5268000000</v>
      </c>
      <c r="F64" s="22">
        <f>$F62</f>
        <v>7339000000</v>
      </c>
      <c r="G64" s="23">
        <f t="shared" ref="G64:G73" si="52">$G$13</f>
        <v>20</v>
      </c>
      <c r="H64" s="4">
        <v>45791000</v>
      </c>
      <c r="I64" s="20">
        <f t="shared" si="51"/>
        <v>2289550</v>
      </c>
      <c r="J64" s="20"/>
      <c r="K64" s="20"/>
      <c r="L64" s="20"/>
      <c r="M64" s="20"/>
      <c r="N64" s="20"/>
      <c r="O64" s="20"/>
      <c r="P64" s="20"/>
      <c r="Q64" s="20"/>
      <c r="R64" s="20"/>
      <c r="S64" s="20"/>
      <c r="T64" s="20">
        <f>+H64-I64</f>
        <v>43501450</v>
      </c>
      <c r="U64" s="20">
        <f t="shared" si="41"/>
        <v>41211900</v>
      </c>
      <c r="V64" s="20">
        <f t="shared" si="42"/>
        <v>38922350</v>
      </c>
      <c r="W64" s="20">
        <f t="shared" si="43"/>
        <v>36632800</v>
      </c>
      <c r="X64" s="20">
        <f t="shared" si="44"/>
        <v>34343250</v>
      </c>
      <c r="Y64" s="20">
        <f t="shared" si="45"/>
        <v>32053700</v>
      </c>
      <c r="Z64" s="20">
        <f t="shared" si="46"/>
        <v>29764150</v>
      </c>
      <c r="AA64" s="20">
        <f t="shared" si="47"/>
        <v>27474600</v>
      </c>
      <c r="AB64" s="20">
        <f t="shared" si="48"/>
        <v>25185050</v>
      </c>
      <c r="AC64" s="20">
        <f t="shared" si="49"/>
        <v>22895500</v>
      </c>
      <c r="AE64" s="21">
        <f>SUM(I54:I64)</f>
        <v>13682200</v>
      </c>
      <c r="AF64" s="21">
        <f>SUM(T54:T64)</f>
        <v>227464550</v>
      </c>
      <c r="AG64" s="21">
        <f t="shared" si="50"/>
        <v>32108800</v>
      </c>
    </row>
    <row r="65" spans="1:33" x14ac:dyDescent="0.2">
      <c r="A65">
        <v>12</v>
      </c>
      <c r="B65" t="s">
        <v>113</v>
      </c>
      <c r="C65" s="18" t="s">
        <v>100</v>
      </c>
      <c r="D65" s="22">
        <f>$D62</f>
        <v>3924000000</v>
      </c>
      <c r="E65" s="22">
        <f>$E62</f>
        <v>5268000000</v>
      </c>
      <c r="F65" s="22">
        <f>$F62</f>
        <v>7339000000</v>
      </c>
      <c r="G65" s="23">
        <f t="shared" si="52"/>
        <v>20</v>
      </c>
      <c r="H65" s="4">
        <v>42144000</v>
      </c>
      <c r="I65" s="20">
        <f t="shared" si="51"/>
        <v>2107200</v>
      </c>
      <c r="J65" s="20"/>
      <c r="K65" s="20"/>
      <c r="L65" s="20"/>
      <c r="M65" s="20"/>
      <c r="N65" s="20"/>
      <c r="O65" s="20"/>
      <c r="P65" s="20"/>
      <c r="Q65" s="20"/>
      <c r="R65" s="20"/>
      <c r="S65" s="20"/>
      <c r="T65" s="20"/>
      <c r="U65" s="20">
        <f>+H65-I65</f>
        <v>40036800</v>
      </c>
      <c r="V65" s="20">
        <f t="shared" si="42"/>
        <v>37929600</v>
      </c>
      <c r="W65" s="20">
        <f t="shared" si="43"/>
        <v>35822400</v>
      </c>
      <c r="X65" s="20">
        <f t="shared" si="44"/>
        <v>33715200</v>
      </c>
      <c r="Y65" s="20">
        <f t="shared" si="45"/>
        <v>31608000</v>
      </c>
      <c r="Z65" s="20">
        <f t="shared" si="46"/>
        <v>29500800</v>
      </c>
      <c r="AA65" s="20">
        <f t="shared" si="47"/>
        <v>27393600</v>
      </c>
      <c r="AB65" s="20">
        <f t="shared" si="48"/>
        <v>25286400</v>
      </c>
      <c r="AC65" s="20">
        <f t="shared" si="49"/>
        <v>23179200</v>
      </c>
      <c r="AE65" s="21">
        <f>SUM(I54:I65)</f>
        <v>15789400</v>
      </c>
      <c r="AF65" s="21">
        <f>SUM(U54:U65)</f>
        <v>253819150</v>
      </c>
      <c r="AG65" s="21">
        <f t="shared" si="50"/>
        <v>26354600</v>
      </c>
    </row>
    <row r="66" spans="1:33" x14ac:dyDescent="0.2">
      <c r="A66">
        <v>13</v>
      </c>
      <c r="B66" t="s">
        <v>113</v>
      </c>
      <c r="C66" s="18" t="s">
        <v>99</v>
      </c>
      <c r="D66" s="22">
        <f>$D62</f>
        <v>3924000000</v>
      </c>
      <c r="E66" s="22">
        <f>$E62</f>
        <v>5268000000</v>
      </c>
      <c r="F66" s="22">
        <f>$F62</f>
        <v>7339000000</v>
      </c>
      <c r="G66" s="23">
        <f t="shared" si="52"/>
        <v>20</v>
      </c>
      <c r="H66" s="4">
        <v>46462000</v>
      </c>
      <c r="I66" s="20">
        <f t="shared" si="51"/>
        <v>2323100</v>
      </c>
      <c r="J66" s="20"/>
      <c r="K66" s="20"/>
      <c r="L66" s="20"/>
      <c r="M66" s="20"/>
      <c r="N66" s="20"/>
      <c r="O66" s="20"/>
      <c r="P66" s="20"/>
      <c r="Q66" s="20"/>
      <c r="R66" s="20"/>
      <c r="S66" s="20"/>
      <c r="T66" s="20"/>
      <c r="U66" s="20"/>
      <c r="V66" s="20">
        <f>+H66-I66</f>
        <v>44138900</v>
      </c>
      <c r="W66" s="20">
        <f t="shared" si="43"/>
        <v>41815800</v>
      </c>
      <c r="X66" s="20">
        <f t="shared" si="44"/>
        <v>39492700</v>
      </c>
      <c r="Y66" s="20">
        <f t="shared" si="45"/>
        <v>37169600</v>
      </c>
      <c r="Z66" s="20">
        <f t="shared" si="46"/>
        <v>34846500</v>
      </c>
      <c r="AA66" s="20">
        <f t="shared" si="47"/>
        <v>32523400</v>
      </c>
      <c r="AB66" s="20">
        <f t="shared" si="48"/>
        <v>30200300</v>
      </c>
      <c r="AC66" s="20">
        <f t="shared" si="49"/>
        <v>27877200</v>
      </c>
      <c r="AE66" s="21">
        <f>SUM(I54:I66)</f>
        <v>18112500</v>
      </c>
      <c r="AF66" s="21">
        <f>SUM(V54:V66)</f>
        <v>282168650</v>
      </c>
      <c r="AG66" s="21">
        <f t="shared" si="50"/>
        <v>28349500</v>
      </c>
    </row>
    <row r="67" spans="1:33" x14ac:dyDescent="0.2">
      <c r="A67">
        <v>14</v>
      </c>
      <c r="B67" t="s">
        <v>113</v>
      </c>
      <c r="C67" s="18" t="s">
        <v>98</v>
      </c>
      <c r="D67" s="22">
        <f>$D62</f>
        <v>3924000000</v>
      </c>
      <c r="E67" s="22">
        <f>$E62</f>
        <v>5268000000</v>
      </c>
      <c r="F67" s="22">
        <f>$F62</f>
        <v>7339000000</v>
      </c>
      <c r="G67" s="23">
        <f t="shared" si="52"/>
        <v>20</v>
      </c>
      <c r="H67" s="4">
        <v>44722000</v>
      </c>
      <c r="I67" s="20">
        <f t="shared" si="51"/>
        <v>2236100</v>
      </c>
      <c r="J67" s="20"/>
      <c r="K67" s="20"/>
      <c r="L67" s="20"/>
      <c r="M67" s="20"/>
      <c r="N67" s="20"/>
      <c r="O67" s="20"/>
      <c r="P67" s="20"/>
      <c r="Q67" s="20"/>
      <c r="R67" s="20"/>
      <c r="S67" s="20"/>
      <c r="T67" s="20"/>
      <c r="U67" s="20"/>
      <c r="V67" s="20"/>
      <c r="W67" s="20">
        <f>+H67-I67</f>
        <v>42485900</v>
      </c>
      <c r="X67" s="20">
        <f t="shared" si="44"/>
        <v>40249800</v>
      </c>
      <c r="Y67" s="20">
        <f t="shared" si="45"/>
        <v>38013700</v>
      </c>
      <c r="Z67" s="20">
        <f t="shared" si="46"/>
        <v>35777600</v>
      </c>
      <c r="AA67" s="20">
        <f t="shared" si="47"/>
        <v>33541500</v>
      </c>
      <c r="AB67" s="20">
        <f t="shared" si="48"/>
        <v>31305400</v>
      </c>
      <c r="AC67" s="20">
        <f t="shared" si="49"/>
        <v>29069300</v>
      </c>
      <c r="AE67" s="21">
        <f>SUM(I54:I67)</f>
        <v>20348600</v>
      </c>
      <c r="AF67" s="21">
        <f>SUM(W54:W67)</f>
        <v>306542050</v>
      </c>
      <c r="AG67" s="21">
        <f t="shared" si="50"/>
        <v>24373400</v>
      </c>
    </row>
    <row r="68" spans="1:33" x14ac:dyDescent="0.2">
      <c r="A68">
        <v>15</v>
      </c>
      <c r="B68" t="s">
        <v>113</v>
      </c>
      <c r="C68" s="18" t="s">
        <v>97</v>
      </c>
      <c r="D68" s="22">
        <f>$D62</f>
        <v>3924000000</v>
      </c>
      <c r="E68" s="22">
        <f>$E62</f>
        <v>5268000000</v>
      </c>
      <c r="F68" s="22">
        <f>$F62</f>
        <v>7339000000</v>
      </c>
      <c r="G68" s="23">
        <f t="shared" si="52"/>
        <v>20</v>
      </c>
      <c r="H68" s="4">
        <v>40129000</v>
      </c>
      <c r="I68" s="20">
        <f t="shared" si="51"/>
        <v>2006450</v>
      </c>
      <c r="J68" s="20"/>
      <c r="K68" s="20"/>
      <c r="L68" s="20"/>
      <c r="M68" s="20"/>
      <c r="N68" s="20"/>
      <c r="O68" s="20"/>
      <c r="P68" s="20"/>
      <c r="Q68" s="20"/>
      <c r="R68" s="20"/>
      <c r="S68" s="20"/>
      <c r="T68" s="20"/>
      <c r="U68" s="20"/>
      <c r="V68" s="20"/>
      <c r="W68" s="20"/>
      <c r="X68" s="20">
        <f>+H68-I68</f>
        <v>38122550</v>
      </c>
      <c r="Y68" s="20">
        <f t="shared" si="45"/>
        <v>36116100</v>
      </c>
      <c r="Z68" s="20">
        <f t="shared" si="46"/>
        <v>34109650</v>
      </c>
      <c r="AA68" s="20">
        <f t="shared" si="47"/>
        <v>32103200</v>
      </c>
      <c r="AB68" s="20">
        <f t="shared" si="48"/>
        <v>30096750</v>
      </c>
      <c r="AC68" s="20">
        <f t="shared" si="49"/>
        <v>28090300</v>
      </c>
      <c r="AE68" s="21">
        <f>SUM(I54:I68)</f>
        <v>22355050</v>
      </c>
      <c r="AF68" s="21">
        <f>SUM(X54:X68)</f>
        <v>324316000</v>
      </c>
      <c r="AG68" s="21">
        <f t="shared" si="50"/>
        <v>17773950</v>
      </c>
    </row>
    <row r="69" spans="1:33" x14ac:dyDescent="0.2">
      <c r="A69">
        <v>16</v>
      </c>
      <c r="B69" t="s">
        <v>113</v>
      </c>
      <c r="C69" s="18" t="s">
        <v>96</v>
      </c>
      <c r="D69" s="22">
        <f>$D62</f>
        <v>3924000000</v>
      </c>
      <c r="E69" s="22">
        <f>$E62</f>
        <v>5268000000</v>
      </c>
      <c r="F69" s="22">
        <f>$F62</f>
        <v>7339000000</v>
      </c>
      <c r="G69" s="23">
        <f t="shared" si="52"/>
        <v>20</v>
      </c>
      <c r="H69" s="4">
        <v>43592000</v>
      </c>
      <c r="I69" s="20">
        <f t="shared" si="51"/>
        <v>2179600</v>
      </c>
      <c r="J69" s="20"/>
      <c r="K69" s="20"/>
      <c r="L69" s="20"/>
      <c r="M69" s="20"/>
      <c r="N69" s="20"/>
      <c r="O69" s="20"/>
      <c r="P69" s="20"/>
      <c r="Q69" s="20"/>
      <c r="R69" s="20"/>
      <c r="S69" s="20"/>
      <c r="T69" s="20"/>
      <c r="U69" s="20"/>
      <c r="V69" s="20"/>
      <c r="W69" s="20"/>
      <c r="X69" s="20"/>
      <c r="Y69" s="20">
        <f>+H69-I69</f>
        <v>41412400</v>
      </c>
      <c r="Z69" s="20">
        <f t="shared" si="46"/>
        <v>39232800</v>
      </c>
      <c r="AA69" s="20">
        <f t="shared" si="47"/>
        <v>37053200</v>
      </c>
      <c r="AB69" s="20">
        <f t="shared" si="48"/>
        <v>34873600</v>
      </c>
      <c r="AC69" s="20">
        <f t="shared" si="49"/>
        <v>32694000</v>
      </c>
      <c r="AE69" s="21">
        <f>SUM(I54:I69)</f>
        <v>24534650</v>
      </c>
      <c r="AF69" s="21">
        <f>SUM(Y54:Y69)</f>
        <v>343373350</v>
      </c>
      <c r="AG69" s="21">
        <f t="shared" si="50"/>
        <v>19057350</v>
      </c>
    </row>
    <row r="70" spans="1:33" x14ac:dyDescent="0.2">
      <c r="A70">
        <v>17</v>
      </c>
      <c r="B70" t="s">
        <v>113</v>
      </c>
      <c r="C70" s="18" t="s">
        <v>95</v>
      </c>
      <c r="D70" s="22">
        <f>$D62</f>
        <v>3924000000</v>
      </c>
      <c r="E70" s="22">
        <f>$E62</f>
        <v>5268000000</v>
      </c>
      <c r="F70" s="22">
        <f>$F62</f>
        <v>7339000000</v>
      </c>
      <c r="G70" s="23">
        <f t="shared" si="52"/>
        <v>20</v>
      </c>
      <c r="H70" s="4">
        <v>61540000</v>
      </c>
      <c r="I70" s="20">
        <f t="shared" si="51"/>
        <v>3077000</v>
      </c>
      <c r="J70" s="20"/>
      <c r="K70" s="20"/>
      <c r="L70" s="20"/>
      <c r="M70" s="20"/>
      <c r="N70" s="20"/>
      <c r="O70" s="20"/>
      <c r="P70" s="20"/>
      <c r="Q70" s="20"/>
      <c r="R70" s="20"/>
      <c r="S70" s="20"/>
      <c r="T70" s="20"/>
      <c r="U70" s="20"/>
      <c r="V70" s="20"/>
      <c r="W70" s="20"/>
      <c r="X70" s="20"/>
      <c r="Y70" s="20"/>
      <c r="Z70" s="20">
        <f>+H70-I70</f>
        <v>58463000</v>
      </c>
      <c r="AA70" s="20">
        <f t="shared" si="47"/>
        <v>55386000</v>
      </c>
      <c r="AB70" s="20">
        <f t="shared" si="48"/>
        <v>52309000</v>
      </c>
      <c r="AC70" s="20">
        <f t="shared" si="49"/>
        <v>49232000</v>
      </c>
      <c r="AE70" s="21">
        <f>SUM(I54:I70)</f>
        <v>27611650</v>
      </c>
      <c r="AF70" s="21">
        <f>SUM(Z54:Z70)</f>
        <v>377301700</v>
      </c>
      <c r="AG70" s="21">
        <f t="shared" si="50"/>
        <v>33928350</v>
      </c>
    </row>
    <row r="71" spans="1:33" x14ac:dyDescent="0.2">
      <c r="A71">
        <v>18</v>
      </c>
      <c r="B71" t="s">
        <v>113</v>
      </c>
      <c r="C71" s="18" t="s">
        <v>94</v>
      </c>
      <c r="D71" s="22">
        <f>$D62</f>
        <v>3924000000</v>
      </c>
      <c r="E71" s="22">
        <f>$E62</f>
        <v>5268000000</v>
      </c>
      <c r="F71" s="22">
        <f>$F62</f>
        <v>7339000000</v>
      </c>
      <c r="G71" s="23">
        <f t="shared" si="52"/>
        <v>20</v>
      </c>
      <c r="H71" s="4">
        <v>52147000</v>
      </c>
      <c r="I71" s="20">
        <f t="shared" si="51"/>
        <v>2607350</v>
      </c>
      <c r="J71" s="20"/>
      <c r="K71" s="20"/>
      <c r="L71" s="20"/>
      <c r="M71" s="20"/>
      <c r="N71" s="20"/>
      <c r="O71" s="20"/>
      <c r="P71" s="20"/>
      <c r="Q71" s="20"/>
      <c r="R71" s="20"/>
      <c r="S71" s="20"/>
      <c r="T71" s="20"/>
      <c r="U71" s="20"/>
      <c r="V71" s="20"/>
      <c r="W71" s="20"/>
      <c r="X71" s="20"/>
      <c r="Y71" s="20"/>
      <c r="Z71" s="20"/>
      <c r="AA71" s="20">
        <f>+H71-I71</f>
        <v>49539650</v>
      </c>
      <c r="AB71" s="20">
        <f t="shared" si="48"/>
        <v>46932300</v>
      </c>
      <c r="AC71" s="20">
        <f t="shared" si="49"/>
        <v>44324950</v>
      </c>
      <c r="AE71" s="21">
        <f>SUM(I54:I71)</f>
        <v>30219000</v>
      </c>
      <c r="AF71" s="21">
        <f>SUM(AA54:AA71)</f>
        <v>399229700</v>
      </c>
      <c r="AG71" s="21">
        <f t="shared" si="50"/>
        <v>21928000</v>
      </c>
    </row>
    <row r="72" spans="1:33" x14ac:dyDescent="0.2">
      <c r="A72">
        <v>19</v>
      </c>
      <c r="B72" t="s">
        <v>113</v>
      </c>
      <c r="C72" s="18" t="s">
        <v>93</v>
      </c>
      <c r="D72" s="22">
        <f>$D62</f>
        <v>3924000000</v>
      </c>
      <c r="E72" s="22">
        <f>$E62</f>
        <v>5268000000</v>
      </c>
      <c r="F72" s="22">
        <f>$F62</f>
        <v>7339000000</v>
      </c>
      <c r="G72" s="23">
        <f t="shared" si="52"/>
        <v>20</v>
      </c>
      <c r="H72" s="4">
        <v>58734000</v>
      </c>
      <c r="I72" s="20">
        <f t="shared" si="51"/>
        <v>2936700</v>
      </c>
      <c r="J72" s="20"/>
      <c r="K72" s="20"/>
      <c r="L72" s="20"/>
      <c r="M72" s="20"/>
      <c r="N72" s="20"/>
      <c r="O72" s="20"/>
      <c r="P72" s="20"/>
      <c r="Q72" s="20"/>
      <c r="R72" s="20"/>
      <c r="S72" s="20"/>
      <c r="T72" s="20"/>
      <c r="U72" s="20"/>
      <c r="V72" s="20"/>
      <c r="W72" s="20"/>
      <c r="X72" s="20"/>
      <c r="Y72" s="20"/>
      <c r="Z72" s="20"/>
      <c r="AA72" s="20"/>
      <c r="AB72" s="20">
        <f>+H72-I72</f>
        <v>55797300</v>
      </c>
      <c r="AC72" s="20">
        <f t="shared" si="49"/>
        <v>52860600</v>
      </c>
      <c r="AE72" s="21">
        <f>SUM(I54:I72)</f>
        <v>33155700</v>
      </c>
      <c r="AF72" s="21">
        <f>SUM(AB54:AB72)</f>
        <v>424808000</v>
      </c>
      <c r="AG72" s="21">
        <f t="shared" si="50"/>
        <v>25578300</v>
      </c>
    </row>
    <row r="73" spans="1:33" x14ac:dyDescent="0.2">
      <c r="A73">
        <v>20</v>
      </c>
      <c r="B73" t="s">
        <v>113</v>
      </c>
      <c r="C73" s="18" t="s">
        <v>141</v>
      </c>
      <c r="D73" s="22">
        <f>$D62</f>
        <v>3924000000</v>
      </c>
      <c r="E73" s="22">
        <f>$E62</f>
        <v>5268000000</v>
      </c>
      <c r="F73" s="22">
        <f>$F62</f>
        <v>7339000000</v>
      </c>
      <c r="G73" s="23">
        <f t="shared" si="52"/>
        <v>20</v>
      </c>
      <c r="H73" s="4">
        <v>43006000</v>
      </c>
      <c r="I73" s="20">
        <f t="shared" si="51"/>
        <v>2150300</v>
      </c>
      <c r="J73" s="20"/>
      <c r="K73" s="20"/>
      <c r="L73" s="20"/>
      <c r="M73" s="20"/>
      <c r="N73" s="20"/>
      <c r="O73" s="20"/>
      <c r="P73" s="20"/>
      <c r="Q73" s="20"/>
      <c r="R73" s="20"/>
      <c r="S73" s="20"/>
      <c r="T73" s="20"/>
      <c r="U73" s="20"/>
      <c r="V73" s="20"/>
      <c r="W73" s="20"/>
      <c r="X73" s="20"/>
      <c r="Y73" s="20"/>
      <c r="Z73" s="20"/>
      <c r="AA73" s="20"/>
      <c r="AB73" s="20"/>
      <c r="AC73" s="20">
        <f>+H73-I73</f>
        <v>40855700</v>
      </c>
      <c r="AE73" s="21">
        <f>SUM(I54:I73)</f>
        <v>35306000</v>
      </c>
      <c r="AF73" s="21">
        <f>SUM(AC54:AC73)</f>
        <v>432508000</v>
      </c>
      <c r="AG73" s="21">
        <f t="shared" si="50"/>
        <v>7700000</v>
      </c>
    </row>
    <row r="76" spans="1:33" x14ac:dyDescent="0.2">
      <c r="C76" t="s">
        <v>143</v>
      </c>
    </row>
    <row r="77" spans="1:33" x14ac:dyDescent="0.2">
      <c r="C77" s="6" t="s">
        <v>107</v>
      </c>
      <c r="D77" s="6" t="s">
        <v>439</v>
      </c>
      <c r="E77" s="6" t="s">
        <v>440</v>
      </c>
      <c r="F77" s="6" t="s">
        <v>471</v>
      </c>
      <c r="G77" s="6" t="s">
        <v>441</v>
      </c>
      <c r="H77" s="6" t="s">
        <v>442</v>
      </c>
      <c r="I77" s="15"/>
      <c r="J77" s="6" t="s">
        <v>443</v>
      </c>
      <c r="K77" s="6" t="s">
        <v>444</v>
      </c>
      <c r="L77" s="6" t="s">
        <v>445</v>
      </c>
      <c r="M77" s="6" t="s">
        <v>446</v>
      </c>
      <c r="N77" s="6" t="s">
        <v>447</v>
      </c>
      <c r="O77" s="6" t="s">
        <v>448</v>
      </c>
      <c r="P77" s="6" t="s">
        <v>449</v>
      </c>
      <c r="Q77" s="6" t="s">
        <v>450</v>
      </c>
      <c r="R77" s="6" t="s">
        <v>451</v>
      </c>
      <c r="S77" s="6" t="s">
        <v>452</v>
      </c>
      <c r="T77" s="6" t="s">
        <v>453</v>
      </c>
      <c r="U77" s="6" t="s">
        <v>454</v>
      </c>
      <c r="V77" s="6" t="s">
        <v>455</v>
      </c>
      <c r="W77" s="6" t="s">
        <v>456</v>
      </c>
      <c r="X77" s="6" t="s">
        <v>457</v>
      </c>
      <c r="Y77" s="6" t="s">
        <v>458</v>
      </c>
      <c r="Z77" s="6" t="s">
        <v>459</v>
      </c>
      <c r="AA77" s="6" t="s">
        <v>460</v>
      </c>
      <c r="AB77" s="6" t="s">
        <v>461</v>
      </c>
      <c r="AC77" s="6" t="s">
        <v>462</v>
      </c>
      <c r="AD77" s="15"/>
      <c r="AE77" s="6" t="s">
        <v>106</v>
      </c>
      <c r="AF77" s="6" t="s">
        <v>105</v>
      </c>
      <c r="AG77" s="6" t="s">
        <v>463</v>
      </c>
    </row>
    <row r="78" spans="1:33" x14ac:dyDescent="0.2">
      <c r="C78" s="16" t="s">
        <v>464</v>
      </c>
      <c r="J78" s="17">
        <v>20</v>
      </c>
      <c r="K78" s="17">
        <v>19</v>
      </c>
      <c r="L78" s="17">
        <v>18</v>
      </c>
      <c r="M78" s="17">
        <v>17</v>
      </c>
      <c r="N78" s="17">
        <v>16</v>
      </c>
      <c r="O78" s="17">
        <v>15</v>
      </c>
      <c r="P78" s="17">
        <v>14</v>
      </c>
      <c r="Q78" s="17">
        <v>13</v>
      </c>
      <c r="R78" s="17">
        <v>12</v>
      </c>
      <c r="S78" s="17">
        <v>11</v>
      </c>
      <c r="T78" s="17">
        <v>10</v>
      </c>
      <c r="U78" s="17">
        <v>9</v>
      </c>
      <c r="V78" s="17">
        <v>8</v>
      </c>
      <c r="W78" s="17">
        <v>7</v>
      </c>
      <c r="X78" s="17">
        <v>6</v>
      </c>
      <c r="Y78" s="17">
        <v>5</v>
      </c>
      <c r="Z78" s="17">
        <v>4</v>
      </c>
      <c r="AA78" s="17">
        <v>3</v>
      </c>
      <c r="AB78" s="17">
        <v>2</v>
      </c>
      <c r="AC78" s="17">
        <v>1</v>
      </c>
    </row>
    <row r="79" spans="1:33" x14ac:dyDescent="0.2">
      <c r="A79">
        <v>1</v>
      </c>
      <c r="B79" t="s">
        <v>143</v>
      </c>
      <c r="C79" s="18" t="s">
        <v>484</v>
      </c>
      <c r="G79" s="23">
        <f t="shared" ref="G79:G86" si="53">$G$13</f>
        <v>20</v>
      </c>
      <c r="H79" s="4">
        <v>644250000</v>
      </c>
      <c r="I79" s="20">
        <f>+H79/20</f>
        <v>32212500</v>
      </c>
      <c r="J79" s="20">
        <f>+H79-$I79</f>
        <v>612037500</v>
      </c>
      <c r="K79" s="20">
        <f>+J79-$I79</f>
        <v>579825000</v>
      </c>
      <c r="L79" s="20">
        <f t="shared" ref="L79" si="54">+K79-$I79</f>
        <v>547612500</v>
      </c>
      <c r="M79" s="20">
        <f t="shared" ref="M79:M80" si="55">+L79-$I79</f>
        <v>515400000</v>
      </c>
      <c r="N79" s="20">
        <f t="shared" ref="N79:N81" si="56">+M79-$I79</f>
        <v>483187500</v>
      </c>
      <c r="O79" s="20">
        <f t="shared" ref="O79:O83" si="57">+N79-$I79</f>
        <v>450975000</v>
      </c>
      <c r="P79" s="20">
        <f t="shared" ref="P79:P84" si="58">+O79-$I79</f>
        <v>418762500</v>
      </c>
      <c r="Q79" s="20">
        <f t="shared" ref="Q79:Q85" si="59">+P79-$I79</f>
        <v>386550000</v>
      </c>
      <c r="R79" s="20">
        <f t="shared" ref="R79:R86" si="60">+Q79-$I79</f>
        <v>354337500</v>
      </c>
      <c r="S79" s="20">
        <f t="shared" ref="S79:S87" si="61">+R79-$I79</f>
        <v>322125000</v>
      </c>
      <c r="T79" s="20">
        <f t="shared" ref="T79:T88" si="62">+S79-$I79</f>
        <v>289912500</v>
      </c>
      <c r="U79" s="20">
        <f t="shared" ref="U79:U89" si="63">+T79-$I79</f>
        <v>257700000</v>
      </c>
      <c r="V79" s="20">
        <f t="shared" ref="V79:V90" si="64">+U79-$I79</f>
        <v>225487500</v>
      </c>
      <c r="W79" s="20">
        <f t="shared" ref="W79:W91" si="65">+V79-$I79</f>
        <v>193275000</v>
      </c>
      <c r="X79" s="20">
        <f t="shared" ref="X79:X92" si="66">+W79-$I79</f>
        <v>161062500</v>
      </c>
      <c r="Y79" s="20">
        <f t="shared" ref="Y79:Y93" si="67">+X79-$I79</f>
        <v>128850000</v>
      </c>
      <c r="Z79" s="20">
        <f t="shared" ref="Z79:Z94" si="68">+Y79-$I79</f>
        <v>96637500</v>
      </c>
      <c r="AA79" s="20">
        <f t="shared" ref="AA79:AA95" si="69">+Z79-$I79</f>
        <v>64425000</v>
      </c>
      <c r="AB79" s="20">
        <f t="shared" ref="AB79:AB96" si="70">+AA79-$I79</f>
        <v>32212500</v>
      </c>
      <c r="AC79" s="20">
        <f t="shared" ref="AC79:AC97" si="71">+AB79-$I79</f>
        <v>0</v>
      </c>
      <c r="AE79" s="21">
        <f>SUM(I79)</f>
        <v>32212500</v>
      </c>
      <c r="AF79" s="21">
        <f>SUM(J79:J79)</f>
        <v>612037500</v>
      </c>
      <c r="AG79" s="21">
        <f t="shared" ref="AG79:AG98" si="72">H79-AE79</f>
        <v>612037500</v>
      </c>
    </row>
    <row r="80" spans="1:33" x14ac:dyDescent="0.2">
      <c r="A80">
        <v>2</v>
      </c>
      <c r="B80" t="s">
        <v>143</v>
      </c>
      <c r="C80" s="18" t="s">
        <v>485</v>
      </c>
      <c r="G80" s="23">
        <f t="shared" si="53"/>
        <v>20</v>
      </c>
      <c r="H80" s="4">
        <v>644250000</v>
      </c>
      <c r="I80" s="20">
        <f t="shared" ref="I80:I98" si="73">+H80/20</f>
        <v>32212500</v>
      </c>
      <c r="J80" s="20"/>
      <c r="K80" s="20">
        <f>+H80-I80</f>
        <v>612037500</v>
      </c>
      <c r="L80" s="20">
        <f>+K80-$I80</f>
        <v>579825000</v>
      </c>
      <c r="M80" s="20">
        <f t="shared" si="55"/>
        <v>547612500</v>
      </c>
      <c r="N80" s="20">
        <f t="shared" si="56"/>
        <v>515400000</v>
      </c>
      <c r="O80" s="20">
        <f t="shared" si="57"/>
        <v>483187500</v>
      </c>
      <c r="P80" s="20">
        <f t="shared" si="58"/>
        <v>450975000</v>
      </c>
      <c r="Q80" s="20">
        <f t="shared" si="59"/>
        <v>418762500</v>
      </c>
      <c r="R80" s="20">
        <f t="shared" si="60"/>
        <v>386550000</v>
      </c>
      <c r="S80" s="20">
        <f t="shared" si="61"/>
        <v>354337500</v>
      </c>
      <c r="T80" s="20">
        <f t="shared" si="62"/>
        <v>322125000</v>
      </c>
      <c r="U80" s="20">
        <f t="shared" si="63"/>
        <v>289912500</v>
      </c>
      <c r="V80" s="20">
        <f t="shared" si="64"/>
        <v>257700000</v>
      </c>
      <c r="W80" s="20">
        <f t="shared" si="65"/>
        <v>225487500</v>
      </c>
      <c r="X80" s="20">
        <f t="shared" si="66"/>
        <v>193275000</v>
      </c>
      <c r="Y80" s="20">
        <f t="shared" si="67"/>
        <v>161062500</v>
      </c>
      <c r="Z80" s="20">
        <f t="shared" si="68"/>
        <v>128850000</v>
      </c>
      <c r="AA80" s="20">
        <f t="shared" si="69"/>
        <v>96637500</v>
      </c>
      <c r="AB80" s="20">
        <f t="shared" si="70"/>
        <v>64425000</v>
      </c>
      <c r="AC80" s="20">
        <f t="shared" si="71"/>
        <v>32212500</v>
      </c>
      <c r="AE80" s="21">
        <f>SUM(I79:I80)</f>
        <v>64425000</v>
      </c>
      <c r="AF80" s="21">
        <f>SUM(K79:K80)</f>
        <v>1191862500</v>
      </c>
      <c r="AG80" s="21">
        <f t="shared" si="72"/>
        <v>579825000</v>
      </c>
    </row>
    <row r="81" spans="1:33" x14ac:dyDescent="0.2">
      <c r="A81">
        <v>3</v>
      </c>
      <c r="B81" t="s">
        <v>143</v>
      </c>
      <c r="C81" s="18" t="s">
        <v>486</v>
      </c>
      <c r="G81" s="23">
        <f t="shared" si="53"/>
        <v>20</v>
      </c>
      <c r="H81" s="4">
        <v>644250000</v>
      </c>
      <c r="I81" s="20">
        <f t="shared" si="73"/>
        <v>32212500</v>
      </c>
      <c r="J81" s="20"/>
      <c r="K81" s="20"/>
      <c r="L81" s="20">
        <f>+H81-I81</f>
        <v>612037500</v>
      </c>
      <c r="M81" s="20">
        <f>+L81-$I81</f>
        <v>579825000</v>
      </c>
      <c r="N81" s="20">
        <f t="shared" si="56"/>
        <v>547612500</v>
      </c>
      <c r="O81" s="20">
        <f t="shared" si="57"/>
        <v>515400000</v>
      </c>
      <c r="P81" s="20">
        <f t="shared" si="58"/>
        <v>483187500</v>
      </c>
      <c r="Q81" s="20">
        <f t="shared" si="59"/>
        <v>450975000</v>
      </c>
      <c r="R81" s="20">
        <f t="shared" si="60"/>
        <v>418762500</v>
      </c>
      <c r="S81" s="20">
        <f t="shared" si="61"/>
        <v>386550000</v>
      </c>
      <c r="T81" s="20">
        <f t="shared" si="62"/>
        <v>354337500</v>
      </c>
      <c r="U81" s="20">
        <f t="shared" si="63"/>
        <v>322125000</v>
      </c>
      <c r="V81" s="20">
        <f t="shared" si="64"/>
        <v>289912500</v>
      </c>
      <c r="W81" s="20">
        <f t="shared" si="65"/>
        <v>257700000</v>
      </c>
      <c r="X81" s="20">
        <f t="shared" si="66"/>
        <v>225487500</v>
      </c>
      <c r="Y81" s="20">
        <f t="shared" si="67"/>
        <v>193275000</v>
      </c>
      <c r="Z81" s="20">
        <f t="shared" si="68"/>
        <v>161062500</v>
      </c>
      <c r="AA81" s="20">
        <f t="shared" si="69"/>
        <v>128850000</v>
      </c>
      <c r="AB81" s="20">
        <f t="shared" si="70"/>
        <v>96637500</v>
      </c>
      <c r="AC81" s="20">
        <f t="shared" si="71"/>
        <v>64425000</v>
      </c>
      <c r="AE81" s="21">
        <f>SUM(I79:I81)</f>
        <v>96637500</v>
      </c>
      <c r="AF81" s="21">
        <f>SUM(L79:L81)</f>
        <v>1739475000</v>
      </c>
      <c r="AG81" s="21">
        <f t="shared" si="72"/>
        <v>547612500</v>
      </c>
    </row>
    <row r="82" spans="1:33" x14ac:dyDescent="0.2">
      <c r="A82">
        <v>4</v>
      </c>
      <c r="B82" t="s">
        <v>143</v>
      </c>
      <c r="C82" s="18" t="s">
        <v>487</v>
      </c>
      <c r="G82" s="23">
        <f t="shared" si="53"/>
        <v>20</v>
      </c>
      <c r="H82" s="4">
        <v>644250000</v>
      </c>
      <c r="I82" s="20">
        <f t="shared" si="73"/>
        <v>32212500</v>
      </c>
      <c r="J82" s="20"/>
      <c r="K82" s="20"/>
      <c r="L82" s="20"/>
      <c r="M82" s="20">
        <f>+H82-I82</f>
        <v>612037500</v>
      </c>
      <c r="N82" s="20">
        <f>+M82-$I82</f>
        <v>579825000</v>
      </c>
      <c r="O82" s="20">
        <f t="shared" si="57"/>
        <v>547612500</v>
      </c>
      <c r="P82" s="20">
        <f t="shared" si="58"/>
        <v>515400000</v>
      </c>
      <c r="Q82" s="20">
        <f t="shared" si="59"/>
        <v>483187500</v>
      </c>
      <c r="R82" s="20">
        <f t="shared" si="60"/>
        <v>450975000</v>
      </c>
      <c r="S82" s="20">
        <f t="shared" si="61"/>
        <v>418762500</v>
      </c>
      <c r="T82" s="20">
        <f t="shared" si="62"/>
        <v>386550000</v>
      </c>
      <c r="U82" s="20">
        <f t="shared" si="63"/>
        <v>354337500</v>
      </c>
      <c r="V82" s="20">
        <f t="shared" si="64"/>
        <v>322125000</v>
      </c>
      <c r="W82" s="20">
        <f t="shared" si="65"/>
        <v>289912500</v>
      </c>
      <c r="X82" s="20">
        <f t="shared" si="66"/>
        <v>257700000</v>
      </c>
      <c r="Y82" s="20">
        <f t="shared" si="67"/>
        <v>225487500</v>
      </c>
      <c r="Z82" s="20">
        <f t="shared" si="68"/>
        <v>193275000</v>
      </c>
      <c r="AA82" s="20">
        <f t="shared" si="69"/>
        <v>161062500</v>
      </c>
      <c r="AB82" s="20">
        <f t="shared" si="70"/>
        <v>128850000</v>
      </c>
      <c r="AC82" s="20">
        <f t="shared" si="71"/>
        <v>96637500</v>
      </c>
      <c r="AE82" s="21">
        <f>SUM(I79:I82)</f>
        <v>128850000</v>
      </c>
      <c r="AF82" s="21">
        <f>SUM(M79:M82)</f>
        <v>2254875000</v>
      </c>
      <c r="AG82" s="21">
        <f t="shared" si="72"/>
        <v>515400000</v>
      </c>
    </row>
    <row r="83" spans="1:33" x14ac:dyDescent="0.2">
      <c r="A83">
        <v>5</v>
      </c>
      <c r="B83" t="s">
        <v>143</v>
      </c>
      <c r="C83" s="18" t="s">
        <v>104</v>
      </c>
      <c r="G83" s="23">
        <f t="shared" si="53"/>
        <v>20</v>
      </c>
      <c r="H83" s="4">
        <v>681000000</v>
      </c>
      <c r="I83" s="20">
        <f t="shared" si="73"/>
        <v>34050000</v>
      </c>
      <c r="J83" s="20"/>
      <c r="K83" s="20"/>
      <c r="L83" s="20"/>
      <c r="M83" s="20"/>
      <c r="N83" s="20">
        <f>+H83-I83</f>
        <v>646950000</v>
      </c>
      <c r="O83" s="20">
        <f t="shared" si="57"/>
        <v>612900000</v>
      </c>
      <c r="P83" s="20">
        <f t="shared" si="58"/>
        <v>578850000</v>
      </c>
      <c r="Q83" s="20">
        <f t="shared" si="59"/>
        <v>544800000</v>
      </c>
      <c r="R83" s="20">
        <f t="shared" si="60"/>
        <v>510750000</v>
      </c>
      <c r="S83" s="20">
        <f t="shared" si="61"/>
        <v>476700000</v>
      </c>
      <c r="T83" s="20">
        <f t="shared" si="62"/>
        <v>442650000</v>
      </c>
      <c r="U83" s="20">
        <f t="shared" si="63"/>
        <v>408600000</v>
      </c>
      <c r="V83" s="20">
        <f t="shared" si="64"/>
        <v>374550000</v>
      </c>
      <c r="W83" s="20">
        <f t="shared" si="65"/>
        <v>340500000</v>
      </c>
      <c r="X83" s="20">
        <f t="shared" si="66"/>
        <v>306450000</v>
      </c>
      <c r="Y83" s="20">
        <f t="shared" si="67"/>
        <v>272400000</v>
      </c>
      <c r="Z83" s="20">
        <f t="shared" si="68"/>
        <v>238350000</v>
      </c>
      <c r="AA83" s="20">
        <f t="shared" si="69"/>
        <v>204300000</v>
      </c>
      <c r="AB83" s="20">
        <f t="shared" si="70"/>
        <v>170250000</v>
      </c>
      <c r="AC83" s="20">
        <f t="shared" si="71"/>
        <v>136200000</v>
      </c>
      <c r="AE83" s="21">
        <f>SUM(I79:I83)</f>
        <v>162900000</v>
      </c>
      <c r="AF83" s="21">
        <f>SUM(N79:N83)</f>
        <v>2772975000</v>
      </c>
      <c r="AG83" s="21">
        <f t="shared" si="72"/>
        <v>518100000</v>
      </c>
    </row>
    <row r="84" spans="1:33" x14ac:dyDescent="0.2">
      <c r="A84">
        <v>6</v>
      </c>
      <c r="B84" t="s">
        <v>143</v>
      </c>
      <c r="C84" s="18" t="s">
        <v>103</v>
      </c>
      <c r="G84" s="23">
        <f t="shared" si="53"/>
        <v>20</v>
      </c>
      <c r="H84" s="4">
        <v>626000000</v>
      </c>
      <c r="I84" s="20">
        <f t="shared" si="73"/>
        <v>31300000</v>
      </c>
      <c r="J84" s="20"/>
      <c r="K84" s="20"/>
      <c r="L84" s="20"/>
      <c r="M84" s="20"/>
      <c r="N84" s="20"/>
      <c r="O84" s="20">
        <f>+H84-I84</f>
        <v>594700000</v>
      </c>
      <c r="P84" s="20">
        <f t="shared" si="58"/>
        <v>563400000</v>
      </c>
      <c r="Q84" s="20">
        <f t="shared" si="59"/>
        <v>532100000</v>
      </c>
      <c r="R84" s="20">
        <f t="shared" si="60"/>
        <v>500800000</v>
      </c>
      <c r="S84" s="20">
        <f t="shared" si="61"/>
        <v>469500000</v>
      </c>
      <c r="T84" s="20">
        <f t="shared" si="62"/>
        <v>438200000</v>
      </c>
      <c r="U84" s="20">
        <f t="shared" si="63"/>
        <v>406900000</v>
      </c>
      <c r="V84" s="20">
        <f t="shared" si="64"/>
        <v>375600000</v>
      </c>
      <c r="W84" s="20">
        <f t="shared" si="65"/>
        <v>344300000</v>
      </c>
      <c r="X84" s="20">
        <f t="shared" si="66"/>
        <v>313000000</v>
      </c>
      <c r="Y84" s="20">
        <f t="shared" si="67"/>
        <v>281700000</v>
      </c>
      <c r="Z84" s="20">
        <f t="shared" si="68"/>
        <v>250400000</v>
      </c>
      <c r="AA84" s="20">
        <f t="shared" si="69"/>
        <v>219100000</v>
      </c>
      <c r="AB84" s="20">
        <f t="shared" si="70"/>
        <v>187800000</v>
      </c>
      <c r="AC84" s="20">
        <f t="shared" si="71"/>
        <v>156500000</v>
      </c>
      <c r="AE84" s="21">
        <f>SUM(I79:I84)</f>
        <v>194200000</v>
      </c>
      <c r="AF84" s="21">
        <f>SUM(O79:O84)</f>
        <v>3204775000</v>
      </c>
      <c r="AG84" s="21">
        <f t="shared" si="72"/>
        <v>431800000</v>
      </c>
    </row>
    <row r="85" spans="1:33" x14ac:dyDescent="0.2">
      <c r="A85">
        <v>7</v>
      </c>
      <c r="B85" t="s">
        <v>143</v>
      </c>
      <c r="C85" s="18" t="s">
        <v>102</v>
      </c>
      <c r="G85" s="23">
        <f t="shared" si="53"/>
        <v>20</v>
      </c>
      <c r="H85" s="4">
        <v>677000000</v>
      </c>
      <c r="I85" s="20">
        <f t="shared" si="73"/>
        <v>33850000</v>
      </c>
      <c r="J85" s="20"/>
      <c r="K85" s="20"/>
      <c r="L85" s="20"/>
      <c r="M85" s="20"/>
      <c r="N85" s="20"/>
      <c r="O85" s="20"/>
      <c r="P85" s="20">
        <f>+H85-I85</f>
        <v>643150000</v>
      </c>
      <c r="Q85" s="20">
        <f t="shared" si="59"/>
        <v>609300000</v>
      </c>
      <c r="R85" s="20">
        <f t="shared" si="60"/>
        <v>575450000</v>
      </c>
      <c r="S85" s="20">
        <f t="shared" si="61"/>
        <v>541600000</v>
      </c>
      <c r="T85" s="20">
        <f t="shared" si="62"/>
        <v>507750000</v>
      </c>
      <c r="U85" s="20">
        <f t="shared" si="63"/>
        <v>473900000</v>
      </c>
      <c r="V85" s="20">
        <f t="shared" si="64"/>
        <v>440050000</v>
      </c>
      <c r="W85" s="20">
        <f t="shared" si="65"/>
        <v>406200000</v>
      </c>
      <c r="X85" s="20">
        <f t="shared" si="66"/>
        <v>372350000</v>
      </c>
      <c r="Y85" s="20">
        <f t="shared" si="67"/>
        <v>338500000</v>
      </c>
      <c r="Z85" s="20">
        <f t="shared" si="68"/>
        <v>304650000</v>
      </c>
      <c r="AA85" s="20">
        <f t="shared" si="69"/>
        <v>270800000</v>
      </c>
      <c r="AB85" s="20">
        <f t="shared" si="70"/>
        <v>236950000</v>
      </c>
      <c r="AC85" s="20">
        <f t="shared" si="71"/>
        <v>203100000</v>
      </c>
      <c r="AE85" s="21">
        <f>SUM(I79:I85)</f>
        <v>228050000</v>
      </c>
      <c r="AF85" s="21">
        <f>SUM(P79:P85)</f>
        <v>3653725000</v>
      </c>
      <c r="AG85" s="21">
        <f t="shared" si="72"/>
        <v>448950000</v>
      </c>
    </row>
    <row r="86" spans="1:33" x14ac:dyDescent="0.2">
      <c r="A86">
        <v>8</v>
      </c>
      <c r="B86" t="s">
        <v>143</v>
      </c>
      <c r="C86" s="18" t="s">
        <v>101</v>
      </c>
      <c r="G86" s="23">
        <f t="shared" si="53"/>
        <v>20</v>
      </c>
      <c r="H86" s="4">
        <v>795000000</v>
      </c>
      <c r="I86" s="20">
        <f t="shared" si="73"/>
        <v>39750000</v>
      </c>
      <c r="J86" s="20"/>
      <c r="K86" s="20"/>
      <c r="L86" s="20"/>
      <c r="M86" s="20"/>
      <c r="N86" s="20"/>
      <c r="O86" s="20"/>
      <c r="P86" s="20"/>
      <c r="Q86" s="20">
        <f>+H86-I86</f>
        <v>755250000</v>
      </c>
      <c r="R86" s="20">
        <f t="shared" si="60"/>
        <v>715500000</v>
      </c>
      <c r="S86" s="20">
        <f t="shared" si="61"/>
        <v>675750000</v>
      </c>
      <c r="T86" s="20">
        <f t="shared" si="62"/>
        <v>636000000</v>
      </c>
      <c r="U86" s="20">
        <f t="shared" si="63"/>
        <v>596250000</v>
      </c>
      <c r="V86" s="20">
        <f t="shared" si="64"/>
        <v>556500000</v>
      </c>
      <c r="W86" s="20">
        <f t="shared" si="65"/>
        <v>516750000</v>
      </c>
      <c r="X86" s="20">
        <f t="shared" si="66"/>
        <v>477000000</v>
      </c>
      <c r="Y86" s="20">
        <f t="shared" si="67"/>
        <v>437250000</v>
      </c>
      <c r="Z86" s="20">
        <f t="shared" si="68"/>
        <v>397500000</v>
      </c>
      <c r="AA86" s="20">
        <f t="shared" si="69"/>
        <v>357750000</v>
      </c>
      <c r="AB86" s="20">
        <f t="shared" si="70"/>
        <v>318000000</v>
      </c>
      <c r="AC86" s="20">
        <f t="shared" si="71"/>
        <v>278250000</v>
      </c>
      <c r="AE86" s="21">
        <f>SUM(I79:I86)</f>
        <v>267800000</v>
      </c>
      <c r="AF86" s="21">
        <f>SUM(Q79:Q86)</f>
        <v>4180925000</v>
      </c>
      <c r="AG86" s="21">
        <f t="shared" si="72"/>
        <v>527200000</v>
      </c>
    </row>
    <row r="87" spans="1:33" x14ac:dyDescent="0.2">
      <c r="A87">
        <v>9</v>
      </c>
      <c r="B87" t="s">
        <v>143</v>
      </c>
      <c r="C87" s="18" t="s">
        <v>100</v>
      </c>
      <c r="D87" s="4">
        <v>3924000000</v>
      </c>
      <c r="E87" s="4">
        <v>5268000000</v>
      </c>
      <c r="F87" s="4">
        <v>7339000000</v>
      </c>
      <c r="G87" s="19">
        <v>20</v>
      </c>
      <c r="H87" s="4">
        <v>688000000</v>
      </c>
      <c r="I87" s="20">
        <f t="shared" si="73"/>
        <v>34400000</v>
      </c>
      <c r="J87" s="20"/>
      <c r="K87" s="20"/>
      <c r="L87" s="20"/>
      <c r="M87" s="20"/>
      <c r="N87" s="20"/>
      <c r="O87" s="20"/>
      <c r="P87" s="20"/>
      <c r="Q87" s="20"/>
      <c r="R87" s="20">
        <f>+H87-I87</f>
        <v>653600000</v>
      </c>
      <c r="S87" s="20">
        <f t="shared" si="61"/>
        <v>619200000</v>
      </c>
      <c r="T87" s="20">
        <f t="shared" si="62"/>
        <v>584800000</v>
      </c>
      <c r="U87" s="20">
        <f t="shared" si="63"/>
        <v>550400000</v>
      </c>
      <c r="V87" s="20">
        <f t="shared" si="64"/>
        <v>516000000</v>
      </c>
      <c r="W87" s="20">
        <f t="shared" si="65"/>
        <v>481600000</v>
      </c>
      <c r="X87" s="20">
        <f t="shared" si="66"/>
        <v>447200000</v>
      </c>
      <c r="Y87" s="20">
        <f t="shared" si="67"/>
        <v>412800000</v>
      </c>
      <c r="Z87" s="20">
        <f t="shared" si="68"/>
        <v>378400000</v>
      </c>
      <c r="AA87" s="20">
        <f t="shared" si="69"/>
        <v>344000000</v>
      </c>
      <c r="AB87" s="20">
        <f t="shared" si="70"/>
        <v>309600000</v>
      </c>
      <c r="AC87" s="20">
        <f t="shared" si="71"/>
        <v>275200000</v>
      </c>
      <c r="AE87" s="21">
        <f>SUM(I79:I87)</f>
        <v>302200000</v>
      </c>
      <c r="AF87" s="21">
        <f>SUM(R79:R87)</f>
        <v>4566725000</v>
      </c>
      <c r="AG87" s="21">
        <f t="shared" si="72"/>
        <v>385800000</v>
      </c>
    </row>
    <row r="88" spans="1:33" x14ac:dyDescent="0.2">
      <c r="A88">
        <v>10</v>
      </c>
      <c r="B88" t="s">
        <v>143</v>
      </c>
      <c r="C88" s="18" t="s">
        <v>99</v>
      </c>
      <c r="D88" s="22">
        <f>$D87</f>
        <v>3924000000</v>
      </c>
      <c r="E88" s="22">
        <f>$E87</f>
        <v>5268000000</v>
      </c>
      <c r="F88" s="22">
        <f>$F87</f>
        <v>7339000000</v>
      </c>
      <c r="G88" s="23">
        <f>$G$13</f>
        <v>20</v>
      </c>
      <c r="H88" s="4">
        <v>705000000</v>
      </c>
      <c r="I88" s="20">
        <f t="shared" si="73"/>
        <v>35250000</v>
      </c>
      <c r="J88" s="20"/>
      <c r="K88" s="20"/>
      <c r="L88" s="20"/>
      <c r="M88" s="20"/>
      <c r="N88" s="20"/>
      <c r="O88" s="20"/>
      <c r="P88" s="20"/>
      <c r="Q88" s="20"/>
      <c r="R88" s="20"/>
      <c r="S88" s="20">
        <f>+H88-I88</f>
        <v>669750000</v>
      </c>
      <c r="T88" s="20">
        <f t="shared" si="62"/>
        <v>634500000</v>
      </c>
      <c r="U88" s="20">
        <f t="shared" si="63"/>
        <v>599250000</v>
      </c>
      <c r="V88" s="20">
        <f t="shared" si="64"/>
        <v>564000000</v>
      </c>
      <c r="W88" s="20">
        <f t="shared" si="65"/>
        <v>528750000</v>
      </c>
      <c r="X88" s="20">
        <f t="shared" si="66"/>
        <v>493500000</v>
      </c>
      <c r="Y88" s="20">
        <f t="shared" si="67"/>
        <v>458250000</v>
      </c>
      <c r="Z88" s="20">
        <f t="shared" si="68"/>
        <v>423000000</v>
      </c>
      <c r="AA88" s="20">
        <f t="shared" si="69"/>
        <v>387750000</v>
      </c>
      <c r="AB88" s="20">
        <f t="shared" si="70"/>
        <v>352500000</v>
      </c>
      <c r="AC88" s="20">
        <f t="shared" si="71"/>
        <v>317250000</v>
      </c>
      <c r="AE88" s="21">
        <f>SUM(I79:I88)</f>
        <v>337450000</v>
      </c>
      <c r="AF88" s="21">
        <f>SUM(S79:S88)</f>
        <v>4934275000</v>
      </c>
      <c r="AG88" s="21">
        <f t="shared" si="72"/>
        <v>367550000</v>
      </c>
    </row>
    <row r="89" spans="1:33" x14ac:dyDescent="0.2">
      <c r="A89">
        <v>11</v>
      </c>
      <c r="B89" t="s">
        <v>143</v>
      </c>
      <c r="C89" s="18" t="s">
        <v>98</v>
      </c>
      <c r="D89" s="22">
        <f>$D87</f>
        <v>3924000000</v>
      </c>
      <c r="E89" s="22">
        <f>$E87</f>
        <v>5268000000</v>
      </c>
      <c r="F89" s="22">
        <f>$F87</f>
        <v>7339000000</v>
      </c>
      <c r="G89" s="23">
        <f t="shared" ref="G89:G98" si="74">$G$13</f>
        <v>20</v>
      </c>
      <c r="H89" s="4">
        <v>692000000</v>
      </c>
      <c r="I89" s="20">
        <f t="shared" si="73"/>
        <v>34600000</v>
      </c>
      <c r="J89" s="20"/>
      <c r="K89" s="20"/>
      <c r="L89" s="20"/>
      <c r="M89" s="20"/>
      <c r="N89" s="20"/>
      <c r="O89" s="20"/>
      <c r="P89" s="20"/>
      <c r="Q89" s="20"/>
      <c r="R89" s="20"/>
      <c r="S89" s="20"/>
      <c r="T89" s="20">
        <f>+H89-I89</f>
        <v>657400000</v>
      </c>
      <c r="U89" s="20">
        <f t="shared" si="63"/>
        <v>622800000</v>
      </c>
      <c r="V89" s="20">
        <f t="shared" si="64"/>
        <v>588200000</v>
      </c>
      <c r="W89" s="20">
        <f t="shared" si="65"/>
        <v>553600000</v>
      </c>
      <c r="X89" s="20">
        <f t="shared" si="66"/>
        <v>519000000</v>
      </c>
      <c r="Y89" s="20">
        <f t="shared" si="67"/>
        <v>484400000</v>
      </c>
      <c r="Z89" s="20">
        <f t="shared" si="68"/>
        <v>449800000</v>
      </c>
      <c r="AA89" s="20">
        <f t="shared" si="69"/>
        <v>415200000</v>
      </c>
      <c r="AB89" s="20">
        <f t="shared" si="70"/>
        <v>380600000</v>
      </c>
      <c r="AC89" s="20">
        <f t="shared" si="71"/>
        <v>346000000</v>
      </c>
      <c r="AE89" s="21">
        <f>SUM(I79:I89)</f>
        <v>372050000</v>
      </c>
      <c r="AF89" s="21">
        <f>SUM(T79:T89)</f>
        <v>5254225000</v>
      </c>
      <c r="AG89" s="21">
        <f t="shared" si="72"/>
        <v>319950000</v>
      </c>
    </row>
    <row r="90" spans="1:33" x14ac:dyDescent="0.2">
      <c r="A90">
        <v>12</v>
      </c>
      <c r="B90" t="s">
        <v>143</v>
      </c>
      <c r="C90" s="18" t="s">
        <v>97</v>
      </c>
      <c r="D90" s="22">
        <f>$D87</f>
        <v>3924000000</v>
      </c>
      <c r="E90" s="22">
        <f>$E87</f>
        <v>5268000000</v>
      </c>
      <c r="F90" s="22">
        <f>$F87</f>
        <v>7339000000</v>
      </c>
      <c r="G90" s="23">
        <f t="shared" si="74"/>
        <v>20</v>
      </c>
      <c r="H90" s="4">
        <v>716000000</v>
      </c>
      <c r="I90" s="20">
        <f t="shared" si="73"/>
        <v>35800000</v>
      </c>
      <c r="J90" s="20"/>
      <c r="K90" s="20"/>
      <c r="L90" s="20"/>
      <c r="M90" s="20"/>
      <c r="N90" s="20"/>
      <c r="O90" s="20"/>
      <c r="P90" s="20"/>
      <c r="Q90" s="20"/>
      <c r="R90" s="20"/>
      <c r="S90" s="20"/>
      <c r="T90" s="20"/>
      <c r="U90" s="20">
        <f>+H90-I90</f>
        <v>680200000</v>
      </c>
      <c r="V90" s="20">
        <f t="shared" si="64"/>
        <v>644400000</v>
      </c>
      <c r="W90" s="20">
        <f t="shared" si="65"/>
        <v>608600000</v>
      </c>
      <c r="X90" s="20">
        <f t="shared" si="66"/>
        <v>572800000</v>
      </c>
      <c r="Y90" s="20">
        <f t="shared" si="67"/>
        <v>537000000</v>
      </c>
      <c r="Z90" s="20">
        <f t="shared" si="68"/>
        <v>501200000</v>
      </c>
      <c r="AA90" s="20">
        <f t="shared" si="69"/>
        <v>465400000</v>
      </c>
      <c r="AB90" s="20">
        <f t="shared" si="70"/>
        <v>429600000</v>
      </c>
      <c r="AC90" s="20">
        <f t="shared" si="71"/>
        <v>393800000</v>
      </c>
      <c r="AE90" s="21">
        <f>SUM(I79:I90)</f>
        <v>407850000</v>
      </c>
      <c r="AF90" s="21">
        <f>SUM(U79:U90)</f>
        <v>5562375000</v>
      </c>
      <c r="AG90" s="21">
        <f t="shared" si="72"/>
        <v>308150000</v>
      </c>
    </row>
    <row r="91" spans="1:33" x14ac:dyDescent="0.2">
      <c r="A91">
        <v>13</v>
      </c>
      <c r="B91" t="s">
        <v>143</v>
      </c>
      <c r="C91" s="18" t="s">
        <v>96</v>
      </c>
      <c r="D91" s="22">
        <f>$D87</f>
        <v>3924000000</v>
      </c>
      <c r="E91" s="22">
        <f>$E87</f>
        <v>5268000000</v>
      </c>
      <c r="F91" s="22">
        <f>$F87</f>
        <v>7339000000</v>
      </c>
      <c r="G91" s="23">
        <f t="shared" si="74"/>
        <v>20</v>
      </c>
      <c r="H91" s="4">
        <v>763000000</v>
      </c>
      <c r="I91" s="20">
        <f t="shared" si="73"/>
        <v>38150000</v>
      </c>
      <c r="J91" s="20"/>
      <c r="K91" s="20"/>
      <c r="L91" s="20"/>
      <c r="M91" s="20"/>
      <c r="N91" s="20"/>
      <c r="O91" s="20"/>
      <c r="P91" s="20"/>
      <c r="Q91" s="20"/>
      <c r="R91" s="20"/>
      <c r="S91" s="20"/>
      <c r="T91" s="20"/>
      <c r="U91" s="20"/>
      <c r="V91" s="20">
        <f>+H91-I91</f>
        <v>724850000</v>
      </c>
      <c r="W91" s="20">
        <f t="shared" si="65"/>
        <v>686700000</v>
      </c>
      <c r="X91" s="20">
        <f t="shared" si="66"/>
        <v>648550000</v>
      </c>
      <c r="Y91" s="20">
        <f t="shared" si="67"/>
        <v>610400000</v>
      </c>
      <c r="Z91" s="20">
        <f t="shared" si="68"/>
        <v>572250000</v>
      </c>
      <c r="AA91" s="20">
        <f t="shared" si="69"/>
        <v>534100000</v>
      </c>
      <c r="AB91" s="20">
        <f t="shared" si="70"/>
        <v>495950000</v>
      </c>
      <c r="AC91" s="20">
        <f t="shared" si="71"/>
        <v>457800000</v>
      </c>
      <c r="AE91" s="21">
        <f>SUM(I79:I91)</f>
        <v>446000000</v>
      </c>
      <c r="AF91" s="21">
        <f>SUM(V79:V91)</f>
        <v>5879375000</v>
      </c>
      <c r="AG91" s="21">
        <f t="shared" si="72"/>
        <v>317000000</v>
      </c>
    </row>
    <row r="92" spans="1:33" x14ac:dyDescent="0.2">
      <c r="A92">
        <v>14</v>
      </c>
      <c r="B92" t="s">
        <v>143</v>
      </c>
      <c r="C92" s="18" t="s">
        <v>95</v>
      </c>
      <c r="D92" s="22">
        <f>$D87</f>
        <v>3924000000</v>
      </c>
      <c r="E92" s="22">
        <f>$E87</f>
        <v>5268000000</v>
      </c>
      <c r="F92" s="22">
        <f>$F87</f>
        <v>7339000000</v>
      </c>
      <c r="G92" s="23">
        <f t="shared" si="74"/>
        <v>20</v>
      </c>
      <c r="H92" s="4">
        <v>780000000</v>
      </c>
      <c r="I92" s="20">
        <f t="shared" si="73"/>
        <v>39000000</v>
      </c>
      <c r="J92" s="20"/>
      <c r="K92" s="20"/>
      <c r="L92" s="20"/>
      <c r="M92" s="20"/>
      <c r="N92" s="20"/>
      <c r="O92" s="20"/>
      <c r="P92" s="20"/>
      <c r="Q92" s="20"/>
      <c r="R92" s="20"/>
      <c r="S92" s="20"/>
      <c r="T92" s="20"/>
      <c r="U92" s="20"/>
      <c r="V92" s="20"/>
      <c r="W92" s="20">
        <f>+H92-I92</f>
        <v>741000000</v>
      </c>
      <c r="X92" s="20">
        <f t="shared" si="66"/>
        <v>702000000</v>
      </c>
      <c r="Y92" s="20">
        <f t="shared" si="67"/>
        <v>663000000</v>
      </c>
      <c r="Z92" s="20">
        <f t="shared" si="68"/>
        <v>624000000</v>
      </c>
      <c r="AA92" s="20">
        <f t="shared" si="69"/>
        <v>585000000</v>
      </c>
      <c r="AB92" s="20">
        <f t="shared" si="70"/>
        <v>546000000</v>
      </c>
      <c r="AC92" s="20">
        <f t="shared" si="71"/>
        <v>507000000</v>
      </c>
      <c r="AE92" s="21">
        <f>SUM(I79:I92)</f>
        <v>485000000</v>
      </c>
      <c r="AF92" s="21">
        <f>SUM(W79:W92)</f>
        <v>6174375000</v>
      </c>
      <c r="AG92" s="21">
        <f t="shared" si="72"/>
        <v>295000000</v>
      </c>
    </row>
    <row r="93" spans="1:33" x14ac:dyDescent="0.2">
      <c r="A93">
        <v>15</v>
      </c>
      <c r="B93" t="s">
        <v>143</v>
      </c>
      <c r="C93" s="18" t="s">
        <v>94</v>
      </c>
      <c r="D93" s="22">
        <f>$D87</f>
        <v>3924000000</v>
      </c>
      <c r="E93" s="22">
        <f>$E87</f>
        <v>5268000000</v>
      </c>
      <c r="F93" s="22">
        <f>$F87</f>
        <v>7339000000</v>
      </c>
      <c r="G93" s="23">
        <f t="shared" si="74"/>
        <v>20</v>
      </c>
      <c r="H93" s="4">
        <v>745000000</v>
      </c>
      <c r="I93" s="20">
        <f t="shared" si="73"/>
        <v>37250000</v>
      </c>
      <c r="J93" s="20"/>
      <c r="K93" s="20"/>
      <c r="L93" s="20"/>
      <c r="M93" s="20"/>
      <c r="N93" s="20"/>
      <c r="O93" s="20"/>
      <c r="P93" s="20"/>
      <c r="Q93" s="20"/>
      <c r="R93" s="20"/>
      <c r="S93" s="20"/>
      <c r="T93" s="20"/>
      <c r="U93" s="20"/>
      <c r="V93" s="20"/>
      <c r="W93" s="20"/>
      <c r="X93" s="20">
        <f>+H93-I93</f>
        <v>707750000</v>
      </c>
      <c r="Y93" s="20">
        <f t="shared" si="67"/>
        <v>670500000</v>
      </c>
      <c r="Z93" s="20">
        <f t="shared" si="68"/>
        <v>633250000</v>
      </c>
      <c r="AA93" s="20">
        <f t="shared" si="69"/>
        <v>596000000</v>
      </c>
      <c r="AB93" s="20">
        <f t="shared" si="70"/>
        <v>558750000</v>
      </c>
      <c r="AC93" s="20">
        <f t="shared" si="71"/>
        <v>521500000</v>
      </c>
      <c r="AE93" s="21">
        <f>SUM(I79:I93)</f>
        <v>522250000</v>
      </c>
      <c r="AF93" s="21">
        <f>SUM(X79:X93)</f>
        <v>6397125000</v>
      </c>
      <c r="AG93" s="21">
        <f t="shared" si="72"/>
        <v>222750000</v>
      </c>
    </row>
    <row r="94" spans="1:33" x14ac:dyDescent="0.2">
      <c r="A94">
        <v>16</v>
      </c>
      <c r="B94" t="s">
        <v>143</v>
      </c>
      <c r="C94" s="18" t="s">
        <v>93</v>
      </c>
      <c r="D94" s="22">
        <f>$D87</f>
        <v>3924000000</v>
      </c>
      <c r="E94" s="22">
        <f>$E87</f>
        <v>5268000000</v>
      </c>
      <c r="F94" s="22">
        <f>$F87</f>
        <v>7339000000</v>
      </c>
      <c r="G94" s="23">
        <f t="shared" si="74"/>
        <v>20</v>
      </c>
      <c r="H94" s="4">
        <v>773000000</v>
      </c>
      <c r="I94" s="20">
        <f t="shared" si="73"/>
        <v>38650000</v>
      </c>
      <c r="J94" s="20"/>
      <c r="K94" s="20"/>
      <c r="L94" s="20"/>
      <c r="M94" s="20"/>
      <c r="N94" s="20"/>
      <c r="O94" s="20"/>
      <c r="P94" s="20"/>
      <c r="Q94" s="20"/>
      <c r="R94" s="20"/>
      <c r="S94" s="20"/>
      <c r="T94" s="20"/>
      <c r="U94" s="20"/>
      <c r="V94" s="20"/>
      <c r="W94" s="20"/>
      <c r="X94" s="20"/>
      <c r="Y94" s="20">
        <f>+H94-I94</f>
        <v>734350000</v>
      </c>
      <c r="Z94" s="20">
        <f t="shared" si="68"/>
        <v>695700000</v>
      </c>
      <c r="AA94" s="20">
        <f t="shared" si="69"/>
        <v>657050000</v>
      </c>
      <c r="AB94" s="20">
        <f t="shared" si="70"/>
        <v>618400000</v>
      </c>
      <c r="AC94" s="20">
        <f t="shared" si="71"/>
        <v>579750000</v>
      </c>
      <c r="AE94" s="21">
        <f>SUM(I79:I94)</f>
        <v>560900000</v>
      </c>
      <c r="AF94" s="21">
        <f>SUM(Y79:Y94)</f>
        <v>6609225000</v>
      </c>
      <c r="AG94" s="21">
        <f t="shared" si="72"/>
        <v>212100000</v>
      </c>
    </row>
    <row r="95" spans="1:33" x14ac:dyDescent="0.2">
      <c r="A95">
        <v>17</v>
      </c>
      <c r="B95" t="s">
        <v>143</v>
      </c>
      <c r="C95" s="18" t="s">
        <v>141</v>
      </c>
      <c r="D95" s="22">
        <f>$D87</f>
        <v>3924000000</v>
      </c>
      <c r="E95" s="22">
        <f>$E87</f>
        <v>5268000000</v>
      </c>
      <c r="F95" s="22">
        <f>$F87</f>
        <v>7339000000</v>
      </c>
      <c r="G95" s="23">
        <f t="shared" si="74"/>
        <v>20</v>
      </c>
      <c r="H95" s="4">
        <v>808000000</v>
      </c>
      <c r="I95" s="20">
        <f t="shared" si="73"/>
        <v>40400000</v>
      </c>
      <c r="J95" s="20"/>
      <c r="K95" s="20"/>
      <c r="L95" s="20"/>
      <c r="M95" s="20"/>
      <c r="N95" s="20"/>
      <c r="O95" s="20"/>
      <c r="P95" s="20"/>
      <c r="Q95" s="20"/>
      <c r="R95" s="20"/>
      <c r="S95" s="20"/>
      <c r="T95" s="20"/>
      <c r="U95" s="20"/>
      <c r="V95" s="20"/>
      <c r="W95" s="20"/>
      <c r="X95" s="20"/>
      <c r="Y95" s="20"/>
      <c r="Z95" s="20">
        <f>+H95-I95</f>
        <v>767600000</v>
      </c>
      <c r="AA95" s="20">
        <f t="shared" si="69"/>
        <v>727200000</v>
      </c>
      <c r="AB95" s="20">
        <f t="shared" si="70"/>
        <v>686800000</v>
      </c>
      <c r="AC95" s="20">
        <f t="shared" si="71"/>
        <v>646400000</v>
      </c>
      <c r="AE95" s="21">
        <f>SUM(I79:I95)</f>
        <v>601300000</v>
      </c>
      <c r="AF95" s="21">
        <f>SUM(Z79:Z95)</f>
        <v>6815925000</v>
      </c>
      <c r="AG95" s="21">
        <f t="shared" si="72"/>
        <v>206700000</v>
      </c>
    </row>
    <row r="96" spans="1:33" x14ac:dyDescent="0.2">
      <c r="A96">
        <v>18</v>
      </c>
      <c r="B96" t="s">
        <v>143</v>
      </c>
      <c r="C96" s="18" t="s">
        <v>160</v>
      </c>
      <c r="D96" s="22">
        <f>$D87</f>
        <v>3924000000</v>
      </c>
      <c r="E96" s="22">
        <f>$E87</f>
        <v>5268000000</v>
      </c>
      <c r="F96" s="22">
        <f>$F87</f>
        <v>7339000000</v>
      </c>
      <c r="G96" s="23">
        <f t="shared" si="74"/>
        <v>20</v>
      </c>
      <c r="H96" s="4">
        <v>785000000</v>
      </c>
      <c r="I96" s="20">
        <f t="shared" si="73"/>
        <v>39250000</v>
      </c>
      <c r="J96" s="20"/>
      <c r="K96" s="20"/>
      <c r="L96" s="20"/>
      <c r="M96" s="20"/>
      <c r="N96" s="20"/>
      <c r="O96" s="20"/>
      <c r="P96" s="20"/>
      <c r="Q96" s="20"/>
      <c r="R96" s="20"/>
      <c r="S96" s="20"/>
      <c r="T96" s="20"/>
      <c r="U96" s="20"/>
      <c r="V96" s="20"/>
      <c r="W96" s="20"/>
      <c r="X96" s="20"/>
      <c r="Y96" s="20"/>
      <c r="Z96" s="20"/>
      <c r="AA96" s="20">
        <f>+H96-I96</f>
        <v>745750000</v>
      </c>
      <c r="AB96" s="20">
        <f t="shared" si="70"/>
        <v>706500000</v>
      </c>
      <c r="AC96" s="20">
        <f t="shared" si="71"/>
        <v>667250000</v>
      </c>
      <c r="AE96" s="21">
        <f>SUM(I79:I96)</f>
        <v>640550000</v>
      </c>
      <c r="AF96" s="21">
        <f>SUM(AA79:AA96)</f>
        <v>6960375000</v>
      </c>
      <c r="AG96" s="21">
        <f t="shared" si="72"/>
        <v>144450000</v>
      </c>
    </row>
    <row r="97" spans="1:33" x14ac:dyDescent="0.2">
      <c r="A97">
        <v>19</v>
      </c>
      <c r="B97" t="s">
        <v>143</v>
      </c>
      <c r="C97" s="18" t="s">
        <v>161</v>
      </c>
      <c r="D97" s="22">
        <f>$D87</f>
        <v>3924000000</v>
      </c>
      <c r="E97" s="22">
        <f>$E87</f>
        <v>5268000000</v>
      </c>
      <c r="F97" s="22">
        <f>$F87</f>
        <v>7339000000</v>
      </c>
      <c r="G97" s="23">
        <f t="shared" si="74"/>
        <v>20</v>
      </c>
      <c r="H97" s="4">
        <v>752000000</v>
      </c>
      <c r="I97" s="20">
        <f t="shared" si="73"/>
        <v>37600000</v>
      </c>
      <c r="J97" s="20"/>
      <c r="K97" s="20"/>
      <c r="L97" s="20"/>
      <c r="M97" s="20"/>
      <c r="N97" s="20"/>
      <c r="O97" s="20"/>
      <c r="P97" s="20"/>
      <c r="Q97" s="20"/>
      <c r="R97" s="20"/>
      <c r="S97" s="20"/>
      <c r="T97" s="20"/>
      <c r="U97" s="20"/>
      <c r="V97" s="20"/>
      <c r="W97" s="20"/>
      <c r="X97" s="20"/>
      <c r="Y97" s="20"/>
      <c r="Z97" s="20"/>
      <c r="AA97" s="20"/>
      <c r="AB97" s="20">
        <f>+H97-I97</f>
        <v>714400000</v>
      </c>
      <c r="AC97" s="20">
        <f t="shared" si="71"/>
        <v>676800000</v>
      </c>
      <c r="AE97" s="21">
        <f>SUM(I79:I97)</f>
        <v>678150000</v>
      </c>
      <c r="AF97" s="21">
        <f>SUM(AB79:AB97)</f>
        <v>7034225000</v>
      </c>
      <c r="AG97" s="21">
        <f t="shared" si="72"/>
        <v>73850000</v>
      </c>
    </row>
    <row r="98" spans="1:33" x14ac:dyDescent="0.2">
      <c r="A98">
        <v>20</v>
      </c>
      <c r="B98" t="s">
        <v>143</v>
      </c>
      <c r="C98" s="18" t="s">
        <v>162</v>
      </c>
      <c r="D98" s="22">
        <f>$D87</f>
        <v>3924000000</v>
      </c>
      <c r="E98" s="22">
        <f>$E87</f>
        <v>5268000000</v>
      </c>
      <c r="F98" s="22">
        <f>$F87</f>
        <v>7339000000</v>
      </c>
      <c r="G98" s="23">
        <f t="shared" si="74"/>
        <v>20</v>
      </c>
      <c r="H98" s="4">
        <v>797000000</v>
      </c>
      <c r="I98" s="20">
        <f t="shared" si="73"/>
        <v>39850000</v>
      </c>
      <c r="J98" s="20"/>
      <c r="K98" s="20"/>
      <c r="L98" s="20"/>
      <c r="M98" s="20"/>
      <c r="N98" s="20"/>
      <c r="O98" s="20"/>
      <c r="P98" s="20"/>
      <c r="Q98" s="20"/>
      <c r="R98" s="20"/>
      <c r="S98" s="20"/>
      <c r="T98" s="20"/>
      <c r="U98" s="20"/>
      <c r="V98" s="20"/>
      <c r="W98" s="20"/>
      <c r="X98" s="20"/>
      <c r="Y98" s="20"/>
      <c r="Z98" s="20"/>
      <c r="AA98" s="20"/>
      <c r="AB98" s="20"/>
      <c r="AC98" s="20">
        <f>+H98-I98</f>
        <v>757150000</v>
      </c>
      <c r="AE98" s="21">
        <f>SUM(I79:I98)</f>
        <v>718000000</v>
      </c>
      <c r="AF98" s="21">
        <f>SUM(AC79:AC98)</f>
        <v>7113225000</v>
      </c>
      <c r="AG98" s="21">
        <f t="shared" si="72"/>
        <v>79000000</v>
      </c>
    </row>
    <row r="100" spans="1:33" ht="17" customHeight="1" x14ac:dyDescent="0.2"/>
    <row r="101" spans="1:33" x14ac:dyDescent="0.2">
      <c r="C101" t="s">
        <v>163</v>
      </c>
    </row>
    <row r="102" spans="1:33" x14ac:dyDescent="0.2">
      <c r="C102" s="6" t="s">
        <v>107</v>
      </c>
      <c r="D102" s="6" t="s">
        <v>439</v>
      </c>
      <c r="E102" s="6" t="s">
        <v>440</v>
      </c>
      <c r="F102" s="6" t="s">
        <v>471</v>
      </c>
      <c r="G102" s="6" t="s">
        <v>441</v>
      </c>
      <c r="H102" s="6" t="s">
        <v>442</v>
      </c>
      <c r="I102" s="15"/>
      <c r="J102" s="6" t="s">
        <v>443</v>
      </c>
      <c r="K102" s="6" t="s">
        <v>444</v>
      </c>
      <c r="L102" s="6" t="s">
        <v>445</v>
      </c>
      <c r="M102" s="6" t="s">
        <v>446</v>
      </c>
      <c r="N102" s="6" t="s">
        <v>447</v>
      </c>
      <c r="O102" s="6" t="s">
        <v>448</v>
      </c>
      <c r="P102" s="6" t="s">
        <v>449</v>
      </c>
      <c r="Q102" s="6" t="s">
        <v>450</v>
      </c>
      <c r="R102" s="6" t="s">
        <v>451</v>
      </c>
      <c r="S102" s="6" t="s">
        <v>452</v>
      </c>
      <c r="T102" s="6" t="s">
        <v>453</v>
      </c>
      <c r="U102" s="6" t="s">
        <v>454</v>
      </c>
      <c r="V102" s="6" t="s">
        <v>455</v>
      </c>
      <c r="W102" s="6" t="s">
        <v>456</v>
      </c>
      <c r="X102" s="6" t="s">
        <v>457</v>
      </c>
      <c r="Y102" s="6" t="s">
        <v>458</v>
      </c>
      <c r="Z102" s="6" t="s">
        <v>459</v>
      </c>
      <c r="AA102" s="6" t="s">
        <v>460</v>
      </c>
      <c r="AB102" s="6" t="s">
        <v>461</v>
      </c>
      <c r="AC102" s="6" t="s">
        <v>462</v>
      </c>
      <c r="AD102" s="15"/>
      <c r="AE102" s="6" t="s">
        <v>106</v>
      </c>
      <c r="AF102" s="6" t="s">
        <v>105</v>
      </c>
      <c r="AG102" s="6" t="s">
        <v>463</v>
      </c>
    </row>
    <row r="103" spans="1:33" x14ac:dyDescent="0.2">
      <c r="C103" s="16" t="s">
        <v>464</v>
      </c>
      <c r="J103" s="17">
        <v>20</v>
      </c>
      <c r="K103" s="17">
        <v>19</v>
      </c>
      <c r="L103" s="17">
        <v>18</v>
      </c>
      <c r="M103" s="17">
        <v>17</v>
      </c>
      <c r="N103" s="17">
        <v>16</v>
      </c>
      <c r="O103" s="17">
        <v>15</v>
      </c>
      <c r="P103" s="17">
        <v>14</v>
      </c>
      <c r="Q103" s="17">
        <v>13</v>
      </c>
      <c r="R103" s="17">
        <v>12</v>
      </c>
      <c r="S103" s="17">
        <v>11</v>
      </c>
      <c r="T103" s="17">
        <v>10</v>
      </c>
      <c r="U103" s="17">
        <v>9</v>
      </c>
      <c r="V103" s="17">
        <v>8</v>
      </c>
      <c r="W103" s="17">
        <v>7</v>
      </c>
      <c r="X103" s="17">
        <v>6</v>
      </c>
      <c r="Y103" s="17">
        <v>5</v>
      </c>
      <c r="Z103" s="17">
        <v>4</v>
      </c>
      <c r="AA103" s="17">
        <v>3</v>
      </c>
      <c r="AB103" s="17">
        <v>2</v>
      </c>
      <c r="AC103" s="17">
        <v>1</v>
      </c>
    </row>
    <row r="104" spans="1:33" x14ac:dyDescent="0.2">
      <c r="A104">
        <v>1</v>
      </c>
      <c r="B104" t="s">
        <v>163</v>
      </c>
      <c r="C104" s="18" t="s">
        <v>490</v>
      </c>
      <c r="G104" s="23">
        <f t="shared" ref="G104:G111" si="75">$G$13</f>
        <v>20</v>
      </c>
      <c r="H104" s="4">
        <v>5204000000</v>
      </c>
      <c r="I104" s="20">
        <f>+H104/20</f>
        <v>260200000</v>
      </c>
      <c r="J104" s="20">
        <f>+H104-$I104</f>
        <v>4943800000</v>
      </c>
      <c r="K104" s="20">
        <f>+J104-$I104</f>
        <v>4683600000</v>
      </c>
      <c r="L104" s="20">
        <f t="shared" ref="L104" si="76">+K104-$I104</f>
        <v>4423400000</v>
      </c>
      <c r="M104" s="20">
        <f t="shared" ref="M104:M105" si="77">+L104-$I104</f>
        <v>4163200000</v>
      </c>
      <c r="N104" s="20">
        <f t="shared" ref="N104:N106" si="78">+M104-$I104</f>
        <v>3903000000</v>
      </c>
      <c r="O104" s="20">
        <f t="shared" ref="O104:O108" si="79">+N104-$I104</f>
        <v>3642800000</v>
      </c>
      <c r="P104" s="20">
        <f t="shared" ref="P104:P109" si="80">+O104-$I104</f>
        <v>3382600000</v>
      </c>
      <c r="Q104" s="20">
        <f t="shared" ref="Q104:Q110" si="81">+P104-$I104</f>
        <v>3122400000</v>
      </c>
      <c r="R104" s="20">
        <f t="shared" ref="R104:R111" si="82">+Q104-$I104</f>
        <v>2862200000</v>
      </c>
      <c r="S104" s="20">
        <f t="shared" ref="S104:S112" si="83">+R104-$I104</f>
        <v>2602000000</v>
      </c>
      <c r="T104" s="20">
        <f t="shared" ref="T104:T113" si="84">+S104-$I104</f>
        <v>2341800000</v>
      </c>
      <c r="U104" s="20">
        <f t="shared" ref="U104:U114" si="85">+T104-$I104</f>
        <v>2081600000</v>
      </c>
      <c r="V104" s="20">
        <f t="shared" ref="V104:V115" si="86">+U104-$I104</f>
        <v>1821400000</v>
      </c>
      <c r="W104" s="20">
        <f t="shared" ref="W104:W116" si="87">+V104-$I104</f>
        <v>1561200000</v>
      </c>
      <c r="X104" s="20">
        <f t="shared" ref="X104:X117" si="88">+W104-$I104</f>
        <v>1301000000</v>
      </c>
      <c r="Y104" s="20">
        <f t="shared" ref="Y104:Y118" si="89">+X104-$I104</f>
        <v>1040800000</v>
      </c>
      <c r="Z104" s="20">
        <f t="shared" ref="Z104:Z119" si="90">+Y104-$I104</f>
        <v>780600000</v>
      </c>
      <c r="AA104" s="20">
        <f t="shared" ref="AA104:AA120" si="91">+Z104-$I104</f>
        <v>520400000</v>
      </c>
      <c r="AB104" s="20">
        <f t="shared" ref="AB104:AB121" si="92">+AA104-$I104</f>
        <v>260200000</v>
      </c>
      <c r="AC104" s="20">
        <f t="shared" ref="AC104:AC122" si="93">+AB104-$I104</f>
        <v>0</v>
      </c>
      <c r="AE104" s="21">
        <f>SUM(I104)</f>
        <v>260200000</v>
      </c>
      <c r="AF104" s="21">
        <f>SUM(J104:J104)</f>
        <v>4943800000</v>
      </c>
      <c r="AG104" s="21">
        <f t="shared" ref="AG104:AG123" si="94">H104-AE104</f>
        <v>4943800000</v>
      </c>
    </row>
    <row r="105" spans="1:33" x14ac:dyDescent="0.2">
      <c r="A105">
        <v>2</v>
      </c>
      <c r="B105" t="s">
        <v>163</v>
      </c>
      <c r="C105" s="18" t="s">
        <v>491</v>
      </c>
      <c r="G105" s="23">
        <f t="shared" si="75"/>
        <v>20</v>
      </c>
      <c r="H105" s="4">
        <v>5687000000</v>
      </c>
      <c r="I105" s="20">
        <f t="shared" ref="I105:I123" si="95">+H105/20</f>
        <v>284350000</v>
      </c>
      <c r="J105" s="20"/>
      <c r="K105" s="20">
        <f>+H105-I105</f>
        <v>5402650000</v>
      </c>
      <c r="L105" s="20">
        <f>+K105-$I105</f>
        <v>5118300000</v>
      </c>
      <c r="M105" s="20">
        <f t="shared" si="77"/>
        <v>4833950000</v>
      </c>
      <c r="N105" s="20">
        <f t="shared" si="78"/>
        <v>4549600000</v>
      </c>
      <c r="O105" s="20">
        <f t="shared" si="79"/>
        <v>4265250000</v>
      </c>
      <c r="P105" s="20">
        <f t="shared" si="80"/>
        <v>3980900000</v>
      </c>
      <c r="Q105" s="20">
        <f t="shared" si="81"/>
        <v>3696550000</v>
      </c>
      <c r="R105" s="20">
        <f t="shared" si="82"/>
        <v>3412200000</v>
      </c>
      <c r="S105" s="20">
        <f t="shared" si="83"/>
        <v>3127850000</v>
      </c>
      <c r="T105" s="20">
        <f t="shared" si="84"/>
        <v>2843500000</v>
      </c>
      <c r="U105" s="20">
        <f t="shared" si="85"/>
        <v>2559150000</v>
      </c>
      <c r="V105" s="20">
        <f t="shared" si="86"/>
        <v>2274800000</v>
      </c>
      <c r="W105" s="20">
        <f t="shared" si="87"/>
        <v>1990450000</v>
      </c>
      <c r="X105" s="20">
        <f t="shared" si="88"/>
        <v>1706100000</v>
      </c>
      <c r="Y105" s="20">
        <f t="shared" si="89"/>
        <v>1421750000</v>
      </c>
      <c r="Z105" s="20">
        <f t="shared" si="90"/>
        <v>1137400000</v>
      </c>
      <c r="AA105" s="20">
        <f t="shared" si="91"/>
        <v>853050000</v>
      </c>
      <c r="AB105" s="20">
        <f t="shared" si="92"/>
        <v>568700000</v>
      </c>
      <c r="AC105" s="20">
        <f t="shared" si="93"/>
        <v>284350000</v>
      </c>
      <c r="AE105" s="21">
        <f>SUM(I104:I105)</f>
        <v>544550000</v>
      </c>
      <c r="AF105" s="21">
        <f>SUM(K104:K105)</f>
        <v>10086250000</v>
      </c>
      <c r="AG105" s="21">
        <f t="shared" si="94"/>
        <v>5142450000</v>
      </c>
    </row>
    <row r="106" spans="1:33" x14ac:dyDescent="0.2">
      <c r="A106">
        <v>3</v>
      </c>
      <c r="B106" t="s">
        <v>163</v>
      </c>
      <c r="C106" s="18" t="s">
        <v>484</v>
      </c>
      <c r="G106" s="23">
        <f t="shared" si="75"/>
        <v>20</v>
      </c>
      <c r="H106" s="4">
        <v>5599000000</v>
      </c>
      <c r="I106" s="20">
        <f t="shared" si="95"/>
        <v>279950000</v>
      </c>
      <c r="J106" s="20"/>
      <c r="K106" s="20"/>
      <c r="L106" s="20">
        <f>+H106-I106</f>
        <v>5319050000</v>
      </c>
      <c r="M106" s="20">
        <f>+L106-$I106</f>
        <v>5039100000</v>
      </c>
      <c r="N106" s="20">
        <f t="shared" si="78"/>
        <v>4759150000</v>
      </c>
      <c r="O106" s="20">
        <f t="shared" si="79"/>
        <v>4479200000</v>
      </c>
      <c r="P106" s="20">
        <f t="shared" si="80"/>
        <v>4199250000</v>
      </c>
      <c r="Q106" s="20">
        <f t="shared" si="81"/>
        <v>3919300000</v>
      </c>
      <c r="R106" s="20">
        <f t="shared" si="82"/>
        <v>3639350000</v>
      </c>
      <c r="S106" s="20">
        <f t="shared" si="83"/>
        <v>3359400000</v>
      </c>
      <c r="T106" s="20">
        <f t="shared" si="84"/>
        <v>3079450000</v>
      </c>
      <c r="U106" s="20">
        <f t="shared" si="85"/>
        <v>2799500000</v>
      </c>
      <c r="V106" s="20">
        <f t="shared" si="86"/>
        <v>2519550000</v>
      </c>
      <c r="W106" s="20">
        <f t="shared" si="87"/>
        <v>2239600000</v>
      </c>
      <c r="X106" s="20">
        <f t="shared" si="88"/>
        <v>1959650000</v>
      </c>
      <c r="Y106" s="20">
        <f t="shared" si="89"/>
        <v>1679700000</v>
      </c>
      <c r="Z106" s="20">
        <f t="shared" si="90"/>
        <v>1399750000</v>
      </c>
      <c r="AA106" s="20">
        <f t="shared" si="91"/>
        <v>1119800000</v>
      </c>
      <c r="AB106" s="20">
        <f t="shared" si="92"/>
        <v>839850000</v>
      </c>
      <c r="AC106" s="20">
        <f t="shared" si="93"/>
        <v>559900000</v>
      </c>
      <c r="AE106" s="21">
        <f>SUM(I104:I106)</f>
        <v>824500000</v>
      </c>
      <c r="AF106" s="21">
        <f>SUM(L104:L106)</f>
        <v>14860750000</v>
      </c>
      <c r="AG106" s="21">
        <f t="shared" si="94"/>
        <v>4774500000</v>
      </c>
    </row>
    <row r="107" spans="1:33" x14ac:dyDescent="0.2">
      <c r="A107">
        <v>4</v>
      </c>
      <c r="B107" t="s">
        <v>163</v>
      </c>
      <c r="C107" s="18" t="s">
        <v>485</v>
      </c>
      <c r="G107" s="23">
        <f t="shared" si="75"/>
        <v>20</v>
      </c>
      <c r="H107" s="4">
        <v>5758000000</v>
      </c>
      <c r="I107" s="20">
        <f t="shared" si="95"/>
        <v>287900000</v>
      </c>
      <c r="J107" s="20"/>
      <c r="K107" s="20"/>
      <c r="L107" s="20"/>
      <c r="M107" s="20">
        <f>+H107-I107</f>
        <v>5470100000</v>
      </c>
      <c r="N107" s="20">
        <f>+M107-$I107</f>
        <v>5182200000</v>
      </c>
      <c r="O107" s="20">
        <f t="shared" si="79"/>
        <v>4894300000</v>
      </c>
      <c r="P107" s="20">
        <f t="shared" si="80"/>
        <v>4606400000</v>
      </c>
      <c r="Q107" s="20">
        <f t="shared" si="81"/>
        <v>4318500000</v>
      </c>
      <c r="R107" s="20">
        <f t="shared" si="82"/>
        <v>4030600000</v>
      </c>
      <c r="S107" s="20">
        <f t="shared" si="83"/>
        <v>3742700000</v>
      </c>
      <c r="T107" s="20">
        <f t="shared" si="84"/>
        <v>3454800000</v>
      </c>
      <c r="U107" s="20">
        <f t="shared" si="85"/>
        <v>3166900000</v>
      </c>
      <c r="V107" s="20">
        <f t="shared" si="86"/>
        <v>2879000000</v>
      </c>
      <c r="W107" s="20">
        <f t="shared" si="87"/>
        <v>2591100000</v>
      </c>
      <c r="X107" s="20">
        <f t="shared" si="88"/>
        <v>2303200000</v>
      </c>
      <c r="Y107" s="20">
        <f t="shared" si="89"/>
        <v>2015300000</v>
      </c>
      <c r="Z107" s="20">
        <f t="shared" si="90"/>
        <v>1727400000</v>
      </c>
      <c r="AA107" s="20">
        <f t="shared" si="91"/>
        <v>1439500000</v>
      </c>
      <c r="AB107" s="20">
        <f t="shared" si="92"/>
        <v>1151600000</v>
      </c>
      <c r="AC107" s="20">
        <f t="shared" si="93"/>
        <v>863700000</v>
      </c>
      <c r="AE107" s="21">
        <f>SUM(I104:I107)</f>
        <v>1112400000</v>
      </c>
      <c r="AF107" s="21">
        <f>SUM(M104:M107)</f>
        <v>19506350000</v>
      </c>
      <c r="AG107" s="21">
        <f t="shared" si="94"/>
        <v>4645600000</v>
      </c>
    </row>
    <row r="108" spans="1:33" x14ac:dyDescent="0.2">
      <c r="A108">
        <v>5</v>
      </c>
      <c r="B108" t="s">
        <v>163</v>
      </c>
      <c r="C108" s="18" t="s">
        <v>486</v>
      </c>
      <c r="G108" s="23">
        <f t="shared" si="75"/>
        <v>20</v>
      </c>
      <c r="H108" s="4">
        <v>6306000000</v>
      </c>
      <c r="I108" s="20">
        <f t="shared" si="95"/>
        <v>315300000</v>
      </c>
      <c r="J108" s="20"/>
      <c r="K108" s="20"/>
      <c r="L108" s="20"/>
      <c r="M108" s="20"/>
      <c r="N108" s="20">
        <f>+H108-I108</f>
        <v>5990700000</v>
      </c>
      <c r="O108" s="20">
        <f t="shared" si="79"/>
        <v>5675400000</v>
      </c>
      <c r="P108" s="20">
        <f t="shared" si="80"/>
        <v>5360100000</v>
      </c>
      <c r="Q108" s="20">
        <f t="shared" si="81"/>
        <v>5044800000</v>
      </c>
      <c r="R108" s="20">
        <f t="shared" si="82"/>
        <v>4729500000</v>
      </c>
      <c r="S108" s="20">
        <f t="shared" si="83"/>
        <v>4414200000</v>
      </c>
      <c r="T108" s="20">
        <f t="shared" si="84"/>
        <v>4098900000</v>
      </c>
      <c r="U108" s="20">
        <f t="shared" si="85"/>
        <v>3783600000</v>
      </c>
      <c r="V108" s="20">
        <f t="shared" si="86"/>
        <v>3468300000</v>
      </c>
      <c r="W108" s="20">
        <f t="shared" si="87"/>
        <v>3153000000</v>
      </c>
      <c r="X108" s="20">
        <f t="shared" si="88"/>
        <v>2837700000</v>
      </c>
      <c r="Y108" s="20">
        <f t="shared" si="89"/>
        <v>2522400000</v>
      </c>
      <c r="Z108" s="20">
        <f t="shared" si="90"/>
        <v>2207100000</v>
      </c>
      <c r="AA108" s="20">
        <f t="shared" si="91"/>
        <v>1891800000</v>
      </c>
      <c r="AB108" s="20">
        <f t="shared" si="92"/>
        <v>1576500000</v>
      </c>
      <c r="AC108" s="20">
        <f t="shared" si="93"/>
        <v>1261200000</v>
      </c>
      <c r="AE108" s="21">
        <f>SUM(I104:I108)</f>
        <v>1427700000</v>
      </c>
      <c r="AF108" s="21">
        <f>SUM(N104:N108)</f>
        <v>24384650000</v>
      </c>
      <c r="AG108" s="21">
        <f t="shared" si="94"/>
        <v>4878300000</v>
      </c>
    </row>
    <row r="109" spans="1:33" x14ac:dyDescent="0.2">
      <c r="A109">
        <v>6</v>
      </c>
      <c r="B109" t="s">
        <v>163</v>
      </c>
      <c r="C109" s="18" t="s">
        <v>487</v>
      </c>
      <c r="G109" s="23">
        <f t="shared" si="75"/>
        <v>20</v>
      </c>
      <c r="H109" s="4">
        <v>6849000000</v>
      </c>
      <c r="I109" s="20">
        <f t="shared" si="95"/>
        <v>342450000</v>
      </c>
      <c r="J109" s="20"/>
      <c r="K109" s="20"/>
      <c r="L109" s="20"/>
      <c r="M109" s="20"/>
      <c r="N109" s="20"/>
      <c r="O109" s="20">
        <f>+H109-I109</f>
        <v>6506550000</v>
      </c>
      <c r="P109" s="20">
        <f t="shared" si="80"/>
        <v>6164100000</v>
      </c>
      <c r="Q109" s="20">
        <f t="shared" si="81"/>
        <v>5821650000</v>
      </c>
      <c r="R109" s="20">
        <f t="shared" si="82"/>
        <v>5479200000</v>
      </c>
      <c r="S109" s="20">
        <f t="shared" si="83"/>
        <v>5136750000</v>
      </c>
      <c r="T109" s="20">
        <f t="shared" si="84"/>
        <v>4794300000</v>
      </c>
      <c r="U109" s="20">
        <f t="shared" si="85"/>
        <v>4451850000</v>
      </c>
      <c r="V109" s="20">
        <f t="shared" si="86"/>
        <v>4109400000</v>
      </c>
      <c r="W109" s="20">
        <f t="shared" si="87"/>
        <v>3766950000</v>
      </c>
      <c r="X109" s="20">
        <f t="shared" si="88"/>
        <v>3424500000</v>
      </c>
      <c r="Y109" s="20">
        <f t="shared" si="89"/>
        <v>3082050000</v>
      </c>
      <c r="Z109" s="20">
        <f t="shared" si="90"/>
        <v>2739600000</v>
      </c>
      <c r="AA109" s="20">
        <f t="shared" si="91"/>
        <v>2397150000</v>
      </c>
      <c r="AB109" s="20">
        <f t="shared" si="92"/>
        <v>2054700000</v>
      </c>
      <c r="AC109" s="20">
        <f t="shared" si="93"/>
        <v>1712250000</v>
      </c>
      <c r="AE109" s="21">
        <f>SUM(I104:I109)</f>
        <v>1770150000</v>
      </c>
      <c r="AF109" s="21">
        <f>SUM(O104:O109)</f>
        <v>29463500000</v>
      </c>
      <c r="AG109" s="21">
        <f t="shared" si="94"/>
        <v>5078850000</v>
      </c>
    </row>
    <row r="110" spans="1:33" x14ac:dyDescent="0.2">
      <c r="A110">
        <v>7</v>
      </c>
      <c r="B110" t="s">
        <v>163</v>
      </c>
      <c r="C110" s="18" t="s">
        <v>104</v>
      </c>
      <c r="G110" s="23">
        <f t="shared" si="75"/>
        <v>20</v>
      </c>
      <c r="H110" s="4">
        <v>6628000000</v>
      </c>
      <c r="I110" s="20">
        <f t="shared" si="95"/>
        <v>331400000</v>
      </c>
      <c r="J110" s="20"/>
      <c r="K110" s="20"/>
      <c r="L110" s="20"/>
      <c r="M110" s="20"/>
      <c r="N110" s="20"/>
      <c r="O110" s="20"/>
      <c r="P110" s="20">
        <f>+H110-I110</f>
        <v>6296600000</v>
      </c>
      <c r="Q110" s="20">
        <f t="shared" si="81"/>
        <v>5965200000</v>
      </c>
      <c r="R110" s="20">
        <f t="shared" si="82"/>
        <v>5633800000</v>
      </c>
      <c r="S110" s="20">
        <f t="shared" si="83"/>
        <v>5302400000</v>
      </c>
      <c r="T110" s="20">
        <f t="shared" si="84"/>
        <v>4971000000</v>
      </c>
      <c r="U110" s="20">
        <f t="shared" si="85"/>
        <v>4639600000</v>
      </c>
      <c r="V110" s="20">
        <f t="shared" si="86"/>
        <v>4308200000</v>
      </c>
      <c r="W110" s="20">
        <f t="shared" si="87"/>
        <v>3976800000</v>
      </c>
      <c r="X110" s="20">
        <f t="shared" si="88"/>
        <v>3645400000</v>
      </c>
      <c r="Y110" s="20">
        <f t="shared" si="89"/>
        <v>3314000000</v>
      </c>
      <c r="Z110" s="20">
        <f t="shared" si="90"/>
        <v>2982600000</v>
      </c>
      <c r="AA110" s="20">
        <f t="shared" si="91"/>
        <v>2651200000</v>
      </c>
      <c r="AB110" s="20">
        <f t="shared" si="92"/>
        <v>2319800000</v>
      </c>
      <c r="AC110" s="20">
        <f t="shared" si="93"/>
        <v>1988400000</v>
      </c>
      <c r="AE110" s="21">
        <f>SUM(I104:I110)</f>
        <v>2101550000</v>
      </c>
      <c r="AF110" s="21">
        <f>SUM(P104:P110)</f>
        <v>33989950000</v>
      </c>
      <c r="AG110" s="21">
        <f t="shared" si="94"/>
        <v>4526450000</v>
      </c>
    </row>
    <row r="111" spans="1:33" x14ac:dyDescent="0.2">
      <c r="A111">
        <v>8</v>
      </c>
      <c r="B111" t="s">
        <v>163</v>
      </c>
      <c r="C111" s="18" t="s">
        <v>103</v>
      </c>
      <c r="G111" s="23">
        <f t="shared" si="75"/>
        <v>20</v>
      </c>
      <c r="H111" s="4">
        <v>6844000000</v>
      </c>
      <c r="I111" s="20">
        <f t="shared" si="95"/>
        <v>342200000</v>
      </c>
      <c r="J111" s="20"/>
      <c r="K111" s="20"/>
      <c r="L111" s="20"/>
      <c r="M111" s="20"/>
      <c r="N111" s="20"/>
      <c r="O111" s="20"/>
      <c r="P111" s="20"/>
      <c r="Q111" s="20">
        <f>+H111-I111</f>
        <v>6501800000</v>
      </c>
      <c r="R111" s="20">
        <f t="shared" si="82"/>
        <v>6159600000</v>
      </c>
      <c r="S111" s="20">
        <f t="shared" si="83"/>
        <v>5817400000</v>
      </c>
      <c r="T111" s="20">
        <f t="shared" si="84"/>
        <v>5475200000</v>
      </c>
      <c r="U111" s="20">
        <f t="shared" si="85"/>
        <v>5133000000</v>
      </c>
      <c r="V111" s="20">
        <f t="shared" si="86"/>
        <v>4790800000</v>
      </c>
      <c r="W111" s="20">
        <f t="shared" si="87"/>
        <v>4448600000</v>
      </c>
      <c r="X111" s="20">
        <f t="shared" si="88"/>
        <v>4106400000</v>
      </c>
      <c r="Y111" s="20">
        <f t="shared" si="89"/>
        <v>3764200000</v>
      </c>
      <c r="Z111" s="20">
        <f t="shared" si="90"/>
        <v>3422000000</v>
      </c>
      <c r="AA111" s="20">
        <f t="shared" si="91"/>
        <v>3079800000</v>
      </c>
      <c r="AB111" s="20">
        <f t="shared" si="92"/>
        <v>2737600000</v>
      </c>
      <c r="AC111" s="20">
        <f t="shared" si="93"/>
        <v>2395400000</v>
      </c>
      <c r="AE111" s="21">
        <f>SUM(I104:I111)</f>
        <v>2443750000</v>
      </c>
      <c r="AF111" s="21">
        <f>SUM(Q104:Q111)</f>
        <v>38390200000</v>
      </c>
      <c r="AG111" s="21">
        <f t="shared" si="94"/>
        <v>4400250000</v>
      </c>
    </row>
    <row r="112" spans="1:33" x14ac:dyDescent="0.2">
      <c r="A112">
        <v>9</v>
      </c>
      <c r="B112" t="s">
        <v>163</v>
      </c>
      <c r="C112" s="18" t="s">
        <v>102</v>
      </c>
      <c r="D112" s="4">
        <v>3924000000</v>
      </c>
      <c r="E112" s="4">
        <v>5268000000</v>
      </c>
      <c r="F112" s="4">
        <v>7339000000</v>
      </c>
      <c r="G112" s="19">
        <v>20</v>
      </c>
      <c r="H112" s="4">
        <v>6984000000</v>
      </c>
      <c r="I112" s="20">
        <f t="shared" si="95"/>
        <v>349200000</v>
      </c>
      <c r="J112" s="20"/>
      <c r="K112" s="20"/>
      <c r="L112" s="20"/>
      <c r="M112" s="20"/>
      <c r="N112" s="20"/>
      <c r="O112" s="20"/>
      <c r="P112" s="20"/>
      <c r="Q112" s="20"/>
      <c r="R112" s="20">
        <f>+H112-I112</f>
        <v>6634800000</v>
      </c>
      <c r="S112" s="20">
        <f t="shared" si="83"/>
        <v>6285600000</v>
      </c>
      <c r="T112" s="20">
        <f t="shared" si="84"/>
        <v>5936400000</v>
      </c>
      <c r="U112" s="20">
        <f t="shared" si="85"/>
        <v>5587200000</v>
      </c>
      <c r="V112" s="20">
        <f t="shared" si="86"/>
        <v>5238000000</v>
      </c>
      <c r="W112" s="20">
        <f t="shared" si="87"/>
        <v>4888800000</v>
      </c>
      <c r="X112" s="20">
        <f t="shared" si="88"/>
        <v>4539600000</v>
      </c>
      <c r="Y112" s="20">
        <f t="shared" si="89"/>
        <v>4190400000</v>
      </c>
      <c r="Z112" s="20">
        <f t="shared" si="90"/>
        <v>3841200000</v>
      </c>
      <c r="AA112" s="20">
        <f t="shared" si="91"/>
        <v>3492000000</v>
      </c>
      <c r="AB112" s="20">
        <f t="shared" si="92"/>
        <v>3142800000</v>
      </c>
      <c r="AC112" s="20">
        <f t="shared" si="93"/>
        <v>2793600000</v>
      </c>
      <c r="AE112" s="21">
        <f>SUM(I104:I112)</f>
        <v>2792950000</v>
      </c>
      <c r="AF112" s="21">
        <f>SUM(R104:R112)</f>
        <v>42581250000</v>
      </c>
      <c r="AG112" s="21">
        <f t="shared" si="94"/>
        <v>4191050000</v>
      </c>
    </row>
    <row r="113" spans="1:33" x14ac:dyDescent="0.2">
      <c r="A113">
        <v>10</v>
      </c>
      <c r="B113" t="s">
        <v>163</v>
      </c>
      <c r="C113" s="18" t="s">
        <v>101</v>
      </c>
      <c r="D113" s="22">
        <f>$D112</f>
        <v>3924000000</v>
      </c>
      <c r="E113" s="22">
        <f>$E112</f>
        <v>5268000000</v>
      </c>
      <c r="F113" s="22">
        <f>$F112</f>
        <v>7339000000</v>
      </c>
      <c r="G113" s="23">
        <f>$G$13</f>
        <v>20</v>
      </c>
      <c r="H113" s="4">
        <v>6739000000</v>
      </c>
      <c r="I113" s="20">
        <f t="shared" si="95"/>
        <v>336950000</v>
      </c>
      <c r="J113" s="20"/>
      <c r="K113" s="20"/>
      <c r="L113" s="20"/>
      <c r="M113" s="20"/>
      <c r="N113" s="20"/>
      <c r="O113" s="20"/>
      <c r="P113" s="20"/>
      <c r="Q113" s="20"/>
      <c r="R113" s="20"/>
      <c r="S113" s="20">
        <f>+H113-I113</f>
        <v>6402050000</v>
      </c>
      <c r="T113" s="20">
        <f t="shared" si="84"/>
        <v>6065100000</v>
      </c>
      <c r="U113" s="20">
        <f t="shared" si="85"/>
        <v>5728150000</v>
      </c>
      <c r="V113" s="20">
        <f t="shared" si="86"/>
        <v>5391200000</v>
      </c>
      <c r="W113" s="20">
        <f t="shared" si="87"/>
        <v>5054250000</v>
      </c>
      <c r="X113" s="20">
        <f t="shared" si="88"/>
        <v>4717300000</v>
      </c>
      <c r="Y113" s="20">
        <f t="shared" si="89"/>
        <v>4380350000</v>
      </c>
      <c r="Z113" s="20">
        <f t="shared" si="90"/>
        <v>4043400000</v>
      </c>
      <c r="AA113" s="20">
        <f t="shared" si="91"/>
        <v>3706450000</v>
      </c>
      <c r="AB113" s="20">
        <f t="shared" si="92"/>
        <v>3369500000</v>
      </c>
      <c r="AC113" s="20">
        <f t="shared" si="93"/>
        <v>3032550000</v>
      </c>
      <c r="AE113" s="21">
        <f>SUM(I104:I113)</f>
        <v>3129900000</v>
      </c>
      <c r="AF113" s="21">
        <f>SUM(S104:S113)</f>
        <v>46190350000</v>
      </c>
      <c r="AG113" s="21">
        <f t="shared" si="94"/>
        <v>3609100000</v>
      </c>
    </row>
    <row r="114" spans="1:33" x14ac:dyDescent="0.2">
      <c r="A114">
        <v>11</v>
      </c>
      <c r="B114" t="s">
        <v>163</v>
      </c>
      <c r="C114" s="18" t="s">
        <v>100</v>
      </c>
      <c r="D114" s="22">
        <f>$D112</f>
        <v>3924000000</v>
      </c>
      <c r="E114" s="22">
        <f>$E112</f>
        <v>5268000000</v>
      </c>
      <c r="F114" s="22">
        <f>$F112</f>
        <v>7339000000</v>
      </c>
      <c r="G114" s="23">
        <f t="shared" ref="G114:G123" si="96">$G$13</f>
        <v>20</v>
      </c>
      <c r="H114" s="4">
        <v>6659000000</v>
      </c>
      <c r="I114" s="20">
        <f t="shared" si="95"/>
        <v>332950000</v>
      </c>
      <c r="J114" s="20"/>
      <c r="K114" s="20"/>
      <c r="L114" s="20"/>
      <c r="M114" s="20"/>
      <c r="N114" s="20"/>
      <c r="O114" s="20"/>
      <c r="P114" s="20"/>
      <c r="Q114" s="20"/>
      <c r="R114" s="20"/>
      <c r="S114" s="20"/>
      <c r="T114" s="20">
        <f>+H114-I114</f>
        <v>6326050000</v>
      </c>
      <c r="U114" s="20">
        <f t="shared" si="85"/>
        <v>5993100000</v>
      </c>
      <c r="V114" s="20">
        <f t="shared" si="86"/>
        <v>5660150000</v>
      </c>
      <c r="W114" s="20">
        <f t="shared" si="87"/>
        <v>5327200000</v>
      </c>
      <c r="X114" s="20">
        <f t="shared" si="88"/>
        <v>4994250000</v>
      </c>
      <c r="Y114" s="20">
        <f t="shared" si="89"/>
        <v>4661300000</v>
      </c>
      <c r="Z114" s="20">
        <f t="shared" si="90"/>
        <v>4328350000</v>
      </c>
      <c r="AA114" s="20">
        <f t="shared" si="91"/>
        <v>3995400000</v>
      </c>
      <c r="AB114" s="20">
        <f t="shared" si="92"/>
        <v>3662450000</v>
      </c>
      <c r="AC114" s="20">
        <f t="shared" si="93"/>
        <v>3329500000</v>
      </c>
      <c r="AE114" s="21">
        <f>SUM(I104:I114)</f>
        <v>3462850000</v>
      </c>
      <c r="AF114" s="21">
        <f>SUM(T104:T114)</f>
        <v>49386500000</v>
      </c>
      <c r="AG114" s="21">
        <f t="shared" si="94"/>
        <v>3196150000</v>
      </c>
    </row>
    <row r="115" spans="1:33" x14ac:dyDescent="0.2">
      <c r="A115">
        <v>12</v>
      </c>
      <c r="B115" t="s">
        <v>163</v>
      </c>
      <c r="C115" s="18" t="s">
        <v>99</v>
      </c>
      <c r="D115" s="22">
        <f>$D112</f>
        <v>3924000000</v>
      </c>
      <c r="E115" s="22">
        <f>$E112</f>
        <v>5268000000</v>
      </c>
      <c r="F115" s="22">
        <f>$F112</f>
        <v>7339000000</v>
      </c>
      <c r="G115" s="23">
        <f t="shared" si="96"/>
        <v>20</v>
      </c>
      <c r="H115" s="4">
        <v>7142000000</v>
      </c>
      <c r="I115" s="20">
        <f t="shared" si="95"/>
        <v>357100000</v>
      </c>
      <c r="J115" s="20"/>
      <c r="K115" s="20"/>
      <c r="L115" s="20"/>
      <c r="M115" s="20"/>
      <c r="N115" s="20"/>
      <c r="O115" s="20"/>
      <c r="P115" s="20"/>
      <c r="Q115" s="20"/>
      <c r="R115" s="20"/>
      <c r="S115" s="20"/>
      <c r="T115" s="20"/>
      <c r="U115" s="20">
        <f>+H115-I115</f>
        <v>6784900000</v>
      </c>
      <c r="V115" s="20">
        <f t="shared" si="86"/>
        <v>6427800000</v>
      </c>
      <c r="W115" s="20">
        <f t="shared" si="87"/>
        <v>6070700000</v>
      </c>
      <c r="X115" s="20">
        <f t="shared" si="88"/>
        <v>5713600000</v>
      </c>
      <c r="Y115" s="20">
        <f t="shared" si="89"/>
        <v>5356500000</v>
      </c>
      <c r="Z115" s="20">
        <f t="shared" si="90"/>
        <v>4999400000</v>
      </c>
      <c r="AA115" s="20">
        <f t="shared" si="91"/>
        <v>4642300000</v>
      </c>
      <c r="AB115" s="20">
        <f t="shared" si="92"/>
        <v>4285200000</v>
      </c>
      <c r="AC115" s="20">
        <f t="shared" si="93"/>
        <v>3928100000</v>
      </c>
      <c r="AE115" s="21">
        <f>SUM(I104:I115)</f>
        <v>3819950000</v>
      </c>
      <c r="AF115" s="21">
        <f>SUM(U104:U115)</f>
        <v>52708550000</v>
      </c>
      <c r="AG115" s="21">
        <f t="shared" si="94"/>
        <v>3322050000</v>
      </c>
    </row>
    <row r="116" spans="1:33" x14ac:dyDescent="0.2">
      <c r="A116">
        <v>13</v>
      </c>
      <c r="B116" t="s">
        <v>163</v>
      </c>
      <c r="C116" s="18" t="s">
        <v>98</v>
      </c>
      <c r="D116" s="22">
        <f>$D112</f>
        <v>3924000000</v>
      </c>
      <c r="E116" s="22">
        <f>$E112</f>
        <v>5268000000</v>
      </c>
      <c r="F116" s="22">
        <f>$F112</f>
        <v>7339000000</v>
      </c>
      <c r="G116" s="23">
        <f t="shared" si="96"/>
        <v>20</v>
      </c>
      <c r="H116" s="4">
        <v>7653000000</v>
      </c>
      <c r="I116" s="20">
        <f t="shared" si="95"/>
        <v>382650000</v>
      </c>
      <c r="J116" s="20"/>
      <c r="K116" s="20"/>
      <c r="L116" s="20"/>
      <c r="M116" s="20"/>
      <c r="N116" s="20"/>
      <c r="O116" s="20"/>
      <c r="P116" s="20"/>
      <c r="Q116" s="20"/>
      <c r="R116" s="20"/>
      <c r="S116" s="20"/>
      <c r="T116" s="20"/>
      <c r="U116" s="20"/>
      <c r="V116" s="20">
        <f>+H116-I116</f>
        <v>7270350000</v>
      </c>
      <c r="W116" s="20">
        <f t="shared" si="87"/>
        <v>6887700000</v>
      </c>
      <c r="X116" s="20">
        <f t="shared" si="88"/>
        <v>6505050000</v>
      </c>
      <c r="Y116" s="20">
        <f t="shared" si="89"/>
        <v>6122400000</v>
      </c>
      <c r="Z116" s="20">
        <f t="shared" si="90"/>
        <v>5739750000</v>
      </c>
      <c r="AA116" s="20">
        <f t="shared" si="91"/>
        <v>5357100000</v>
      </c>
      <c r="AB116" s="20">
        <f t="shared" si="92"/>
        <v>4974450000</v>
      </c>
      <c r="AC116" s="20">
        <f t="shared" si="93"/>
        <v>4591800000</v>
      </c>
      <c r="AE116" s="21">
        <f>SUM(I104:I116)</f>
        <v>4202600000</v>
      </c>
      <c r="AF116" s="21">
        <f>SUM(V104:V116)</f>
        <v>56158950000</v>
      </c>
      <c r="AG116" s="21">
        <f t="shared" si="94"/>
        <v>3450400000</v>
      </c>
    </row>
    <row r="117" spans="1:33" x14ac:dyDescent="0.2">
      <c r="A117">
        <v>14</v>
      </c>
      <c r="B117" t="s">
        <v>163</v>
      </c>
      <c r="C117" s="18" t="s">
        <v>97</v>
      </c>
      <c r="D117" s="22">
        <f>$D112</f>
        <v>3924000000</v>
      </c>
      <c r="E117" s="22">
        <f>$E112</f>
        <v>5268000000</v>
      </c>
      <c r="F117" s="22">
        <f>$F112</f>
        <v>7339000000</v>
      </c>
      <c r="G117" s="23">
        <f t="shared" si="96"/>
        <v>20</v>
      </c>
      <c r="H117" s="4">
        <v>8056000000</v>
      </c>
      <c r="I117" s="20">
        <f t="shared" si="95"/>
        <v>402800000</v>
      </c>
      <c r="J117" s="20"/>
      <c r="K117" s="20"/>
      <c r="L117" s="20"/>
      <c r="M117" s="20"/>
      <c r="N117" s="20"/>
      <c r="O117" s="20"/>
      <c r="P117" s="20"/>
      <c r="Q117" s="20"/>
      <c r="R117" s="20"/>
      <c r="S117" s="20"/>
      <c r="T117" s="20"/>
      <c r="U117" s="20"/>
      <c r="V117" s="20"/>
      <c r="W117" s="20">
        <f>+H117-I117</f>
        <v>7653200000</v>
      </c>
      <c r="X117" s="20">
        <f t="shared" si="88"/>
        <v>7250400000</v>
      </c>
      <c r="Y117" s="20">
        <f t="shared" si="89"/>
        <v>6847600000</v>
      </c>
      <c r="Z117" s="20">
        <f t="shared" si="90"/>
        <v>6444800000</v>
      </c>
      <c r="AA117" s="20">
        <f t="shared" si="91"/>
        <v>6042000000</v>
      </c>
      <c r="AB117" s="20">
        <f t="shared" si="92"/>
        <v>5639200000</v>
      </c>
      <c r="AC117" s="20">
        <f t="shared" si="93"/>
        <v>5236400000</v>
      </c>
      <c r="AE117" s="21">
        <f>SUM(I104:I117)</f>
        <v>4605400000</v>
      </c>
      <c r="AF117" s="21">
        <f>SUM(W104:W117)</f>
        <v>59609550000</v>
      </c>
      <c r="AG117" s="21">
        <f t="shared" si="94"/>
        <v>3450600000</v>
      </c>
    </row>
    <row r="118" spans="1:33" x14ac:dyDescent="0.2">
      <c r="A118">
        <v>15</v>
      </c>
      <c r="B118" t="s">
        <v>163</v>
      </c>
      <c r="C118" s="18" t="s">
        <v>96</v>
      </c>
      <c r="D118" s="22">
        <f>$D112</f>
        <v>3924000000</v>
      </c>
      <c r="E118" s="22">
        <f>$E112</f>
        <v>5268000000</v>
      </c>
      <c r="F118" s="22">
        <f>$F112</f>
        <v>7339000000</v>
      </c>
      <c r="G118" s="23">
        <f t="shared" si="96"/>
        <v>20</v>
      </c>
      <c r="H118" s="4">
        <v>7544000000</v>
      </c>
      <c r="I118" s="20">
        <f t="shared" si="95"/>
        <v>377200000</v>
      </c>
      <c r="J118" s="20"/>
      <c r="K118" s="20"/>
      <c r="L118" s="20"/>
      <c r="M118" s="20"/>
      <c r="N118" s="20"/>
      <c r="O118" s="20"/>
      <c r="P118" s="20"/>
      <c r="Q118" s="20"/>
      <c r="R118" s="20"/>
      <c r="S118" s="20"/>
      <c r="T118" s="20"/>
      <c r="U118" s="20"/>
      <c r="V118" s="20"/>
      <c r="W118" s="20"/>
      <c r="X118" s="20">
        <f>+H118-I118</f>
        <v>7166800000</v>
      </c>
      <c r="Y118" s="20">
        <f t="shared" si="89"/>
        <v>6789600000</v>
      </c>
      <c r="Z118" s="20">
        <f t="shared" si="90"/>
        <v>6412400000</v>
      </c>
      <c r="AA118" s="20">
        <f t="shared" si="91"/>
        <v>6035200000</v>
      </c>
      <c r="AB118" s="20">
        <f t="shared" si="92"/>
        <v>5658000000</v>
      </c>
      <c r="AC118" s="20">
        <f t="shared" si="93"/>
        <v>5280800000</v>
      </c>
      <c r="AE118" s="21">
        <f>SUM(I104:I118)</f>
        <v>4982600000</v>
      </c>
      <c r="AF118" s="21">
        <f>SUM(X104:X118)</f>
        <v>62170950000</v>
      </c>
      <c r="AG118" s="21">
        <f t="shared" si="94"/>
        <v>2561400000</v>
      </c>
    </row>
    <row r="119" spans="1:33" x14ac:dyDescent="0.2">
      <c r="A119">
        <v>16</v>
      </c>
      <c r="B119" t="s">
        <v>163</v>
      </c>
      <c r="C119" s="18" t="s">
        <v>95</v>
      </c>
      <c r="D119" s="22">
        <f>$D112</f>
        <v>3924000000</v>
      </c>
      <c r="E119" s="22">
        <f>$E112</f>
        <v>5268000000</v>
      </c>
      <c r="F119" s="22">
        <f>$F112</f>
        <v>7339000000</v>
      </c>
      <c r="G119" s="23">
        <f t="shared" si="96"/>
        <v>20</v>
      </c>
      <c r="H119" s="4">
        <v>7917000000</v>
      </c>
      <c r="I119" s="20">
        <f t="shared" si="95"/>
        <v>395850000</v>
      </c>
      <c r="J119" s="20"/>
      <c r="K119" s="20"/>
      <c r="L119" s="20"/>
      <c r="M119" s="20"/>
      <c r="N119" s="20"/>
      <c r="O119" s="20"/>
      <c r="P119" s="20"/>
      <c r="Q119" s="20"/>
      <c r="R119" s="20"/>
      <c r="S119" s="20"/>
      <c r="T119" s="20"/>
      <c r="U119" s="20"/>
      <c r="V119" s="20"/>
      <c r="W119" s="20"/>
      <c r="X119" s="20"/>
      <c r="Y119" s="20">
        <f>+H119-I119</f>
        <v>7521150000</v>
      </c>
      <c r="Z119" s="20">
        <f t="shared" si="90"/>
        <v>7125300000</v>
      </c>
      <c r="AA119" s="20">
        <f t="shared" si="91"/>
        <v>6729450000</v>
      </c>
      <c r="AB119" s="20">
        <f t="shared" si="92"/>
        <v>6333600000</v>
      </c>
      <c r="AC119" s="20">
        <f t="shared" si="93"/>
        <v>5937750000</v>
      </c>
      <c r="AE119" s="21">
        <f>SUM(I104:I119)</f>
        <v>5378450000</v>
      </c>
      <c r="AF119" s="21">
        <f>SUM(Y104:Y119)</f>
        <v>64709500000</v>
      </c>
      <c r="AG119" s="21">
        <f t="shared" si="94"/>
        <v>2538550000</v>
      </c>
    </row>
    <row r="120" spans="1:33" x14ac:dyDescent="0.2">
      <c r="A120">
        <v>17</v>
      </c>
      <c r="B120" t="s">
        <v>163</v>
      </c>
      <c r="C120" s="18" t="s">
        <v>94</v>
      </c>
      <c r="D120" s="22">
        <f>$D112</f>
        <v>3924000000</v>
      </c>
      <c r="E120" s="22">
        <f>$E112</f>
        <v>5268000000</v>
      </c>
      <c r="F120" s="22">
        <f>$F112</f>
        <v>7339000000</v>
      </c>
      <c r="G120" s="23">
        <f t="shared" si="96"/>
        <v>20</v>
      </c>
      <c r="H120" s="4">
        <v>8198000000</v>
      </c>
      <c r="I120" s="20">
        <f t="shared" si="95"/>
        <v>409900000</v>
      </c>
      <c r="J120" s="20"/>
      <c r="K120" s="20"/>
      <c r="L120" s="20"/>
      <c r="M120" s="20"/>
      <c r="N120" s="20"/>
      <c r="O120" s="20"/>
      <c r="P120" s="20"/>
      <c r="Q120" s="20"/>
      <c r="R120" s="20"/>
      <c r="S120" s="20"/>
      <c r="T120" s="20"/>
      <c r="U120" s="20"/>
      <c r="V120" s="20"/>
      <c r="W120" s="20"/>
      <c r="X120" s="20"/>
      <c r="Y120" s="20"/>
      <c r="Z120" s="20">
        <f>+H120-I120</f>
        <v>7788100000</v>
      </c>
      <c r="AA120" s="20">
        <f t="shared" si="91"/>
        <v>7378200000</v>
      </c>
      <c r="AB120" s="20">
        <f t="shared" si="92"/>
        <v>6968300000</v>
      </c>
      <c r="AC120" s="20">
        <f t="shared" si="93"/>
        <v>6558400000</v>
      </c>
      <c r="AE120" s="21">
        <f>SUM(I104:I120)</f>
        <v>5788350000</v>
      </c>
      <c r="AF120" s="21">
        <f>SUM(Z104:Z120)</f>
        <v>67119150000</v>
      </c>
      <c r="AG120" s="21">
        <f t="shared" si="94"/>
        <v>2409650000</v>
      </c>
    </row>
    <row r="121" spans="1:33" x14ac:dyDescent="0.2">
      <c r="A121">
        <v>18</v>
      </c>
      <c r="B121" t="s">
        <v>163</v>
      </c>
      <c r="C121" s="18" t="s">
        <v>93</v>
      </c>
      <c r="D121" s="22">
        <f>$D112</f>
        <v>3924000000</v>
      </c>
      <c r="E121" s="22">
        <f>$E112</f>
        <v>5268000000</v>
      </c>
      <c r="F121" s="22">
        <f>$F112</f>
        <v>7339000000</v>
      </c>
      <c r="G121" s="23">
        <f t="shared" si="96"/>
        <v>20</v>
      </c>
      <c r="H121" s="4">
        <v>8829000000</v>
      </c>
      <c r="I121" s="20">
        <f t="shared" si="95"/>
        <v>441450000</v>
      </c>
      <c r="J121" s="20"/>
      <c r="K121" s="20"/>
      <c r="L121" s="20"/>
      <c r="M121" s="20"/>
      <c r="N121" s="20"/>
      <c r="O121" s="20"/>
      <c r="P121" s="20"/>
      <c r="Q121" s="20"/>
      <c r="R121" s="20"/>
      <c r="S121" s="20"/>
      <c r="T121" s="20"/>
      <c r="U121" s="20"/>
      <c r="V121" s="20"/>
      <c r="W121" s="20"/>
      <c r="X121" s="20"/>
      <c r="Y121" s="20"/>
      <c r="Z121" s="20"/>
      <c r="AA121" s="20">
        <f>+H121-I121</f>
        <v>8387550000</v>
      </c>
      <c r="AB121" s="20">
        <f t="shared" si="92"/>
        <v>7946100000</v>
      </c>
      <c r="AC121" s="20">
        <f t="shared" si="93"/>
        <v>7504650000</v>
      </c>
      <c r="AE121" s="21">
        <f>SUM(I104:I121)</f>
        <v>6229800000</v>
      </c>
      <c r="AF121" s="21">
        <f>SUM(AA104:AA121)</f>
        <v>69718350000</v>
      </c>
      <c r="AG121" s="21">
        <f t="shared" si="94"/>
        <v>2599200000</v>
      </c>
    </row>
    <row r="122" spans="1:33" x14ac:dyDescent="0.2">
      <c r="A122">
        <v>19</v>
      </c>
      <c r="B122" t="s">
        <v>163</v>
      </c>
      <c r="C122" s="18" t="s">
        <v>141</v>
      </c>
      <c r="D122" s="22">
        <f>$D112</f>
        <v>3924000000</v>
      </c>
      <c r="E122" s="22">
        <f>$E112</f>
        <v>5268000000</v>
      </c>
      <c r="F122" s="22">
        <f>$F112</f>
        <v>7339000000</v>
      </c>
      <c r="G122" s="23">
        <f t="shared" si="96"/>
        <v>20</v>
      </c>
      <c r="H122" s="4">
        <v>8146000000</v>
      </c>
      <c r="I122" s="20">
        <f t="shared" si="95"/>
        <v>407300000</v>
      </c>
      <c r="J122" s="20"/>
      <c r="K122" s="20"/>
      <c r="L122" s="20"/>
      <c r="M122" s="20"/>
      <c r="N122" s="20"/>
      <c r="O122" s="20"/>
      <c r="P122" s="20"/>
      <c r="Q122" s="20"/>
      <c r="R122" s="20"/>
      <c r="S122" s="20"/>
      <c r="T122" s="20"/>
      <c r="U122" s="20"/>
      <c r="V122" s="20"/>
      <c r="W122" s="20"/>
      <c r="X122" s="20"/>
      <c r="Y122" s="20"/>
      <c r="Z122" s="20"/>
      <c r="AA122" s="20"/>
      <c r="AB122" s="20">
        <f>+H122-I122</f>
        <v>7738700000</v>
      </c>
      <c r="AC122" s="20">
        <f t="shared" si="93"/>
        <v>7331400000</v>
      </c>
      <c r="AE122" s="21">
        <f>SUM(I104:I122)</f>
        <v>6637100000</v>
      </c>
      <c r="AF122" s="21">
        <f>SUM(AB104:AB122)</f>
        <v>71227250000</v>
      </c>
      <c r="AG122" s="21">
        <f t="shared" si="94"/>
        <v>1508900000</v>
      </c>
    </row>
    <row r="123" spans="1:33" x14ac:dyDescent="0.2">
      <c r="A123">
        <v>20</v>
      </c>
      <c r="B123" t="s">
        <v>163</v>
      </c>
      <c r="C123" s="18" t="s">
        <v>160</v>
      </c>
      <c r="D123" s="22">
        <f>$D112</f>
        <v>3924000000</v>
      </c>
      <c r="E123" s="22">
        <f>$E112</f>
        <v>5268000000</v>
      </c>
      <c r="F123" s="22">
        <f>$F112</f>
        <v>7339000000</v>
      </c>
      <c r="G123" s="23">
        <f t="shared" si="96"/>
        <v>20</v>
      </c>
      <c r="H123" s="4">
        <v>8504000000</v>
      </c>
      <c r="I123" s="20">
        <f t="shared" si="95"/>
        <v>425200000</v>
      </c>
      <c r="J123" s="20"/>
      <c r="K123" s="20"/>
      <c r="L123" s="20"/>
      <c r="M123" s="20"/>
      <c r="N123" s="20"/>
      <c r="O123" s="20"/>
      <c r="P123" s="20"/>
      <c r="Q123" s="20"/>
      <c r="R123" s="20"/>
      <c r="S123" s="20"/>
      <c r="T123" s="20"/>
      <c r="U123" s="20"/>
      <c r="V123" s="20"/>
      <c r="W123" s="20"/>
      <c r="X123" s="20"/>
      <c r="Y123" s="20"/>
      <c r="Z123" s="20"/>
      <c r="AA123" s="20"/>
      <c r="AB123" s="20"/>
      <c r="AC123" s="20">
        <f>+H123-I123</f>
        <v>8078800000</v>
      </c>
      <c r="AE123" s="21">
        <f>SUM(I104:I123)</f>
        <v>7062300000</v>
      </c>
      <c r="AF123" s="21">
        <f>SUM(AC104:AC123)</f>
        <v>72668950000</v>
      </c>
      <c r="AG123" s="21">
        <f t="shared" si="94"/>
        <v>1441700000</v>
      </c>
    </row>
    <row r="133" spans="2:33" x14ac:dyDescent="0.2">
      <c r="C133" t="s">
        <v>163</v>
      </c>
    </row>
    <row r="134" spans="2:33" x14ac:dyDescent="0.2">
      <c r="C134" s="6" t="s">
        <v>107</v>
      </c>
      <c r="D134" s="6" t="s">
        <v>438</v>
      </c>
      <c r="E134" s="6" t="s">
        <v>439</v>
      </c>
      <c r="F134" s="6" t="s">
        <v>440</v>
      </c>
      <c r="G134" s="6" t="s">
        <v>441</v>
      </c>
      <c r="H134" s="6" t="s">
        <v>442</v>
      </c>
      <c r="I134" s="15"/>
      <c r="J134" s="6" t="s">
        <v>443</v>
      </c>
      <c r="K134" s="6" t="s">
        <v>444</v>
      </c>
      <c r="L134" s="6" t="s">
        <v>445</v>
      </c>
      <c r="M134" s="6" t="s">
        <v>446</v>
      </c>
      <c r="N134" s="6" t="s">
        <v>447</v>
      </c>
      <c r="O134" s="6" t="s">
        <v>448</v>
      </c>
      <c r="P134" s="6" t="s">
        <v>449</v>
      </c>
      <c r="Q134" s="6" t="s">
        <v>450</v>
      </c>
      <c r="R134" s="6" t="s">
        <v>451</v>
      </c>
      <c r="S134" s="6" t="s">
        <v>452</v>
      </c>
      <c r="T134" s="6" t="s">
        <v>453</v>
      </c>
      <c r="U134" s="6" t="s">
        <v>454</v>
      </c>
      <c r="V134" s="6" t="s">
        <v>455</v>
      </c>
      <c r="W134" s="6" t="s">
        <v>456</v>
      </c>
      <c r="X134" s="6" t="s">
        <v>457</v>
      </c>
      <c r="Y134" s="6" t="s">
        <v>458</v>
      </c>
      <c r="Z134" s="6" t="s">
        <v>459</v>
      </c>
      <c r="AA134" s="6" t="s">
        <v>460</v>
      </c>
      <c r="AB134" s="6" t="s">
        <v>461</v>
      </c>
      <c r="AC134" s="6" t="s">
        <v>462</v>
      </c>
      <c r="AD134" s="15"/>
      <c r="AE134" s="6" t="s">
        <v>106</v>
      </c>
      <c r="AF134" s="6" t="s">
        <v>105</v>
      </c>
      <c r="AG134" s="6" t="s">
        <v>463</v>
      </c>
    </row>
    <row r="135" spans="2:33" x14ac:dyDescent="0.2">
      <c r="C135" s="16" t="s">
        <v>464</v>
      </c>
      <c r="J135" s="17">
        <v>20</v>
      </c>
      <c r="K135" s="17">
        <v>19</v>
      </c>
      <c r="L135" s="17">
        <v>18</v>
      </c>
      <c r="M135" s="17">
        <v>17</v>
      </c>
      <c r="N135" s="17">
        <v>16</v>
      </c>
      <c r="O135" s="17">
        <v>15</v>
      </c>
      <c r="P135" s="17">
        <v>14</v>
      </c>
      <c r="Q135" s="17">
        <v>13</v>
      </c>
      <c r="R135" s="17">
        <v>12</v>
      </c>
      <c r="S135" s="17">
        <v>11</v>
      </c>
      <c r="T135" s="17">
        <v>10</v>
      </c>
      <c r="U135" s="17">
        <v>9</v>
      </c>
      <c r="V135" s="17">
        <v>8</v>
      </c>
      <c r="W135" s="17">
        <v>7</v>
      </c>
      <c r="X135" s="17">
        <v>6</v>
      </c>
      <c r="Y135" s="17">
        <v>5</v>
      </c>
      <c r="Z135" s="17">
        <v>4</v>
      </c>
      <c r="AA135" s="17">
        <v>3</v>
      </c>
      <c r="AB135" s="17">
        <v>2</v>
      </c>
      <c r="AC135" s="17">
        <v>1</v>
      </c>
    </row>
    <row r="136" spans="2:33" x14ac:dyDescent="0.2">
      <c r="B136" t="s">
        <v>163</v>
      </c>
      <c r="C136" s="18" t="s">
        <v>102</v>
      </c>
      <c r="D136" s="4">
        <v>19269000000</v>
      </c>
      <c r="E136" s="4">
        <v>20716000000</v>
      </c>
      <c r="F136" s="4">
        <v>24512000000</v>
      </c>
      <c r="G136" s="19">
        <v>20</v>
      </c>
      <c r="H136" s="4">
        <v>6984000000</v>
      </c>
      <c r="J136" s="20">
        <f t="shared" ref="J136:J147" si="97">H136</f>
        <v>6984000000</v>
      </c>
      <c r="K136" s="20">
        <f>$F136/4</f>
        <v>6128000000</v>
      </c>
      <c r="L136" s="20">
        <f>$F136/4</f>
        <v>6128000000</v>
      </c>
      <c r="M136" s="20">
        <f>$F136/4</f>
        <v>6128000000</v>
      </c>
      <c r="N136" s="20">
        <f>$F136/4</f>
        <v>6128000000</v>
      </c>
      <c r="O136" s="20">
        <f>$E136/4</f>
        <v>5179000000</v>
      </c>
      <c r="P136" s="20">
        <f>$E136/4</f>
        <v>5179000000</v>
      </c>
      <c r="Q136" s="20">
        <f>$E136/4</f>
        <v>5179000000</v>
      </c>
      <c r="R136" s="20">
        <f>$E136/4</f>
        <v>5179000000</v>
      </c>
      <c r="S136" s="20">
        <f>$D136/4</f>
        <v>4817250000</v>
      </c>
      <c r="T136" s="20">
        <f>$D136/4</f>
        <v>4817250000</v>
      </c>
      <c r="U136" s="20">
        <f>$D136/4</f>
        <v>4817250000</v>
      </c>
      <c r="V136" s="20">
        <f>$D136/4</f>
        <v>4817250000</v>
      </c>
      <c r="W136" s="20">
        <v>0</v>
      </c>
      <c r="X136" s="20">
        <v>0</v>
      </c>
      <c r="Y136" s="20">
        <v>0</v>
      </c>
      <c r="Z136" s="20">
        <v>0</v>
      </c>
      <c r="AA136" s="20">
        <v>0</v>
      </c>
      <c r="AB136" s="20">
        <v>0</v>
      </c>
      <c r="AC136" s="20">
        <v>0</v>
      </c>
      <c r="AE136" s="21">
        <f>SUM(J136:AC136)/$G136</f>
        <v>3574050000</v>
      </c>
      <c r="AF136" s="21">
        <f>SUMPRODUCT($J$135:$AC$135,J136:AC136)/$G136</f>
        <v>51568075000</v>
      </c>
      <c r="AG136" s="21">
        <f t="shared" ref="AG136:AG147" si="98">H136-AE136</f>
        <v>3409950000</v>
      </c>
    </row>
    <row r="137" spans="2:33" x14ac:dyDescent="0.2">
      <c r="B137" t="s">
        <v>163</v>
      </c>
      <c r="C137" s="18" t="s">
        <v>101</v>
      </c>
      <c r="D137" s="22">
        <f>$D136</f>
        <v>19269000000</v>
      </c>
      <c r="E137" s="22">
        <f>$E136</f>
        <v>20716000000</v>
      </c>
      <c r="F137" s="22">
        <f>$F136</f>
        <v>24512000000</v>
      </c>
      <c r="G137" s="23">
        <f>$G$136</f>
        <v>20</v>
      </c>
      <c r="H137" s="4">
        <v>6739000000</v>
      </c>
      <c r="J137" s="20">
        <f t="shared" si="97"/>
        <v>6739000000</v>
      </c>
      <c r="K137" s="20">
        <f t="shared" ref="K137:K147" si="99">H136</f>
        <v>6984000000</v>
      </c>
      <c r="L137" s="20">
        <f>$F136/4</f>
        <v>6128000000</v>
      </c>
      <c r="M137" s="20">
        <f>$F136/4</f>
        <v>6128000000</v>
      </c>
      <c r="N137" s="20">
        <f>$F136/4</f>
        <v>6128000000</v>
      </c>
      <c r="O137" s="20">
        <f>$F136/4</f>
        <v>6128000000</v>
      </c>
      <c r="P137" s="20">
        <f>$E136/4</f>
        <v>5179000000</v>
      </c>
      <c r="Q137" s="20">
        <f>$E136/4</f>
        <v>5179000000</v>
      </c>
      <c r="R137" s="20">
        <f>$E136/4</f>
        <v>5179000000</v>
      </c>
      <c r="S137" s="20">
        <f>$E136/4</f>
        <v>5179000000</v>
      </c>
      <c r="T137" s="20">
        <f>$D136/4</f>
        <v>4817250000</v>
      </c>
      <c r="U137" s="20">
        <f>$D136/4</f>
        <v>4817250000</v>
      </c>
      <c r="V137" s="20">
        <f>$D136/4</f>
        <v>4817250000</v>
      </c>
      <c r="W137" s="20">
        <f>$D136/4</f>
        <v>4817250000</v>
      </c>
      <c r="X137" s="20">
        <v>0</v>
      </c>
      <c r="Y137" s="20">
        <v>0</v>
      </c>
      <c r="Z137" s="20">
        <v>0</v>
      </c>
      <c r="AA137" s="20">
        <v>0</v>
      </c>
      <c r="AB137" s="20">
        <v>0</v>
      </c>
      <c r="AC137" s="20">
        <v>0</v>
      </c>
      <c r="AE137" s="21">
        <f t="shared" ref="AE137:AE147" si="100">SUM(J137:AC137)/$G137</f>
        <v>3911000000</v>
      </c>
      <c r="AF137" s="21">
        <f t="shared" ref="AF137:AF147" si="101">SUMPRODUCT($J$135:$AC$135,J137:AC137)/$G137</f>
        <v>54733025000</v>
      </c>
      <c r="AG137" s="21">
        <f t="shared" si="98"/>
        <v>2828000000</v>
      </c>
    </row>
    <row r="138" spans="2:33" x14ac:dyDescent="0.2">
      <c r="B138" t="s">
        <v>163</v>
      </c>
      <c r="C138" s="18" t="s">
        <v>100</v>
      </c>
      <c r="D138" s="22">
        <f>$D136</f>
        <v>19269000000</v>
      </c>
      <c r="E138" s="22">
        <f>$E136</f>
        <v>20716000000</v>
      </c>
      <c r="F138" s="22">
        <f>$F136</f>
        <v>24512000000</v>
      </c>
      <c r="G138" s="23">
        <f t="shared" ref="G138:G147" si="102">$G$136</f>
        <v>20</v>
      </c>
      <c r="H138" s="4">
        <v>6659000000</v>
      </c>
      <c r="J138" s="20">
        <f t="shared" si="97"/>
        <v>6659000000</v>
      </c>
      <c r="K138" s="20">
        <f t="shared" si="99"/>
        <v>6739000000</v>
      </c>
      <c r="L138" s="20">
        <f t="shared" ref="L138:L147" si="103">H136</f>
        <v>6984000000</v>
      </c>
      <c r="M138" s="20">
        <f>$F136/4</f>
        <v>6128000000</v>
      </c>
      <c r="N138" s="20">
        <f>$F136/4</f>
        <v>6128000000</v>
      </c>
      <c r="O138" s="20">
        <f>$F136/4</f>
        <v>6128000000</v>
      </c>
      <c r="P138" s="20">
        <f>$F136/4</f>
        <v>6128000000</v>
      </c>
      <c r="Q138" s="20">
        <f>$E136/4</f>
        <v>5179000000</v>
      </c>
      <c r="R138" s="20">
        <f>$E136/4</f>
        <v>5179000000</v>
      </c>
      <c r="S138" s="20">
        <f>$E136/4</f>
        <v>5179000000</v>
      </c>
      <c r="T138" s="20">
        <f>$E136/4</f>
        <v>5179000000</v>
      </c>
      <c r="U138" s="20">
        <f>$D136/4</f>
        <v>4817250000</v>
      </c>
      <c r="V138" s="20">
        <f>$D136/4</f>
        <v>4817250000</v>
      </c>
      <c r="W138" s="20">
        <f>$D136/4</f>
        <v>4817250000</v>
      </c>
      <c r="X138" s="20">
        <f>$D136/4</f>
        <v>4817250000</v>
      </c>
      <c r="Y138" s="20">
        <v>0</v>
      </c>
      <c r="Z138" s="20">
        <v>0</v>
      </c>
      <c r="AA138" s="20">
        <v>0</v>
      </c>
      <c r="AB138" s="20">
        <v>0</v>
      </c>
      <c r="AC138" s="20">
        <v>0</v>
      </c>
      <c r="AE138" s="21">
        <f t="shared" si="100"/>
        <v>4243950000</v>
      </c>
      <c r="AF138" s="21">
        <f t="shared" si="101"/>
        <v>57481025000</v>
      </c>
      <c r="AG138" s="21">
        <f t="shared" si="98"/>
        <v>2415050000</v>
      </c>
    </row>
    <row r="139" spans="2:33" x14ac:dyDescent="0.2">
      <c r="B139" t="s">
        <v>163</v>
      </c>
      <c r="C139" s="18" t="s">
        <v>99</v>
      </c>
      <c r="D139" s="22">
        <f>$D136</f>
        <v>19269000000</v>
      </c>
      <c r="E139" s="22">
        <f>$E136</f>
        <v>20716000000</v>
      </c>
      <c r="F139" s="22">
        <f>$F136</f>
        <v>24512000000</v>
      </c>
      <c r="G139" s="23">
        <f t="shared" si="102"/>
        <v>20</v>
      </c>
      <c r="H139" s="4">
        <v>7142000000</v>
      </c>
      <c r="J139" s="20">
        <f t="shared" si="97"/>
        <v>7142000000</v>
      </c>
      <c r="K139" s="20">
        <f t="shared" si="99"/>
        <v>6659000000</v>
      </c>
      <c r="L139" s="20">
        <f t="shared" si="103"/>
        <v>6739000000</v>
      </c>
      <c r="M139" s="20">
        <f t="shared" ref="M139:M147" si="104">H136</f>
        <v>6984000000</v>
      </c>
      <c r="N139" s="20">
        <f>$F136/4</f>
        <v>6128000000</v>
      </c>
      <c r="O139" s="20">
        <f>$F136/4</f>
        <v>6128000000</v>
      </c>
      <c r="P139" s="20">
        <f>$F136/4</f>
        <v>6128000000</v>
      </c>
      <c r="Q139" s="20">
        <f>$F136/4</f>
        <v>6128000000</v>
      </c>
      <c r="R139" s="20">
        <f>$E136/4</f>
        <v>5179000000</v>
      </c>
      <c r="S139" s="20">
        <f>$E136/4</f>
        <v>5179000000</v>
      </c>
      <c r="T139" s="20">
        <f>$E136/4</f>
        <v>5179000000</v>
      </c>
      <c r="U139" s="20">
        <f>$E136/4</f>
        <v>5179000000</v>
      </c>
      <c r="V139" s="20">
        <f>$D136/4</f>
        <v>4817250000</v>
      </c>
      <c r="W139" s="20">
        <f>$D136/4</f>
        <v>4817250000</v>
      </c>
      <c r="X139" s="20">
        <f>$D136/4</f>
        <v>4817250000</v>
      </c>
      <c r="Y139" s="20">
        <f>$D136/4</f>
        <v>4817250000</v>
      </c>
      <c r="Z139" s="20">
        <v>0</v>
      </c>
      <c r="AA139" s="20">
        <v>0</v>
      </c>
      <c r="AB139" s="20">
        <v>0</v>
      </c>
      <c r="AC139" s="20">
        <v>0</v>
      </c>
      <c r="AE139" s="21">
        <f t="shared" si="100"/>
        <v>4601050000</v>
      </c>
      <c r="AF139" s="21">
        <f t="shared" si="101"/>
        <v>60379075000</v>
      </c>
      <c r="AG139" s="21">
        <f t="shared" si="98"/>
        <v>2540950000</v>
      </c>
    </row>
    <row r="140" spans="2:33" x14ac:dyDescent="0.2">
      <c r="B140" t="s">
        <v>163</v>
      </c>
      <c r="C140" s="18" t="s">
        <v>98</v>
      </c>
      <c r="D140" s="22">
        <f>$D136</f>
        <v>19269000000</v>
      </c>
      <c r="E140" s="22">
        <f>$E136</f>
        <v>20716000000</v>
      </c>
      <c r="F140" s="22">
        <f>$F136</f>
        <v>24512000000</v>
      </c>
      <c r="G140" s="23">
        <f t="shared" si="102"/>
        <v>20</v>
      </c>
      <c r="H140" s="4">
        <v>7653000000</v>
      </c>
      <c r="J140" s="20">
        <f t="shared" si="97"/>
        <v>7653000000</v>
      </c>
      <c r="K140" s="20">
        <f t="shared" si="99"/>
        <v>7142000000</v>
      </c>
      <c r="L140" s="20">
        <f t="shared" si="103"/>
        <v>6659000000</v>
      </c>
      <c r="M140" s="20">
        <f t="shared" si="104"/>
        <v>6739000000</v>
      </c>
      <c r="N140" s="20">
        <f t="shared" ref="N140:N147" si="105">H136</f>
        <v>6984000000</v>
      </c>
      <c r="O140" s="20">
        <f>$F136/4</f>
        <v>6128000000</v>
      </c>
      <c r="P140" s="20">
        <f>$F136/4</f>
        <v>6128000000</v>
      </c>
      <c r="Q140" s="20">
        <f>$F136/4</f>
        <v>6128000000</v>
      </c>
      <c r="R140" s="20">
        <f>$F136/4</f>
        <v>6128000000</v>
      </c>
      <c r="S140" s="20">
        <f>$E136/4</f>
        <v>5179000000</v>
      </c>
      <c r="T140" s="20">
        <f>$E136/4</f>
        <v>5179000000</v>
      </c>
      <c r="U140" s="20">
        <f>$E136/4</f>
        <v>5179000000</v>
      </c>
      <c r="V140" s="20">
        <f>$E136/4</f>
        <v>5179000000</v>
      </c>
      <c r="W140" s="20">
        <f>$D136/4</f>
        <v>4817250000</v>
      </c>
      <c r="X140" s="20">
        <f>$D136/4</f>
        <v>4817250000</v>
      </c>
      <c r="Y140" s="20">
        <f>$D136/4</f>
        <v>4817250000</v>
      </c>
      <c r="Z140" s="20">
        <f>$D136/4</f>
        <v>4817250000</v>
      </c>
      <c r="AA140" s="20">
        <v>0</v>
      </c>
      <c r="AB140" s="20">
        <v>0</v>
      </c>
      <c r="AC140" s="20">
        <v>0</v>
      </c>
      <c r="AE140" s="21">
        <f t="shared" si="100"/>
        <v>4983700000</v>
      </c>
      <c r="AF140" s="21">
        <f t="shared" si="101"/>
        <v>63431025000</v>
      </c>
      <c r="AG140" s="21">
        <f t="shared" si="98"/>
        <v>2669300000</v>
      </c>
    </row>
    <row r="141" spans="2:33" x14ac:dyDescent="0.2">
      <c r="B141" t="s">
        <v>163</v>
      </c>
      <c r="C141" s="18" t="s">
        <v>97</v>
      </c>
      <c r="D141" s="22">
        <f>$D136</f>
        <v>19269000000</v>
      </c>
      <c r="E141" s="22">
        <f>$E136</f>
        <v>20716000000</v>
      </c>
      <c r="F141" s="22">
        <f>$F136</f>
        <v>24512000000</v>
      </c>
      <c r="G141" s="23">
        <f t="shared" si="102"/>
        <v>20</v>
      </c>
      <c r="H141" s="4">
        <v>8056000000</v>
      </c>
      <c r="J141" s="20">
        <f t="shared" si="97"/>
        <v>8056000000</v>
      </c>
      <c r="K141" s="20">
        <f t="shared" si="99"/>
        <v>7653000000</v>
      </c>
      <c r="L141" s="20">
        <f t="shared" si="103"/>
        <v>7142000000</v>
      </c>
      <c r="M141" s="20">
        <f t="shared" si="104"/>
        <v>6659000000</v>
      </c>
      <c r="N141" s="20">
        <f t="shared" si="105"/>
        <v>6739000000</v>
      </c>
      <c r="O141" s="20">
        <f t="shared" ref="O141:O147" si="106">H136</f>
        <v>6984000000</v>
      </c>
      <c r="P141" s="20">
        <f>$F136/4</f>
        <v>6128000000</v>
      </c>
      <c r="Q141" s="20">
        <f>$F136/4</f>
        <v>6128000000</v>
      </c>
      <c r="R141" s="20">
        <f>$F136/4</f>
        <v>6128000000</v>
      </c>
      <c r="S141" s="20">
        <f>$F136/4</f>
        <v>6128000000</v>
      </c>
      <c r="T141" s="20">
        <f>$E136/4</f>
        <v>5179000000</v>
      </c>
      <c r="U141" s="20">
        <f>$E136/4</f>
        <v>5179000000</v>
      </c>
      <c r="V141" s="20">
        <f>$E136/4</f>
        <v>5179000000</v>
      </c>
      <c r="W141" s="20">
        <f>$E136/4</f>
        <v>5179000000</v>
      </c>
      <c r="X141" s="20">
        <f>$D136/4</f>
        <v>4817250000</v>
      </c>
      <c r="Y141" s="20">
        <f>$D136/4</f>
        <v>4817250000</v>
      </c>
      <c r="Z141" s="20">
        <f>$D136/4</f>
        <v>4817250000</v>
      </c>
      <c r="AA141" s="20">
        <f>$D136/4</f>
        <v>4817250000</v>
      </c>
      <c r="AB141" s="20">
        <v>0</v>
      </c>
      <c r="AC141" s="20">
        <v>0</v>
      </c>
      <c r="AE141" s="21">
        <f t="shared" si="100"/>
        <v>5386500000</v>
      </c>
      <c r="AF141" s="21">
        <f t="shared" si="101"/>
        <v>66503325000</v>
      </c>
      <c r="AG141" s="21">
        <f t="shared" si="98"/>
        <v>2669500000</v>
      </c>
    </row>
    <row r="142" spans="2:33" x14ac:dyDescent="0.2">
      <c r="B142" t="s">
        <v>163</v>
      </c>
      <c r="C142" s="18" t="s">
        <v>96</v>
      </c>
      <c r="D142" s="22">
        <f>$D136</f>
        <v>19269000000</v>
      </c>
      <c r="E142" s="22">
        <f>$E136</f>
        <v>20716000000</v>
      </c>
      <c r="F142" s="22">
        <f>$F136</f>
        <v>24512000000</v>
      </c>
      <c r="G142" s="23">
        <f t="shared" si="102"/>
        <v>20</v>
      </c>
      <c r="H142" s="4">
        <v>7544000000</v>
      </c>
      <c r="J142" s="20">
        <f t="shared" si="97"/>
        <v>7544000000</v>
      </c>
      <c r="K142" s="20">
        <f t="shared" si="99"/>
        <v>8056000000</v>
      </c>
      <c r="L142" s="20">
        <f t="shared" si="103"/>
        <v>7653000000</v>
      </c>
      <c r="M142" s="20">
        <f t="shared" si="104"/>
        <v>7142000000</v>
      </c>
      <c r="N142" s="20">
        <f t="shared" si="105"/>
        <v>6659000000</v>
      </c>
      <c r="O142" s="20">
        <f t="shared" si="106"/>
        <v>6739000000</v>
      </c>
      <c r="P142" s="20">
        <f t="shared" ref="P142:P147" si="107">H136</f>
        <v>6984000000</v>
      </c>
      <c r="Q142" s="20">
        <f>$F136/4</f>
        <v>6128000000</v>
      </c>
      <c r="R142" s="20">
        <f>$F136/4</f>
        <v>6128000000</v>
      </c>
      <c r="S142" s="20">
        <f>$F136/4</f>
        <v>6128000000</v>
      </c>
      <c r="T142" s="20">
        <f>$F136/4</f>
        <v>6128000000</v>
      </c>
      <c r="U142" s="20">
        <f>$E136/4</f>
        <v>5179000000</v>
      </c>
      <c r="V142" s="20">
        <f>$E136/4</f>
        <v>5179000000</v>
      </c>
      <c r="W142" s="20">
        <f>$E136/4</f>
        <v>5179000000</v>
      </c>
      <c r="X142" s="20">
        <f>$E136/4</f>
        <v>5179000000</v>
      </c>
      <c r="Y142" s="20">
        <f>$D136/4</f>
        <v>4817250000</v>
      </c>
      <c r="Z142" s="20">
        <f>$D136/4</f>
        <v>4817250000</v>
      </c>
      <c r="AA142" s="20">
        <f>$D136/4</f>
        <v>4817250000</v>
      </c>
      <c r="AB142" s="20">
        <f>$D136/4</f>
        <v>4817250000</v>
      </c>
      <c r="AC142" s="20">
        <v>0</v>
      </c>
      <c r="AE142" s="21">
        <f t="shared" si="100"/>
        <v>5763700000</v>
      </c>
      <c r="AF142" s="21">
        <f t="shared" si="101"/>
        <v>68660825000</v>
      </c>
      <c r="AG142" s="21">
        <f t="shared" si="98"/>
        <v>1780300000</v>
      </c>
    </row>
    <row r="143" spans="2:33" x14ac:dyDescent="0.2">
      <c r="B143" t="s">
        <v>163</v>
      </c>
      <c r="C143" s="18" t="s">
        <v>95</v>
      </c>
      <c r="D143" s="22">
        <f>$D136</f>
        <v>19269000000</v>
      </c>
      <c r="E143" s="22">
        <f>$E136</f>
        <v>20716000000</v>
      </c>
      <c r="F143" s="22">
        <f>$F136</f>
        <v>24512000000</v>
      </c>
      <c r="G143" s="23">
        <f t="shared" si="102"/>
        <v>20</v>
      </c>
      <c r="H143" s="4">
        <v>7917000000</v>
      </c>
      <c r="J143" s="20">
        <f t="shared" si="97"/>
        <v>7917000000</v>
      </c>
      <c r="K143" s="20">
        <f t="shared" si="99"/>
        <v>7544000000</v>
      </c>
      <c r="L143" s="20">
        <f t="shared" si="103"/>
        <v>8056000000</v>
      </c>
      <c r="M143" s="20">
        <f t="shared" si="104"/>
        <v>7653000000</v>
      </c>
      <c r="N143" s="20">
        <f t="shared" si="105"/>
        <v>7142000000</v>
      </c>
      <c r="O143" s="20">
        <f t="shared" si="106"/>
        <v>6659000000</v>
      </c>
      <c r="P143" s="20">
        <f t="shared" si="107"/>
        <v>6739000000</v>
      </c>
      <c r="Q143" s="20">
        <f>H136</f>
        <v>6984000000</v>
      </c>
      <c r="R143" s="20">
        <f>$F136/4</f>
        <v>6128000000</v>
      </c>
      <c r="S143" s="20">
        <f>$F136/4</f>
        <v>6128000000</v>
      </c>
      <c r="T143" s="20">
        <f>$F136/4</f>
        <v>6128000000</v>
      </c>
      <c r="U143" s="20">
        <f>$F136/4</f>
        <v>6128000000</v>
      </c>
      <c r="V143" s="20">
        <f>$E136/4</f>
        <v>5179000000</v>
      </c>
      <c r="W143" s="20">
        <f>$E136/4</f>
        <v>5179000000</v>
      </c>
      <c r="X143" s="20">
        <f>$E136/4</f>
        <v>5179000000</v>
      </c>
      <c r="Y143" s="20">
        <f>$E136/4</f>
        <v>5179000000</v>
      </c>
      <c r="Z143" s="20">
        <f>$D136/4</f>
        <v>4817250000</v>
      </c>
      <c r="AA143" s="20">
        <f>$D136/4</f>
        <v>4817250000</v>
      </c>
      <c r="AB143" s="20">
        <f>$D136/4</f>
        <v>4817250000</v>
      </c>
      <c r="AC143" s="20">
        <f>$D136/4</f>
        <v>4817250000</v>
      </c>
      <c r="AE143" s="21">
        <f t="shared" si="100"/>
        <v>6159550000</v>
      </c>
      <c r="AF143" s="21">
        <f t="shared" si="101"/>
        <v>70814125000</v>
      </c>
      <c r="AG143" s="21">
        <f t="shared" si="98"/>
        <v>1757450000</v>
      </c>
    </row>
    <row r="144" spans="2:33" x14ac:dyDescent="0.2">
      <c r="B144" t="s">
        <v>163</v>
      </c>
      <c r="C144" s="18" t="s">
        <v>94</v>
      </c>
      <c r="D144" s="22">
        <f>$D136</f>
        <v>19269000000</v>
      </c>
      <c r="E144" s="22">
        <f>$E136</f>
        <v>20716000000</v>
      </c>
      <c r="F144" s="22">
        <f>$F136</f>
        <v>24512000000</v>
      </c>
      <c r="G144" s="23">
        <f t="shared" si="102"/>
        <v>20</v>
      </c>
      <c r="H144" s="4">
        <v>8198000000</v>
      </c>
      <c r="J144" s="20">
        <f t="shared" si="97"/>
        <v>8198000000</v>
      </c>
      <c r="K144" s="20">
        <f t="shared" si="99"/>
        <v>7917000000</v>
      </c>
      <c r="L144" s="20">
        <f t="shared" si="103"/>
        <v>7544000000</v>
      </c>
      <c r="M144" s="20">
        <f t="shared" si="104"/>
        <v>8056000000</v>
      </c>
      <c r="N144" s="20">
        <f t="shared" si="105"/>
        <v>7653000000</v>
      </c>
      <c r="O144" s="20">
        <f t="shared" si="106"/>
        <v>7142000000</v>
      </c>
      <c r="P144" s="20">
        <f t="shared" si="107"/>
        <v>6659000000</v>
      </c>
      <c r="Q144" s="20">
        <f>H137</f>
        <v>6739000000</v>
      </c>
      <c r="R144" s="20">
        <f>H136</f>
        <v>6984000000</v>
      </c>
      <c r="S144" s="20">
        <f>$F136/4</f>
        <v>6128000000</v>
      </c>
      <c r="T144" s="20">
        <f>$F136/4</f>
        <v>6128000000</v>
      </c>
      <c r="U144" s="20">
        <f>$F136/4</f>
        <v>6128000000</v>
      </c>
      <c r="V144" s="20">
        <f>$F136/4</f>
        <v>6128000000</v>
      </c>
      <c r="W144" s="20">
        <f>$E136/4</f>
        <v>5179000000</v>
      </c>
      <c r="X144" s="20">
        <f>$E136/4</f>
        <v>5179000000</v>
      </c>
      <c r="Y144" s="20">
        <f>$E136/4</f>
        <v>5179000000</v>
      </c>
      <c r="Z144" s="20">
        <f>$E136/4</f>
        <v>5179000000</v>
      </c>
      <c r="AA144" s="20">
        <f>$D136/4</f>
        <v>4817250000</v>
      </c>
      <c r="AB144" s="20">
        <f>$D136/4</f>
        <v>4817250000</v>
      </c>
      <c r="AC144" s="20">
        <f>$D136/4</f>
        <v>4817250000</v>
      </c>
      <c r="AE144" s="21">
        <f t="shared" si="100"/>
        <v>6328587500</v>
      </c>
      <c r="AF144" s="21">
        <f t="shared" si="101"/>
        <v>72852575000</v>
      </c>
      <c r="AG144" s="21">
        <f t="shared" si="98"/>
        <v>1869412500</v>
      </c>
    </row>
    <row r="145" spans="1:33" x14ac:dyDescent="0.2">
      <c r="B145" t="s">
        <v>163</v>
      </c>
      <c r="C145" s="18" t="s">
        <v>93</v>
      </c>
      <c r="D145" s="22">
        <f>$D136</f>
        <v>19269000000</v>
      </c>
      <c r="E145" s="22">
        <f>$E136</f>
        <v>20716000000</v>
      </c>
      <c r="F145" s="22">
        <f>$F136</f>
        <v>24512000000</v>
      </c>
      <c r="G145" s="23">
        <f t="shared" si="102"/>
        <v>20</v>
      </c>
      <c r="H145" s="4">
        <v>8829000000</v>
      </c>
      <c r="J145" s="20">
        <f t="shared" si="97"/>
        <v>8829000000</v>
      </c>
      <c r="K145" s="20">
        <f t="shared" si="99"/>
        <v>8198000000</v>
      </c>
      <c r="L145" s="20">
        <f t="shared" si="103"/>
        <v>7917000000</v>
      </c>
      <c r="M145" s="20">
        <f t="shared" si="104"/>
        <v>7544000000</v>
      </c>
      <c r="N145" s="20">
        <f t="shared" si="105"/>
        <v>8056000000</v>
      </c>
      <c r="O145" s="20">
        <f t="shared" si="106"/>
        <v>7653000000</v>
      </c>
      <c r="P145" s="20">
        <f t="shared" si="107"/>
        <v>7142000000</v>
      </c>
      <c r="Q145" s="20">
        <f>H138</f>
        <v>6659000000</v>
      </c>
      <c r="R145" s="20">
        <f>H137</f>
        <v>6739000000</v>
      </c>
      <c r="S145" s="20">
        <f>H136</f>
        <v>6984000000</v>
      </c>
      <c r="T145" s="20">
        <f>$F136/4</f>
        <v>6128000000</v>
      </c>
      <c r="U145" s="20">
        <f>$F136/4</f>
        <v>6128000000</v>
      </c>
      <c r="V145" s="20">
        <f>$F136/4</f>
        <v>6128000000</v>
      </c>
      <c r="W145" s="20">
        <f>$F136/4</f>
        <v>6128000000</v>
      </c>
      <c r="X145" s="20">
        <f>$E136/4</f>
        <v>5179000000</v>
      </c>
      <c r="Y145" s="20">
        <f>$E136/4</f>
        <v>5179000000</v>
      </c>
      <c r="Z145" s="20">
        <f>$E136/4</f>
        <v>5179000000</v>
      </c>
      <c r="AA145" s="20">
        <f>$E136/4</f>
        <v>5179000000</v>
      </c>
      <c r="AB145" s="20">
        <f>$D136/4</f>
        <v>4817250000</v>
      </c>
      <c r="AC145" s="20">
        <f>$D136/4</f>
        <v>4817250000</v>
      </c>
      <c r="AE145" s="21">
        <f t="shared" si="100"/>
        <v>6529175000</v>
      </c>
      <c r="AF145" s="21">
        <f t="shared" si="101"/>
        <v>75352987500</v>
      </c>
      <c r="AG145" s="21">
        <f t="shared" si="98"/>
        <v>2299825000</v>
      </c>
    </row>
    <row r="146" spans="1:33" x14ac:dyDescent="0.2">
      <c r="B146" t="s">
        <v>163</v>
      </c>
      <c r="C146" s="18" t="s">
        <v>141</v>
      </c>
      <c r="D146" s="22">
        <f>$D136</f>
        <v>19269000000</v>
      </c>
      <c r="E146" s="22">
        <f>$E136</f>
        <v>20716000000</v>
      </c>
      <c r="F146" s="22">
        <f>$F136</f>
        <v>24512000000</v>
      </c>
      <c r="G146" s="23">
        <f t="shared" si="102"/>
        <v>20</v>
      </c>
      <c r="H146" s="4">
        <v>8146000000</v>
      </c>
      <c r="J146" s="20">
        <f t="shared" si="97"/>
        <v>8146000000</v>
      </c>
      <c r="K146" s="20">
        <f t="shared" si="99"/>
        <v>8829000000</v>
      </c>
      <c r="L146" s="20">
        <f t="shared" si="103"/>
        <v>8198000000</v>
      </c>
      <c r="M146" s="20">
        <f t="shared" si="104"/>
        <v>7917000000</v>
      </c>
      <c r="N146" s="20">
        <f t="shared" si="105"/>
        <v>7544000000</v>
      </c>
      <c r="O146" s="20">
        <f t="shared" si="106"/>
        <v>8056000000</v>
      </c>
      <c r="P146" s="20">
        <f t="shared" si="107"/>
        <v>7653000000</v>
      </c>
      <c r="Q146" s="20">
        <f>H139</f>
        <v>7142000000</v>
      </c>
      <c r="R146" s="20">
        <f>H138</f>
        <v>6659000000</v>
      </c>
      <c r="S146" s="20">
        <f>H137</f>
        <v>6739000000</v>
      </c>
      <c r="T146" s="20">
        <f>H136</f>
        <v>6984000000</v>
      </c>
      <c r="U146" s="20">
        <f>$F136/4</f>
        <v>6128000000</v>
      </c>
      <c r="V146" s="20">
        <f>$F136/4</f>
        <v>6128000000</v>
      </c>
      <c r="W146" s="20">
        <f>$F136/4</f>
        <v>6128000000</v>
      </c>
      <c r="X146" s="20">
        <f>$F136/4</f>
        <v>6128000000</v>
      </c>
      <c r="Y146" s="20">
        <f>$E136/4</f>
        <v>5179000000</v>
      </c>
      <c r="Z146" s="20">
        <f>$E136/4</f>
        <v>5179000000</v>
      </c>
      <c r="AA146" s="20">
        <f>$E136/4</f>
        <v>5179000000</v>
      </c>
      <c r="AB146" s="20">
        <f>$E136/4</f>
        <v>5179000000</v>
      </c>
      <c r="AC146" s="20">
        <f>$D136/4</f>
        <v>4817250000</v>
      </c>
      <c r="AE146" s="21">
        <f t="shared" si="100"/>
        <v>6695612500</v>
      </c>
      <c r="AF146" s="21">
        <f t="shared" si="101"/>
        <v>76969812500</v>
      </c>
      <c r="AG146" s="21">
        <f t="shared" si="98"/>
        <v>1450387500</v>
      </c>
    </row>
    <row r="147" spans="1:33" x14ac:dyDescent="0.2">
      <c r="B147" t="s">
        <v>163</v>
      </c>
      <c r="C147" s="18" t="s">
        <v>160</v>
      </c>
      <c r="D147" s="22">
        <f>$D136</f>
        <v>19269000000</v>
      </c>
      <c r="E147" s="22">
        <f>$E136</f>
        <v>20716000000</v>
      </c>
      <c r="F147" s="22">
        <f>$F136</f>
        <v>24512000000</v>
      </c>
      <c r="G147" s="23">
        <f t="shared" si="102"/>
        <v>20</v>
      </c>
      <c r="H147" s="4">
        <v>8504000000</v>
      </c>
      <c r="J147" s="20">
        <f t="shared" si="97"/>
        <v>8504000000</v>
      </c>
      <c r="K147" s="20">
        <f t="shared" si="99"/>
        <v>8146000000</v>
      </c>
      <c r="L147" s="20">
        <f t="shared" si="103"/>
        <v>8829000000</v>
      </c>
      <c r="M147" s="20">
        <f t="shared" si="104"/>
        <v>8198000000</v>
      </c>
      <c r="N147" s="20">
        <f t="shared" si="105"/>
        <v>7917000000</v>
      </c>
      <c r="O147" s="20">
        <f t="shared" si="106"/>
        <v>7544000000</v>
      </c>
      <c r="P147" s="20">
        <f t="shared" si="107"/>
        <v>8056000000</v>
      </c>
      <c r="Q147" s="20">
        <f>H140</f>
        <v>7653000000</v>
      </c>
      <c r="R147" s="20">
        <f>H139</f>
        <v>7142000000</v>
      </c>
      <c r="S147" s="20">
        <f>H138</f>
        <v>6659000000</v>
      </c>
      <c r="T147" s="20">
        <f>H137</f>
        <v>6739000000</v>
      </c>
      <c r="U147" s="20">
        <f>H136</f>
        <v>6984000000</v>
      </c>
      <c r="V147" s="20">
        <f>$F136/4</f>
        <v>6128000000</v>
      </c>
      <c r="W147" s="20">
        <f>$F136/4</f>
        <v>6128000000</v>
      </c>
      <c r="X147" s="20">
        <f>$F136/4</f>
        <v>6128000000</v>
      </c>
      <c r="Y147" s="20">
        <f>$F136/4</f>
        <v>6128000000</v>
      </c>
      <c r="Z147" s="20">
        <f>$E136/4</f>
        <v>5179000000</v>
      </c>
      <c r="AA147" s="20">
        <f>$E136/4</f>
        <v>5179000000</v>
      </c>
      <c r="AB147" s="20">
        <f>$E136/4</f>
        <v>5179000000</v>
      </c>
      <c r="AC147" s="20">
        <f>$E136/4</f>
        <v>5179000000</v>
      </c>
      <c r="AE147" s="21">
        <f t="shared" si="100"/>
        <v>6879950000</v>
      </c>
      <c r="AF147" s="21">
        <f t="shared" si="101"/>
        <v>78778200000</v>
      </c>
      <c r="AG147" s="21">
        <f t="shared" si="98"/>
        <v>1624050000</v>
      </c>
    </row>
    <row r="149" spans="1:33" x14ac:dyDescent="0.2">
      <c r="C149" t="s">
        <v>179</v>
      </c>
    </row>
    <row r="150" spans="1:33" x14ac:dyDescent="0.2">
      <c r="C150" s="6" t="s">
        <v>107</v>
      </c>
      <c r="D150" s="6" t="s">
        <v>439</v>
      </c>
      <c r="E150" s="6" t="s">
        <v>440</v>
      </c>
      <c r="F150" s="6" t="s">
        <v>471</v>
      </c>
      <c r="G150" s="6" t="s">
        <v>441</v>
      </c>
      <c r="H150" s="6" t="s">
        <v>442</v>
      </c>
      <c r="I150" s="15"/>
      <c r="J150" s="6" t="s">
        <v>443</v>
      </c>
      <c r="K150" s="6" t="s">
        <v>444</v>
      </c>
      <c r="L150" s="6" t="s">
        <v>445</v>
      </c>
      <c r="M150" s="6" t="s">
        <v>446</v>
      </c>
      <c r="N150" s="6" t="s">
        <v>447</v>
      </c>
      <c r="O150" s="6" t="s">
        <v>448</v>
      </c>
      <c r="P150" s="6" t="s">
        <v>449</v>
      </c>
      <c r="Q150" s="6" t="s">
        <v>450</v>
      </c>
      <c r="R150" s="6" t="s">
        <v>451</v>
      </c>
      <c r="S150" s="6" t="s">
        <v>452</v>
      </c>
      <c r="T150" s="6" t="s">
        <v>453</v>
      </c>
      <c r="U150" s="6" t="s">
        <v>454</v>
      </c>
      <c r="V150" s="6" t="s">
        <v>455</v>
      </c>
      <c r="W150" s="6" t="s">
        <v>456</v>
      </c>
      <c r="X150" s="6" t="s">
        <v>457</v>
      </c>
      <c r="Y150" s="6" t="s">
        <v>458</v>
      </c>
      <c r="Z150" s="6" t="s">
        <v>459</v>
      </c>
      <c r="AA150" s="6" t="s">
        <v>460</v>
      </c>
      <c r="AB150" s="6" t="s">
        <v>461</v>
      </c>
      <c r="AC150" s="6" t="s">
        <v>462</v>
      </c>
      <c r="AD150" s="15"/>
      <c r="AE150" s="6" t="s">
        <v>106</v>
      </c>
      <c r="AF150" s="6" t="s">
        <v>105</v>
      </c>
      <c r="AG150" s="6" t="s">
        <v>463</v>
      </c>
    </row>
    <row r="151" spans="1:33" x14ac:dyDescent="0.2">
      <c r="C151" s="16" t="s">
        <v>464</v>
      </c>
      <c r="J151" s="17">
        <v>20</v>
      </c>
      <c r="K151" s="17">
        <v>19</v>
      </c>
      <c r="L151" s="17">
        <v>18</v>
      </c>
      <c r="M151" s="17">
        <v>17</v>
      </c>
      <c r="N151" s="17">
        <v>16</v>
      </c>
      <c r="O151" s="17">
        <v>15</v>
      </c>
      <c r="P151" s="17">
        <v>14</v>
      </c>
      <c r="Q151" s="17">
        <v>13</v>
      </c>
      <c r="R151" s="17">
        <v>12</v>
      </c>
      <c r="S151" s="17">
        <v>11</v>
      </c>
      <c r="T151" s="17">
        <v>10</v>
      </c>
      <c r="U151" s="17">
        <v>9</v>
      </c>
      <c r="V151" s="17">
        <v>8</v>
      </c>
      <c r="W151" s="17">
        <v>7</v>
      </c>
      <c r="X151" s="17">
        <v>6</v>
      </c>
      <c r="Y151" s="17">
        <v>5</v>
      </c>
      <c r="Z151" s="17">
        <v>4</v>
      </c>
      <c r="AA151" s="17">
        <v>3</v>
      </c>
      <c r="AB151" s="17">
        <v>2</v>
      </c>
      <c r="AC151" s="17">
        <v>1</v>
      </c>
    </row>
    <row r="152" spans="1:33" x14ac:dyDescent="0.2">
      <c r="A152">
        <v>1</v>
      </c>
      <c r="B152" t="s">
        <v>179</v>
      </c>
      <c r="C152" s="18" t="s">
        <v>490</v>
      </c>
      <c r="G152" s="23">
        <f t="shared" ref="G152:G159" si="108">$G$13</f>
        <v>20</v>
      </c>
      <c r="H152" s="4">
        <v>311000000</v>
      </c>
      <c r="I152" s="20">
        <f>+H152/20</f>
        <v>15550000</v>
      </c>
      <c r="J152" s="20">
        <f>+H152-$I152</f>
        <v>295450000</v>
      </c>
      <c r="K152" s="20">
        <f>+J152-$I152</f>
        <v>279900000</v>
      </c>
      <c r="L152" s="20">
        <f t="shared" ref="L152" si="109">+K152-$I152</f>
        <v>264350000</v>
      </c>
      <c r="M152" s="20">
        <f t="shared" ref="M152:M153" si="110">+L152-$I152</f>
        <v>248800000</v>
      </c>
      <c r="N152" s="20">
        <f t="shared" ref="N152:N154" si="111">+M152-$I152</f>
        <v>233250000</v>
      </c>
      <c r="O152" s="20">
        <f t="shared" ref="O152:O156" si="112">+N152-$I152</f>
        <v>217700000</v>
      </c>
      <c r="P152" s="20">
        <f t="shared" ref="P152:P157" si="113">+O152-$I152</f>
        <v>202150000</v>
      </c>
      <c r="Q152" s="20">
        <f t="shared" ref="Q152:Q158" si="114">+P152-$I152</f>
        <v>186600000</v>
      </c>
      <c r="R152" s="20">
        <f t="shared" ref="R152:R159" si="115">+Q152-$I152</f>
        <v>171050000</v>
      </c>
      <c r="S152" s="20">
        <f t="shared" ref="S152:S160" si="116">+R152-$I152</f>
        <v>155500000</v>
      </c>
      <c r="T152" s="20">
        <f t="shared" ref="T152:T161" si="117">+S152-$I152</f>
        <v>139950000</v>
      </c>
      <c r="U152" s="20">
        <f t="shared" ref="U152:U162" si="118">+T152-$I152</f>
        <v>124400000</v>
      </c>
      <c r="V152" s="20">
        <f t="shared" ref="V152:V163" si="119">+U152-$I152</f>
        <v>108850000</v>
      </c>
      <c r="W152" s="20">
        <f t="shared" ref="W152:W164" si="120">+V152-$I152</f>
        <v>93300000</v>
      </c>
      <c r="X152" s="20">
        <f t="shared" ref="X152:X165" si="121">+W152-$I152</f>
        <v>77750000</v>
      </c>
      <c r="Y152" s="20">
        <f t="shared" ref="Y152:Y166" si="122">+X152-$I152</f>
        <v>62200000</v>
      </c>
      <c r="Z152" s="20">
        <f t="shared" ref="Z152:Z167" si="123">+Y152-$I152</f>
        <v>46650000</v>
      </c>
      <c r="AA152" s="20">
        <f t="shared" ref="AA152:AA168" si="124">+Z152-$I152</f>
        <v>31100000</v>
      </c>
      <c r="AB152" s="20">
        <f t="shared" ref="AB152:AB169" si="125">+AA152-$I152</f>
        <v>15550000</v>
      </c>
      <c r="AC152" s="20">
        <f t="shared" ref="AC152:AC170" si="126">+AB152-$I152</f>
        <v>0</v>
      </c>
      <c r="AE152" s="21">
        <f>SUM(I152)</f>
        <v>15550000</v>
      </c>
      <c r="AF152" s="21">
        <f>SUM(J152:J152)</f>
        <v>295450000</v>
      </c>
      <c r="AG152" s="21">
        <f t="shared" ref="AG152:AG171" si="127">H152-AE152</f>
        <v>295450000</v>
      </c>
    </row>
    <row r="153" spans="1:33" x14ac:dyDescent="0.2">
      <c r="A153">
        <v>2</v>
      </c>
      <c r="B153" t="s">
        <v>179</v>
      </c>
      <c r="C153" s="18" t="s">
        <v>491</v>
      </c>
      <c r="G153" s="23">
        <f t="shared" si="108"/>
        <v>20</v>
      </c>
      <c r="H153" s="4">
        <v>325300000</v>
      </c>
      <c r="I153" s="20">
        <f t="shared" ref="I153:I171" si="128">+H153/20</f>
        <v>16265000</v>
      </c>
      <c r="J153" s="20"/>
      <c r="K153" s="20">
        <f>+H153-I153</f>
        <v>309035000</v>
      </c>
      <c r="L153" s="20">
        <f>+K153-$I153</f>
        <v>292770000</v>
      </c>
      <c r="M153" s="20">
        <f t="shared" si="110"/>
        <v>276505000</v>
      </c>
      <c r="N153" s="20">
        <f t="shared" si="111"/>
        <v>260240000</v>
      </c>
      <c r="O153" s="20">
        <f t="shared" si="112"/>
        <v>243975000</v>
      </c>
      <c r="P153" s="20">
        <f t="shared" si="113"/>
        <v>227710000</v>
      </c>
      <c r="Q153" s="20">
        <f t="shared" si="114"/>
        <v>211445000</v>
      </c>
      <c r="R153" s="20">
        <f t="shared" si="115"/>
        <v>195180000</v>
      </c>
      <c r="S153" s="20">
        <f t="shared" si="116"/>
        <v>178915000</v>
      </c>
      <c r="T153" s="20">
        <f t="shared" si="117"/>
        <v>162650000</v>
      </c>
      <c r="U153" s="20">
        <f t="shared" si="118"/>
        <v>146385000</v>
      </c>
      <c r="V153" s="20">
        <f t="shared" si="119"/>
        <v>130120000</v>
      </c>
      <c r="W153" s="20">
        <f t="shared" si="120"/>
        <v>113855000</v>
      </c>
      <c r="X153" s="20">
        <f t="shared" si="121"/>
        <v>97590000</v>
      </c>
      <c r="Y153" s="20">
        <f t="shared" si="122"/>
        <v>81325000</v>
      </c>
      <c r="Z153" s="20">
        <f t="shared" si="123"/>
        <v>65060000</v>
      </c>
      <c r="AA153" s="20">
        <f t="shared" si="124"/>
        <v>48795000</v>
      </c>
      <c r="AB153" s="20">
        <f t="shared" si="125"/>
        <v>32530000</v>
      </c>
      <c r="AC153" s="20">
        <f t="shared" si="126"/>
        <v>16265000</v>
      </c>
      <c r="AE153" s="21">
        <f>SUM(I152:I153)</f>
        <v>31815000</v>
      </c>
      <c r="AF153" s="21">
        <f>SUM(K152:K153)</f>
        <v>588935000</v>
      </c>
      <c r="AG153" s="21">
        <f t="shared" si="127"/>
        <v>293485000</v>
      </c>
    </row>
    <row r="154" spans="1:33" x14ac:dyDescent="0.2">
      <c r="A154">
        <v>3</v>
      </c>
      <c r="B154" t="s">
        <v>179</v>
      </c>
      <c r="C154" s="18" t="s">
        <v>484</v>
      </c>
      <c r="G154" s="23">
        <f t="shared" si="108"/>
        <v>20</v>
      </c>
      <c r="H154" s="4">
        <v>339500000</v>
      </c>
      <c r="I154" s="20">
        <f t="shared" si="128"/>
        <v>16975000</v>
      </c>
      <c r="J154" s="20"/>
      <c r="K154" s="20"/>
      <c r="L154" s="20">
        <f>+H154-I154</f>
        <v>322525000</v>
      </c>
      <c r="M154" s="20">
        <f>+L154-$I154</f>
        <v>305550000</v>
      </c>
      <c r="N154" s="20">
        <f t="shared" si="111"/>
        <v>288575000</v>
      </c>
      <c r="O154" s="20">
        <f t="shared" si="112"/>
        <v>271600000</v>
      </c>
      <c r="P154" s="20">
        <f t="shared" si="113"/>
        <v>254625000</v>
      </c>
      <c r="Q154" s="20">
        <f t="shared" si="114"/>
        <v>237650000</v>
      </c>
      <c r="R154" s="20">
        <f t="shared" si="115"/>
        <v>220675000</v>
      </c>
      <c r="S154" s="20">
        <f t="shared" si="116"/>
        <v>203700000</v>
      </c>
      <c r="T154" s="20">
        <f t="shared" si="117"/>
        <v>186725000</v>
      </c>
      <c r="U154" s="20">
        <f t="shared" si="118"/>
        <v>169750000</v>
      </c>
      <c r="V154" s="20">
        <f t="shared" si="119"/>
        <v>152775000</v>
      </c>
      <c r="W154" s="20">
        <f t="shared" si="120"/>
        <v>135800000</v>
      </c>
      <c r="X154" s="20">
        <f t="shared" si="121"/>
        <v>118825000</v>
      </c>
      <c r="Y154" s="20">
        <f t="shared" si="122"/>
        <v>101850000</v>
      </c>
      <c r="Z154" s="20">
        <f t="shared" si="123"/>
        <v>84875000</v>
      </c>
      <c r="AA154" s="20">
        <f t="shared" si="124"/>
        <v>67900000</v>
      </c>
      <c r="AB154" s="20">
        <f t="shared" si="125"/>
        <v>50925000</v>
      </c>
      <c r="AC154" s="20">
        <f t="shared" si="126"/>
        <v>33950000</v>
      </c>
      <c r="AE154" s="21">
        <f>SUM(I152:I154)</f>
        <v>48790000</v>
      </c>
      <c r="AF154" s="21">
        <f>SUM(L152:L154)</f>
        <v>879645000</v>
      </c>
      <c r="AG154" s="21">
        <f t="shared" si="127"/>
        <v>290710000</v>
      </c>
    </row>
    <row r="155" spans="1:33" x14ac:dyDescent="0.2">
      <c r="A155">
        <v>4</v>
      </c>
      <c r="B155" t="s">
        <v>179</v>
      </c>
      <c r="C155" s="18" t="s">
        <v>485</v>
      </c>
      <c r="G155" s="23">
        <f t="shared" si="108"/>
        <v>20</v>
      </c>
      <c r="H155" s="4">
        <v>359000000</v>
      </c>
      <c r="I155" s="20">
        <f t="shared" si="128"/>
        <v>17950000</v>
      </c>
      <c r="J155" s="20"/>
      <c r="K155" s="20"/>
      <c r="L155" s="20"/>
      <c r="M155" s="20">
        <f>+H155-I155</f>
        <v>341050000</v>
      </c>
      <c r="N155" s="20">
        <f>+M155-$I155</f>
        <v>323100000</v>
      </c>
      <c r="O155" s="20">
        <f t="shared" si="112"/>
        <v>305150000</v>
      </c>
      <c r="P155" s="20">
        <f t="shared" si="113"/>
        <v>287200000</v>
      </c>
      <c r="Q155" s="20">
        <f t="shared" si="114"/>
        <v>269250000</v>
      </c>
      <c r="R155" s="20">
        <f t="shared" si="115"/>
        <v>251300000</v>
      </c>
      <c r="S155" s="20">
        <f t="shared" si="116"/>
        <v>233350000</v>
      </c>
      <c r="T155" s="20">
        <f t="shared" si="117"/>
        <v>215400000</v>
      </c>
      <c r="U155" s="20">
        <f t="shared" si="118"/>
        <v>197450000</v>
      </c>
      <c r="V155" s="20">
        <f t="shared" si="119"/>
        <v>179500000</v>
      </c>
      <c r="W155" s="20">
        <f t="shared" si="120"/>
        <v>161550000</v>
      </c>
      <c r="X155" s="20">
        <f t="shared" si="121"/>
        <v>143600000</v>
      </c>
      <c r="Y155" s="20">
        <f t="shared" si="122"/>
        <v>125650000</v>
      </c>
      <c r="Z155" s="20">
        <f t="shared" si="123"/>
        <v>107700000</v>
      </c>
      <c r="AA155" s="20">
        <f t="shared" si="124"/>
        <v>89750000</v>
      </c>
      <c r="AB155" s="20">
        <f t="shared" si="125"/>
        <v>71800000</v>
      </c>
      <c r="AC155" s="20">
        <f t="shared" si="126"/>
        <v>53850000</v>
      </c>
      <c r="AE155" s="21">
        <f>SUM(I152:I155)</f>
        <v>66740000</v>
      </c>
      <c r="AF155" s="21">
        <f>SUM(M152:M155)</f>
        <v>1171905000</v>
      </c>
      <c r="AG155" s="21">
        <f t="shared" si="127"/>
        <v>292260000</v>
      </c>
    </row>
    <row r="156" spans="1:33" x14ac:dyDescent="0.2">
      <c r="A156">
        <v>5</v>
      </c>
      <c r="B156" t="s">
        <v>179</v>
      </c>
      <c r="C156" s="18" t="s">
        <v>486</v>
      </c>
      <c r="G156" s="23">
        <f t="shared" si="108"/>
        <v>20</v>
      </c>
      <c r="H156" s="4">
        <v>355400000</v>
      </c>
      <c r="I156" s="20">
        <f t="shared" si="128"/>
        <v>17770000</v>
      </c>
      <c r="J156" s="20"/>
      <c r="K156" s="20"/>
      <c r="L156" s="20"/>
      <c r="M156" s="20"/>
      <c r="N156" s="20">
        <f>+H156-I156</f>
        <v>337630000</v>
      </c>
      <c r="O156" s="20">
        <f t="shared" si="112"/>
        <v>319860000</v>
      </c>
      <c r="P156" s="20">
        <f t="shared" si="113"/>
        <v>302090000</v>
      </c>
      <c r="Q156" s="20">
        <f t="shared" si="114"/>
        <v>284320000</v>
      </c>
      <c r="R156" s="20">
        <f t="shared" si="115"/>
        <v>266550000</v>
      </c>
      <c r="S156" s="20">
        <f t="shared" si="116"/>
        <v>248780000</v>
      </c>
      <c r="T156" s="20">
        <f t="shared" si="117"/>
        <v>231010000</v>
      </c>
      <c r="U156" s="20">
        <f t="shared" si="118"/>
        <v>213240000</v>
      </c>
      <c r="V156" s="20">
        <f t="shared" si="119"/>
        <v>195470000</v>
      </c>
      <c r="W156" s="20">
        <f t="shared" si="120"/>
        <v>177700000</v>
      </c>
      <c r="X156" s="20">
        <f t="shared" si="121"/>
        <v>159930000</v>
      </c>
      <c r="Y156" s="20">
        <f t="shared" si="122"/>
        <v>142160000</v>
      </c>
      <c r="Z156" s="20">
        <f t="shared" si="123"/>
        <v>124390000</v>
      </c>
      <c r="AA156" s="20">
        <f t="shared" si="124"/>
        <v>106620000</v>
      </c>
      <c r="AB156" s="20">
        <f t="shared" si="125"/>
        <v>88850000</v>
      </c>
      <c r="AC156" s="20">
        <f t="shared" si="126"/>
        <v>71080000</v>
      </c>
      <c r="AE156" s="21">
        <f>SUM(I152:I156)</f>
        <v>84510000</v>
      </c>
      <c r="AF156" s="21">
        <f>SUM(N152:N156)</f>
        <v>1442795000</v>
      </c>
      <c r="AG156" s="21">
        <f t="shared" si="127"/>
        <v>270890000</v>
      </c>
    </row>
    <row r="157" spans="1:33" x14ac:dyDescent="0.2">
      <c r="A157">
        <v>6</v>
      </c>
      <c r="B157" t="s">
        <v>179</v>
      </c>
      <c r="C157" s="18" t="s">
        <v>487</v>
      </c>
      <c r="G157" s="23">
        <f t="shared" si="108"/>
        <v>20</v>
      </c>
      <c r="H157" s="4">
        <v>363800000</v>
      </c>
      <c r="I157" s="20">
        <f t="shared" si="128"/>
        <v>18190000</v>
      </c>
      <c r="J157" s="20"/>
      <c r="K157" s="20"/>
      <c r="L157" s="20"/>
      <c r="M157" s="20"/>
      <c r="N157" s="20"/>
      <c r="O157" s="20">
        <f>+H157-I157</f>
        <v>345610000</v>
      </c>
      <c r="P157" s="20">
        <f t="shared" si="113"/>
        <v>327420000</v>
      </c>
      <c r="Q157" s="20">
        <f t="shared" si="114"/>
        <v>309230000</v>
      </c>
      <c r="R157" s="20">
        <f t="shared" si="115"/>
        <v>291040000</v>
      </c>
      <c r="S157" s="20">
        <f t="shared" si="116"/>
        <v>272850000</v>
      </c>
      <c r="T157" s="20">
        <f t="shared" si="117"/>
        <v>254660000</v>
      </c>
      <c r="U157" s="20">
        <f t="shared" si="118"/>
        <v>236470000</v>
      </c>
      <c r="V157" s="20">
        <f t="shared" si="119"/>
        <v>218280000</v>
      </c>
      <c r="W157" s="20">
        <f t="shared" si="120"/>
        <v>200090000</v>
      </c>
      <c r="X157" s="20">
        <f t="shared" si="121"/>
        <v>181900000</v>
      </c>
      <c r="Y157" s="20">
        <f t="shared" si="122"/>
        <v>163710000</v>
      </c>
      <c r="Z157" s="20">
        <f t="shared" si="123"/>
        <v>145520000</v>
      </c>
      <c r="AA157" s="20">
        <f t="shared" si="124"/>
        <v>127330000</v>
      </c>
      <c r="AB157" s="20">
        <f t="shared" si="125"/>
        <v>109140000</v>
      </c>
      <c r="AC157" s="20">
        <f t="shared" si="126"/>
        <v>90950000</v>
      </c>
      <c r="AE157" s="21">
        <f>SUM(I152:I157)</f>
        <v>102700000</v>
      </c>
      <c r="AF157" s="21">
        <f>SUM(O152:O157)</f>
        <v>1703895000</v>
      </c>
      <c r="AG157" s="21">
        <f t="shared" si="127"/>
        <v>261100000</v>
      </c>
    </row>
    <row r="158" spans="1:33" x14ac:dyDescent="0.2">
      <c r="A158">
        <v>7</v>
      </c>
      <c r="B158" t="s">
        <v>179</v>
      </c>
      <c r="C158" s="18" t="s">
        <v>104</v>
      </c>
      <c r="G158" s="23">
        <f t="shared" si="108"/>
        <v>20</v>
      </c>
      <c r="H158" s="4">
        <v>371800000</v>
      </c>
      <c r="I158" s="20">
        <f t="shared" si="128"/>
        <v>18590000</v>
      </c>
      <c r="J158" s="20"/>
      <c r="K158" s="20"/>
      <c r="L158" s="20"/>
      <c r="M158" s="20"/>
      <c r="N158" s="20"/>
      <c r="O158" s="20"/>
      <c r="P158" s="20">
        <f>+H158-I158</f>
        <v>353210000</v>
      </c>
      <c r="Q158" s="20">
        <f t="shared" si="114"/>
        <v>334620000</v>
      </c>
      <c r="R158" s="20">
        <f t="shared" si="115"/>
        <v>316030000</v>
      </c>
      <c r="S158" s="20">
        <f t="shared" si="116"/>
        <v>297440000</v>
      </c>
      <c r="T158" s="20">
        <f t="shared" si="117"/>
        <v>278850000</v>
      </c>
      <c r="U158" s="20">
        <f t="shared" si="118"/>
        <v>260260000</v>
      </c>
      <c r="V158" s="20">
        <f t="shared" si="119"/>
        <v>241670000</v>
      </c>
      <c r="W158" s="20">
        <f t="shared" si="120"/>
        <v>223080000</v>
      </c>
      <c r="X158" s="20">
        <f t="shared" si="121"/>
        <v>204490000</v>
      </c>
      <c r="Y158" s="20">
        <f t="shared" si="122"/>
        <v>185900000</v>
      </c>
      <c r="Z158" s="20">
        <f t="shared" si="123"/>
        <v>167310000</v>
      </c>
      <c r="AA158" s="20">
        <f t="shared" si="124"/>
        <v>148720000</v>
      </c>
      <c r="AB158" s="20">
        <f t="shared" si="125"/>
        <v>130130000</v>
      </c>
      <c r="AC158" s="20">
        <f t="shared" si="126"/>
        <v>111540000</v>
      </c>
      <c r="AE158" s="21">
        <f>SUM(I152:I158)</f>
        <v>121290000</v>
      </c>
      <c r="AF158" s="21">
        <f>SUM(P152:P158)</f>
        <v>1954405000</v>
      </c>
      <c r="AG158" s="21">
        <f t="shared" si="127"/>
        <v>250510000</v>
      </c>
    </row>
    <row r="159" spans="1:33" x14ac:dyDescent="0.2">
      <c r="A159">
        <v>8</v>
      </c>
      <c r="B159" t="s">
        <v>179</v>
      </c>
      <c r="C159" s="18" t="s">
        <v>103</v>
      </c>
      <c r="G159" s="23">
        <f t="shared" si="108"/>
        <v>20</v>
      </c>
      <c r="H159" s="4">
        <v>404100000</v>
      </c>
      <c r="I159" s="20">
        <f t="shared" si="128"/>
        <v>20205000</v>
      </c>
      <c r="J159" s="20"/>
      <c r="K159" s="20"/>
      <c r="L159" s="20"/>
      <c r="M159" s="20"/>
      <c r="N159" s="20"/>
      <c r="O159" s="20"/>
      <c r="P159" s="20"/>
      <c r="Q159" s="20">
        <f>+H159-I159</f>
        <v>383895000</v>
      </c>
      <c r="R159" s="20">
        <f t="shared" si="115"/>
        <v>363690000</v>
      </c>
      <c r="S159" s="20">
        <f t="shared" si="116"/>
        <v>343485000</v>
      </c>
      <c r="T159" s="20">
        <f t="shared" si="117"/>
        <v>323280000</v>
      </c>
      <c r="U159" s="20">
        <f t="shared" si="118"/>
        <v>303075000</v>
      </c>
      <c r="V159" s="20">
        <f t="shared" si="119"/>
        <v>282870000</v>
      </c>
      <c r="W159" s="20">
        <f t="shared" si="120"/>
        <v>262665000</v>
      </c>
      <c r="X159" s="20">
        <f t="shared" si="121"/>
        <v>242460000</v>
      </c>
      <c r="Y159" s="20">
        <f t="shared" si="122"/>
        <v>222255000</v>
      </c>
      <c r="Z159" s="20">
        <f t="shared" si="123"/>
        <v>202050000</v>
      </c>
      <c r="AA159" s="20">
        <f t="shared" si="124"/>
        <v>181845000</v>
      </c>
      <c r="AB159" s="20">
        <f t="shared" si="125"/>
        <v>161640000</v>
      </c>
      <c r="AC159" s="20">
        <f t="shared" si="126"/>
        <v>141435000</v>
      </c>
      <c r="AE159" s="21">
        <f>SUM(I152:I159)</f>
        <v>141495000</v>
      </c>
      <c r="AF159" s="21">
        <f>SUM(Q152:Q159)</f>
        <v>2217010000</v>
      </c>
      <c r="AG159" s="21">
        <f t="shared" si="127"/>
        <v>262605000</v>
      </c>
    </row>
    <row r="160" spans="1:33" x14ac:dyDescent="0.2">
      <c r="A160">
        <v>9</v>
      </c>
      <c r="B160" t="s">
        <v>179</v>
      </c>
      <c r="C160" s="18" t="s">
        <v>102</v>
      </c>
      <c r="D160" s="4">
        <v>3924000000</v>
      </c>
      <c r="E160" s="4">
        <v>5268000000</v>
      </c>
      <c r="F160" s="4">
        <v>7339000000</v>
      </c>
      <c r="G160" s="19">
        <v>20</v>
      </c>
      <c r="H160" s="4">
        <v>413700000</v>
      </c>
      <c r="I160" s="20">
        <f t="shared" si="128"/>
        <v>20685000</v>
      </c>
      <c r="J160" s="20"/>
      <c r="K160" s="20"/>
      <c r="L160" s="20"/>
      <c r="M160" s="20"/>
      <c r="N160" s="20"/>
      <c r="O160" s="20"/>
      <c r="P160" s="20"/>
      <c r="Q160" s="20"/>
      <c r="R160" s="20">
        <f>+H160-I160</f>
        <v>393015000</v>
      </c>
      <c r="S160" s="20">
        <f t="shared" si="116"/>
        <v>372330000</v>
      </c>
      <c r="T160" s="20">
        <f t="shared" si="117"/>
        <v>351645000</v>
      </c>
      <c r="U160" s="20">
        <f t="shared" si="118"/>
        <v>330960000</v>
      </c>
      <c r="V160" s="20">
        <f t="shared" si="119"/>
        <v>310275000</v>
      </c>
      <c r="W160" s="20">
        <f t="shared" si="120"/>
        <v>289590000</v>
      </c>
      <c r="X160" s="20">
        <f t="shared" si="121"/>
        <v>268905000</v>
      </c>
      <c r="Y160" s="20">
        <f t="shared" si="122"/>
        <v>248220000</v>
      </c>
      <c r="Z160" s="20">
        <f t="shared" si="123"/>
        <v>227535000</v>
      </c>
      <c r="AA160" s="20">
        <f t="shared" si="124"/>
        <v>206850000</v>
      </c>
      <c r="AB160" s="20">
        <f t="shared" si="125"/>
        <v>186165000</v>
      </c>
      <c r="AC160" s="20">
        <f t="shared" si="126"/>
        <v>165480000</v>
      </c>
      <c r="AE160" s="21">
        <f>SUM(I152:I160)</f>
        <v>162180000</v>
      </c>
      <c r="AF160" s="21">
        <f>SUM(R152:R160)</f>
        <v>2468530000</v>
      </c>
      <c r="AG160" s="21">
        <f t="shared" si="127"/>
        <v>251520000</v>
      </c>
    </row>
    <row r="161" spans="1:33" x14ac:dyDescent="0.2">
      <c r="A161">
        <v>10</v>
      </c>
      <c r="B161" t="s">
        <v>179</v>
      </c>
      <c r="C161" s="18" t="s">
        <v>101</v>
      </c>
      <c r="D161" s="22">
        <f>$D160</f>
        <v>3924000000</v>
      </c>
      <c r="E161" s="22">
        <f>$E160</f>
        <v>5268000000</v>
      </c>
      <c r="F161" s="22">
        <f>$F160</f>
        <v>7339000000</v>
      </c>
      <c r="G161" s="23">
        <f>$G$13</f>
        <v>20</v>
      </c>
      <c r="H161" s="4">
        <v>414399999.99999994</v>
      </c>
      <c r="I161" s="20">
        <f t="shared" si="128"/>
        <v>20719999.999999996</v>
      </c>
      <c r="J161" s="20"/>
      <c r="K161" s="20"/>
      <c r="L161" s="20"/>
      <c r="M161" s="20"/>
      <c r="N161" s="20"/>
      <c r="O161" s="20"/>
      <c r="P161" s="20"/>
      <c r="Q161" s="20"/>
      <c r="R161" s="20"/>
      <c r="S161" s="20">
        <f>+H161-I161</f>
        <v>393679999.99999994</v>
      </c>
      <c r="T161" s="20">
        <f t="shared" si="117"/>
        <v>372959999.99999994</v>
      </c>
      <c r="U161" s="20">
        <f t="shared" si="118"/>
        <v>352239999.99999994</v>
      </c>
      <c r="V161" s="20">
        <f t="shared" si="119"/>
        <v>331519999.99999994</v>
      </c>
      <c r="W161" s="20">
        <f t="shared" si="120"/>
        <v>310799999.99999994</v>
      </c>
      <c r="X161" s="20">
        <f t="shared" si="121"/>
        <v>290079999.99999994</v>
      </c>
      <c r="Y161" s="20">
        <f t="shared" si="122"/>
        <v>269359999.99999994</v>
      </c>
      <c r="Z161" s="20">
        <f t="shared" si="123"/>
        <v>248639999.99999994</v>
      </c>
      <c r="AA161" s="20">
        <f t="shared" si="124"/>
        <v>227919999.99999994</v>
      </c>
      <c r="AB161" s="20">
        <f t="shared" si="125"/>
        <v>207199999.99999994</v>
      </c>
      <c r="AC161" s="20">
        <f t="shared" si="126"/>
        <v>186479999.99999994</v>
      </c>
      <c r="AE161" s="21">
        <f>SUM(I152:I161)</f>
        <v>182900000</v>
      </c>
      <c r="AF161" s="21">
        <f>SUM(S152:S161)</f>
        <v>2700030000</v>
      </c>
      <c r="AG161" s="21">
        <f t="shared" si="127"/>
        <v>231499999.99999994</v>
      </c>
    </row>
    <row r="162" spans="1:33" x14ac:dyDescent="0.2">
      <c r="A162">
        <v>11</v>
      </c>
      <c r="B162" t="s">
        <v>179</v>
      </c>
      <c r="C162" s="18" t="s">
        <v>100</v>
      </c>
      <c r="D162" s="22">
        <f>$D160</f>
        <v>3924000000</v>
      </c>
      <c r="E162" s="22">
        <f>$E160</f>
        <v>5268000000</v>
      </c>
      <c r="F162" s="22">
        <f>$F160</f>
        <v>7339000000</v>
      </c>
      <c r="G162" s="23">
        <f t="shared" ref="G162:G171" si="129">$G$13</f>
        <v>20</v>
      </c>
      <c r="H162" s="4">
        <v>409500000</v>
      </c>
      <c r="I162" s="20">
        <f t="shared" si="128"/>
        <v>20475000</v>
      </c>
      <c r="J162" s="20"/>
      <c r="K162" s="20"/>
      <c r="L162" s="20"/>
      <c r="M162" s="20"/>
      <c r="N162" s="20"/>
      <c r="O162" s="20"/>
      <c r="P162" s="20"/>
      <c r="Q162" s="20"/>
      <c r="R162" s="20"/>
      <c r="S162" s="20"/>
      <c r="T162" s="20">
        <f>+H162-I162</f>
        <v>389025000</v>
      </c>
      <c r="U162" s="20">
        <f t="shared" si="118"/>
        <v>368550000</v>
      </c>
      <c r="V162" s="20">
        <f t="shared" si="119"/>
        <v>348075000</v>
      </c>
      <c r="W162" s="20">
        <f t="shared" si="120"/>
        <v>327600000</v>
      </c>
      <c r="X162" s="20">
        <f t="shared" si="121"/>
        <v>307125000</v>
      </c>
      <c r="Y162" s="20">
        <f t="shared" si="122"/>
        <v>286650000</v>
      </c>
      <c r="Z162" s="20">
        <f t="shared" si="123"/>
        <v>266175000</v>
      </c>
      <c r="AA162" s="20">
        <f t="shared" si="124"/>
        <v>245700000</v>
      </c>
      <c r="AB162" s="20">
        <f t="shared" si="125"/>
        <v>225225000</v>
      </c>
      <c r="AC162" s="20">
        <f t="shared" si="126"/>
        <v>204750000</v>
      </c>
      <c r="AE162" s="21">
        <f>SUM(I152:I162)</f>
        <v>203375000</v>
      </c>
      <c r="AF162" s="21">
        <f>SUM(T152:T162)</f>
        <v>2906155000</v>
      </c>
      <c r="AG162" s="21">
        <f t="shared" si="127"/>
        <v>206125000</v>
      </c>
    </row>
    <row r="163" spans="1:33" x14ac:dyDescent="0.2">
      <c r="A163">
        <v>12</v>
      </c>
      <c r="B163" t="s">
        <v>179</v>
      </c>
      <c r="C163" s="18" t="s">
        <v>99</v>
      </c>
      <c r="D163" s="22">
        <f>$D160</f>
        <v>3924000000</v>
      </c>
      <c r="E163" s="22">
        <f>$E160</f>
        <v>5268000000</v>
      </c>
      <c r="F163" s="22">
        <f>$F160</f>
        <v>7339000000</v>
      </c>
      <c r="G163" s="23">
        <f t="shared" si="129"/>
        <v>20</v>
      </c>
      <c r="H163" s="4">
        <v>447900000</v>
      </c>
      <c r="I163" s="20">
        <f t="shared" si="128"/>
        <v>22395000</v>
      </c>
      <c r="J163" s="20"/>
      <c r="K163" s="20"/>
      <c r="L163" s="20"/>
      <c r="M163" s="20"/>
      <c r="N163" s="20"/>
      <c r="O163" s="20"/>
      <c r="P163" s="20"/>
      <c r="Q163" s="20"/>
      <c r="R163" s="20"/>
      <c r="S163" s="20"/>
      <c r="T163" s="20"/>
      <c r="U163" s="20">
        <f>+H163-I163</f>
        <v>425505000</v>
      </c>
      <c r="V163" s="20">
        <f t="shared" si="119"/>
        <v>403110000</v>
      </c>
      <c r="W163" s="20">
        <f t="shared" si="120"/>
        <v>380715000</v>
      </c>
      <c r="X163" s="20">
        <f t="shared" si="121"/>
        <v>358320000</v>
      </c>
      <c r="Y163" s="20">
        <f t="shared" si="122"/>
        <v>335925000</v>
      </c>
      <c r="Z163" s="20">
        <f t="shared" si="123"/>
        <v>313530000</v>
      </c>
      <c r="AA163" s="20">
        <f t="shared" si="124"/>
        <v>291135000</v>
      </c>
      <c r="AB163" s="20">
        <f t="shared" si="125"/>
        <v>268740000</v>
      </c>
      <c r="AC163" s="20">
        <f t="shared" si="126"/>
        <v>246345000</v>
      </c>
      <c r="AE163" s="21">
        <f>SUM(I152:I163)</f>
        <v>225770000</v>
      </c>
      <c r="AF163" s="21">
        <f>SUM(U152:U163)</f>
        <v>3128285000</v>
      </c>
      <c r="AG163" s="21">
        <f t="shared" si="127"/>
        <v>222130000</v>
      </c>
    </row>
    <row r="164" spans="1:33" x14ac:dyDescent="0.2">
      <c r="A164">
        <v>13</v>
      </c>
      <c r="B164" t="s">
        <v>179</v>
      </c>
      <c r="C164" s="18" t="s">
        <v>98</v>
      </c>
      <c r="D164" s="22">
        <f>$D160</f>
        <v>3924000000</v>
      </c>
      <c r="E164" s="22">
        <f>$E160</f>
        <v>5268000000</v>
      </c>
      <c r="F164" s="22">
        <f>$F160</f>
        <v>7339000000</v>
      </c>
      <c r="G164" s="23">
        <f t="shared" si="129"/>
        <v>20</v>
      </c>
      <c r="H164" s="4">
        <v>457200000</v>
      </c>
      <c r="I164" s="20">
        <f t="shared" si="128"/>
        <v>22860000</v>
      </c>
      <c r="J164" s="20"/>
      <c r="K164" s="20"/>
      <c r="L164" s="20"/>
      <c r="M164" s="20"/>
      <c r="N164" s="20"/>
      <c r="O164" s="20"/>
      <c r="P164" s="20"/>
      <c r="Q164" s="20"/>
      <c r="R164" s="20"/>
      <c r="S164" s="20"/>
      <c r="T164" s="20"/>
      <c r="U164" s="20"/>
      <c r="V164" s="20">
        <f>+H164-I164</f>
        <v>434340000</v>
      </c>
      <c r="W164" s="20">
        <f t="shared" si="120"/>
        <v>411480000</v>
      </c>
      <c r="X164" s="20">
        <f t="shared" si="121"/>
        <v>388620000</v>
      </c>
      <c r="Y164" s="20">
        <f t="shared" si="122"/>
        <v>365760000</v>
      </c>
      <c r="Z164" s="20">
        <f t="shared" si="123"/>
        <v>342900000</v>
      </c>
      <c r="AA164" s="20">
        <f t="shared" si="124"/>
        <v>320040000</v>
      </c>
      <c r="AB164" s="20">
        <f t="shared" si="125"/>
        <v>297180000</v>
      </c>
      <c r="AC164" s="20">
        <f t="shared" si="126"/>
        <v>274320000</v>
      </c>
      <c r="AE164" s="21">
        <f>SUM(I152:I164)</f>
        <v>248630000</v>
      </c>
      <c r="AF164" s="21">
        <f>SUM(V152:V164)</f>
        <v>3336855000</v>
      </c>
      <c r="AG164" s="21">
        <f t="shared" si="127"/>
        <v>208570000</v>
      </c>
    </row>
    <row r="165" spans="1:33" x14ac:dyDescent="0.2">
      <c r="A165">
        <v>14</v>
      </c>
      <c r="B165" t="s">
        <v>179</v>
      </c>
      <c r="C165" s="18" t="s">
        <v>97</v>
      </c>
      <c r="D165" s="22">
        <f>$D160</f>
        <v>3924000000</v>
      </c>
      <c r="E165" s="22">
        <f>$E160</f>
        <v>5268000000</v>
      </c>
      <c r="F165" s="22">
        <f>$F160</f>
        <v>7339000000</v>
      </c>
      <c r="G165" s="23">
        <f t="shared" si="129"/>
        <v>20</v>
      </c>
      <c r="H165" s="4">
        <v>494800000.00000006</v>
      </c>
      <c r="I165" s="20">
        <f t="shared" si="128"/>
        <v>24740000.000000004</v>
      </c>
      <c r="J165" s="20"/>
      <c r="K165" s="20"/>
      <c r="L165" s="20"/>
      <c r="M165" s="20"/>
      <c r="N165" s="20"/>
      <c r="O165" s="20"/>
      <c r="P165" s="20"/>
      <c r="Q165" s="20"/>
      <c r="R165" s="20"/>
      <c r="S165" s="20"/>
      <c r="T165" s="20"/>
      <c r="U165" s="20"/>
      <c r="V165" s="20"/>
      <c r="W165" s="20">
        <f>+H165-I165</f>
        <v>470060000.00000006</v>
      </c>
      <c r="X165" s="20">
        <f t="shared" si="121"/>
        <v>445320000.00000006</v>
      </c>
      <c r="Y165" s="20">
        <f t="shared" si="122"/>
        <v>420580000.00000006</v>
      </c>
      <c r="Z165" s="20">
        <f t="shared" si="123"/>
        <v>395840000.00000006</v>
      </c>
      <c r="AA165" s="20">
        <f t="shared" si="124"/>
        <v>371100000.00000006</v>
      </c>
      <c r="AB165" s="20">
        <f t="shared" si="125"/>
        <v>346360000.00000006</v>
      </c>
      <c r="AC165" s="20">
        <f t="shared" si="126"/>
        <v>321620000.00000006</v>
      </c>
      <c r="AE165" s="21">
        <f>SUM(I152:I165)</f>
        <v>273370000</v>
      </c>
      <c r="AF165" s="21">
        <f>SUM(W152:W165)</f>
        <v>3558285000</v>
      </c>
      <c r="AG165" s="21">
        <f t="shared" si="127"/>
        <v>221430000.00000006</v>
      </c>
    </row>
    <row r="166" spans="1:33" x14ac:dyDescent="0.2">
      <c r="A166">
        <v>15</v>
      </c>
      <c r="B166" t="s">
        <v>179</v>
      </c>
      <c r="C166" s="18" t="s">
        <v>96</v>
      </c>
      <c r="D166" s="22">
        <f>$D160</f>
        <v>3924000000</v>
      </c>
      <c r="E166" s="22">
        <f>$E160</f>
        <v>5268000000</v>
      </c>
      <c r="F166" s="22">
        <f>$F160</f>
        <v>7339000000</v>
      </c>
      <c r="G166" s="23">
        <f t="shared" si="129"/>
        <v>20</v>
      </c>
      <c r="H166" s="4">
        <v>480400000</v>
      </c>
      <c r="I166" s="20">
        <f t="shared" si="128"/>
        <v>24020000</v>
      </c>
      <c r="J166" s="20"/>
      <c r="K166" s="20"/>
      <c r="L166" s="20"/>
      <c r="M166" s="20"/>
      <c r="N166" s="20"/>
      <c r="O166" s="20"/>
      <c r="P166" s="20"/>
      <c r="Q166" s="20"/>
      <c r="R166" s="20"/>
      <c r="S166" s="20"/>
      <c r="T166" s="20"/>
      <c r="U166" s="20"/>
      <c r="V166" s="20"/>
      <c r="W166" s="20"/>
      <c r="X166" s="20">
        <f>+H166-I166</f>
        <v>456380000</v>
      </c>
      <c r="Y166" s="20">
        <f t="shared" si="122"/>
        <v>432360000</v>
      </c>
      <c r="Z166" s="20">
        <f t="shared" si="123"/>
        <v>408340000</v>
      </c>
      <c r="AA166" s="20">
        <f t="shared" si="124"/>
        <v>384320000</v>
      </c>
      <c r="AB166" s="20">
        <f t="shared" si="125"/>
        <v>360300000</v>
      </c>
      <c r="AC166" s="20">
        <f t="shared" si="126"/>
        <v>336280000</v>
      </c>
      <c r="AE166" s="21">
        <f>SUM(I152:I166)</f>
        <v>297390000</v>
      </c>
      <c r="AF166" s="21">
        <f>SUM(X152:X166)</f>
        <v>3741295000</v>
      </c>
      <c r="AG166" s="21">
        <f t="shared" si="127"/>
        <v>183010000</v>
      </c>
    </row>
    <row r="167" spans="1:33" x14ac:dyDescent="0.2">
      <c r="A167">
        <v>16</v>
      </c>
      <c r="B167" t="s">
        <v>179</v>
      </c>
      <c r="C167" s="18" t="s">
        <v>95</v>
      </c>
      <c r="D167" s="22">
        <f>$D160</f>
        <v>3924000000</v>
      </c>
      <c r="E167" s="22">
        <f>$E160</f>
        <v>5268000000</v>
      </c>
      <c r="F167" s="22">
        <f>$F160</f>
        <v>7339000000</v>
      </c>
      <c r="G167" s="23">
        <f t="shared" si="129"/>
        <v>20</v>
      </c>
      <c r="H167" s="4">
        <v>505700000</v>
      </c>
      <c r="I167" s="20">
        <f t="shared" si="128"/>
        <v>25285000</v>
      </c>
      <c r="J167" s="20"/>
      <c r="K167" s="20"/>
      <c r="L167" s="20"/>
      <c r="M167" s="20"/>
      <c r="N167" s="20"/>
      <c r="O167" s="20"/>
      <c r="P167" s="20"/>
      <c r="Q167" s="20"/>
      <c r="R167" s="20"/>
      <c r="S167" s="20"/>
      <c r="T167" s="20"/>
      <c r="U167" s="20"/>
      <c r="V167" s="20"/>
      <c r="W167" s="20"/>
      <c r="X167" s="20"/>
      <c r="Y167" s="20">
        <f>+H167-I167</f>
        <v>480415000</v>
      </c>
      <c r="Z167" s="20">
        <f t="shared" si="123"/>
        <v>455130000</v>
      </c>
      <c r="AA167" s="20">
        <f t="shared" si="124"/>
        <v>429845000</v>
      </c>
      <c r="AB167" s="20">
        <f t="shared" si="125"/>
        <v>404560000</v>
      </c>
      <c r="AC167" s="20">
        <f t="shared" si="126"/>
        <v>379275000</v>
      </c>
      <c r="AE167" s="21">
        <f>SUM(I152:I167)</f>
        <v>322675000</v>
      </c>
      <c r="AF167" s="21">
        <f>SUM(Y152:Y167)</f>
        <v>3924320000</v>
      </c>
      <c r="AG167" s="21">
        <f t="shared" si="127"/>
        <v>183025000</v>
      </c>
    </row>
    <row r="168" spans="1:33" x14ac:dyDescent="0.2">
      <c r="A168">
        <v>17</v>
      </c>
      <c r="B168" t="s">
        <v>179</v>
      </c>
      <c r="C168" s="18" t="s">
        <v>94</v>
      </c>
      <c r="D168" s="22">
        <f>$D160</f>
        <v>3924000000</v>
      </c>
      <c r="E168" s="22">
        <f>$E160</f>
        <v>5268000000</v>
      </c>
      <c r="F168" s="22">
        <f>$F160</f>
        <v>7339000000</v>
      </c>
      <c r="G168" s="23">
        <f t="shared" si="129"/>
        <v>20</v>
      </c>
      <c r="H168" s="4">
        <v>494500000</v>
      </c>
      <c r="I168" s="20">
        <f t="shared" si="128"/>
        <v>24725000</v>
      </c>
      <c r="J168" s="20"/>
      <c r="K168" s="20"/>
      <c r="L168" s="20"/>
      <c r="M168" s="20"/>
      <c r="N168" s="20"/>
      <c r="O168" s="20"/>
      <c r="P168" s="20"/>
      <c r="Q168" s="20"/>
      <c r="R168" s="20"/>
      <c r="S168" s="20"/>
      <c r="T168" s="20"/>
      <c r="U168" s="20"/>
      <c r="V168" s="20"/>
      <c r="W168" s="20"/>
      <c r="X168" s="20"/>
      <c r="Y168" s="20"/>
      <c r="Z168" s="20">
        <f>+H168-I168</f>
        <v>469775000</v>
      </c>
      <c r="AA168" s="20">
        <f t="shared" si="124"/>
        <v>445050000</v>
      </c>
      <c r="AB168" s="20">
        <f t="shared" si="125"/>
        <v>420325000</v>
      </c>
      <c r="AC168" s="20">
        <f t="shared" si="126"/>
        <v>395600000</v>
      </c>
      <c r="AE168" s="21">
        <f>SUM(I152:I168)</f>
        <v>347400000</v>
      </c>
      <c r="AF168" s="21">
        <f>SUM(Z152:Z168)</f>
        <v>4071420000</v>
      </c>
      <c r="AG168" s="21">
        <f t="shared" si="127"/>
        <v>147100000</v>
      </c>
    </row>
    <row r="169" spans="1:33" x14ac:dyDescent="0.2">
      <c r="A169">
        <v>18</v>
      </c>
      <c r="B169" t="s">
        <v>179</v>
      </c>
      <c r="C169" s="18" t="s">
        <v>93</v>
      </c>
      <c r="D169" s="22">
        <f>$D160</f>
        <v>3924000000</v>
      </c>
      <c r="E169" s="22">
        <f>$E160</f>
        <v>5268000000</v>
      </c>
      <c r="F169" s="22">
        <f>$F160</f>
        <v>7339000000</v>
      </c>
      <c r="G169" s="23">
        <f t="shared" si="129"/>
        <v>20</v>
      </c>
      <c r="H169" s="4">
        <v>503499999.99999988</v>
      </c>
      <c r="I169" s="20">
        <f t="shared" si="128"/>
        <v>25174999.999999993</v>
      </c>
      <c r="J169" s="20"/>
      <c r="K169" s="20"/>
      <c r="L169" s="20"/>
      <c r="M169" s="20"/>
      <c r="N169" s="20"/>
      <c r="O169" s="20"/>
      <c r="P169" s="20"/>
      <c r="Q169" s="20"/>
      <c r="R169" s="20"/>
      <c r="S169" s="20"/>
      <c r="T169" s="20"/>
      <c r="U169" s="20"/>
      <c r="V169" s="20"/>
      <c r="W169" s="20"/>
      <c r="X169" s="20"/>
      <c r="Y169" s="20"/>
      <c r="Z169" s="20"/>
      <c r="AA169" s="20">
        <f>+H169-I169</f>
        <v>478324999.99999988</v>
      </c>
      <c r="AB169" s="20">
        <f t="shared" si="125"/>
        <v>453149999.99999988</v>
      </c>
      <c r="AC169" s="20">
        <f t="shared" si="126"/>
        <v>427974999.99999988</v>
      </c>
      <c r="AE169" s="21">
        <f>SUM(I152:I169)</f>
        <v>372575000</v>
      </c>
      <c r="AF169" s="21">
        <f>SUM(AA152:AA169)</f>
        <v>4202345000</v>
      </c>
      <c r="AG169" s="21">
        <f t="shared" si="127"/>
        <v>130924999.99999988</v>
      </c>
    </row>
    <row r="170" spans="1:33" x14ac:dyDescent="0.2">
      <c r="A170">
        <v>19</v>
      </c>
      <c r="B170" t="s">
        <v>179</v>
      </c>
      <c r="C170" s="18" t="s">
        <v>141</v>
      </c>
      <c r="D170" s="22">
        <f>$D160</f>
        <v>3924000000</v>
      </c>
      <c r="E170" s="22">
        <f>$E160</f>
        <v>5268000000</v>
      </c>
      <c r="F170" s="22">
        <f>$F160</f>
        <v>7339000000</v>
      </c>
      <c r="G170" s="23">
        <f t="shared" si="129"/>
        <v>20</v>
      </c>
      <c r="H170" s="4">
        <v>528000000</v>
      </c>
      <c r="I170" s="20">
        <f t="shared" si="128"/>
        <v>26400000</v>
      </c>
      <c r="J170" s="20"/>
      <c r="K170" s="20"/>
      <c r="L170" s="20"/>
      <c r="M170" s="20"/>
      <c r="N170" s="20"/>
      <c r="O170" s="20"/>
      <c r="P170" s="20"/>
      <c r="Q170" s="20"/>
      <c r="R170" s="20"/>
      <c r="S170" s="20"/>
      <c r="T170" s="20"/>
      <c r="U170" s="20"/>
      <c r="V170" s="20"/>
      <c r="W170" s="20"/>
      <c r="X170" s="20"/>
      <c r="Y170" s="20"/>
      <c r="Z170" s="20"/>
      <c r="AA170" s="20"/>
      <c r="AB170" s="20">
        <f>+H170-I170</f>
        <v>501600000</v>
      </c>
      <c r="AC170" s="20">
        <f t="shared" si="126"/>
        <v>475200000</v>
      </c>
      <c r="AE170" s="21">
        <f>SUM(I152:I170)</f>
        <v>398975000</v>
      </c>
      <c r="AF170" s="21">
        <f>SUM(AB152:AB170)</f>
        <v>4331370000</v>
      </c>
      <c r="AG170" s="21">
        <f t="shared" si="127"/>
        <v>129025000</v>
      </c>
    </row>
    <row r="171" spans="1:33" x14ac:dyDescent="0.2">
      <c r="A171">
        <v>20</v>
      </c>
      <c r="B171" t="s">
        <v>179</v>
      </c>
      <c r="C171" s="18" t="s">
        <v>160</v>
      </c>
      <c r="D171" s="22">
        <f>$D160</f>
        <v>3924000000</v>
      </c>
      <c r="E171" s="22">
        <f>$E160</f>
        <v>5268000000</v>
      </c>
      <c r="F171" s="22">
        <f>$F160</f>
        <v>7339000000</v>
      </c>
      <c r="G171" s="23">
        <f t="shared" si="129"/>
        <v>20</v>
      </c>
      <c r="H171" s="4">
        <v>511000000</v>
      </c>
      <c r="I171" s="20">
        <f t="shared" si="128"/>
        <v>25550000</v>
      </c>
      <c r="J171" s="20"/>
      <c r="K171" s="20"/>
      <c r="L171" s="20"/>
      <c r="M171" s="20"/>
      <c r="N171" s="20"/>
      <c r="O171" s="20"/>
      <c r="P171" s="20"/>
      <c r="Q171" s="20"/>
      <c r="R171" s="20"/>
      <c r="S171" s="20"/>
      <c r="T171" s="20"/>
      <c r="U171" s="20"/>
      <c r="V171" s="20"/>
      <c r="W171" s="20"/>
      <c r="X171" s="20"/>
      <c r="Y171" s="20"/>
      <c r="Z171" s="20"/>
      <c r="AA171" s="20"/>
      <c r="AB171" s="20"/>
      <c r="AC171" s="20">
        <f>+H171-I171</f>
        <v>485450000</v>
      </c>
      <c r="AE171" s="21">
        <f>SUM(I152:I171)</f>
        <v>424525000</v>
      </c>
      <c r="AF171" s="21">
        <f>SUM(AC152:AC171)</f>
        <v>4417845000</v>
      </c>
      <c r="AG171" s="21">
        <f t="shared" si="127"/>
        <v>86475000</v>
      </c>
    </row>
    <row r="174" spans="1:33" x14ac:dyDescent="0.2">
      <c r="I174" s="3"/>
    </row>
    <row r="175" spans="1:33" x14ac:dyDescent="0.2">
      <c r="C175" t="s">
        <v>303</v>
      </c>
    </row>
    <row r="176" spans="1:33" x14ac:dyDescent="0.2">
      <c r="C176" s="6" t="s">
        <v>107</v>
      </c>
      <c r="D176" s="6" t="s">
        <v>438</v>
      </c>
      <c r="E176" s="6" t="s">
        <v>439</v>
      </c>
      <c r="F176" s="6" t="s">
        <v>440</v>
      </c>
      <c r="G176" s="6" t="s">
        <v>441</v>
      </c>
      <c r="H176" s="6" t="s">
        <v>442</v>
      </c>
      <c r="I176" s="15"/>
      <c r="J176" s="6" t="s">
        <v>443</v>
      </c>
      <c r="K176" s="6" t="s">
        <v>444</v>
      </c>
      <c r="L176" s="6" t="s">
        <v>445</v>
      </c>
      <c r="M176" s="6" t="s">
        <v>446</v>
      </c>
      <c r="N176" s="6" t="s">
        <v>447</v>
      </c>
      <c r="O176" s="6" t="s">
        <v>448</v>
      </c>
      <c r="P176" s="6" t="s">
        <v>449</v>
      </c>
      <c r="Q176" s="6" t="s">
        <v>450</v>
      </c>
      <c r="R176" s="6" t="s">
        <v>451</v>
      </c>
      <c r="S176" s="6" t="s">
        <v>452</v>
      </c>
      <c r="T176" s="6" t="s">
        <v>453</v>
      </c>
      <c r="U176" s="6" t="s">
        <v>454</v>
      </c>
      <c r="V176" s="6" t="s">
        <v>455</v>
      </c>
      <c r="W176" s="6" t="s">
        <v>456</v>
      </c>
      <c r="X176" s="6" t="s">
        <v>457</v>
      </c>
      <c r="Y176" s="6" t="s">
        <v>458</v>
      </c>
      <c r="Z176" s="6" t="s">
        <v>459</v>
      </c>
      <c r="AA176" s="6" t="s">
        <v>460</v>
      </c>
      <c r="AB176" s="6" t="s">
        <v>461</v>
      </c>
      <c r="AC176" s="6" t="s">
        <v>462</v>
      </c>
      <c r="AD176" s="15"/>
      <c r="AE176" s="6" t="s">
        <v>106</v>
      </c>
      <c r="AF176" s="6" t="s">
        <v>105</v>
      </c>
      <c r="AG176" s="6" t="s">
        <v>463</v>
      </c>
    </row>
    <row r="177" spans="2:33" x14ac:dyDescent="0.2">
      <c r="C177" s="16" t="s">
        <v>464</v>
      </c>
      <c r="J177" s="17">
        <v>20</v>
      </c>
      <c r="K177" s="17">
        <v>19</v>
      </c>
      <c r="L177" s="17">
        <v>18</v>
      </c>
      <c r="M177" s="17">
        <v>17</v>
      </c>
      <c r="N177" s="17">
        <v>16</v>
      </c>
      <c r="O177" s="17">
        <v>15</v>
      </c>
      <c r="P177" s="17">
        <v>14</v>
      </c>
      <c r="Q177" s="17">
        <v>13</v>
      </c>
      <c r="R177" s="17">
        <v>12</v>
      </c>
      <c r="S177" s="17">
        <v>11</v>
      </c>
      <c r="T177" s="17">
        <v>10</v>
      </c>
      <c r="U177" s="17">
        <v>9</v>
      </c>
      <c r="V177" s="17">
        <v>8</v>
      </c>
      <c r="W177" s="17">
        <v>7</v>
      </c>
      <c r="X177" s="17">
        <v>6</v>
      </c>
      <c r="Y177" s="17">
        <v>5</v>
      </c>
      <c r="Z177" s="17">
        <v>4</v>
      </c>
      <c r="AA177" s="17">
        <v>3</v>
      </c>
      <c r="AB177" s="17">
        <v>2</v>
      </c>
      <c r="AC177" s="17">
        <v>1</v>
      </c>
    </row>
    <row r="178" spans="2:33" x14ac:dyDescent="0.2">
      <c r="B178" t="s">
        <v>303</v>
      </c>
      <c r="C178" s="18" t="s">
        <v>104</v>
      </c>
      <c r="D178" s="4">
        <v>0</v>
      </c>
      <c r="E178" s="4">
        <v>0</v>
      </c>
      <c r="F178" s="4">
        <v>0</v>
      </c>
      <c r="G178" s="19">
        <v>20</v>
      </c>
      <c r="H178" s="4">
        <v>0</v>
      </c>
      <c r="J178" s="20">
        <f t="shared" ref="J178:J189" si="130">H178</f>
        <v>0</v>
      </c>
      <c r="K178" s="20">
        <f>$F178/4</f>
        <v>0</v>
      </c>
      <c r="L178" s="20">
        <f>$F178/4</f>
        <v>0</v>
      </c>
      <c r="M178" s="20">
        <f>$F178/4</f>
        <v>0</v>
      </c>
      <c r="N178" s="20">
        <f>$F178/4</f>
        <v>0</v>
      </c>
      <c r="O178" s="20">
        <f>$E178/4</f>
        <v>0</v>
      </c>
      <c r="P178" s="20">
        <f>$E178/4</f>
        <v>0</v>
      </c>
      <c r="Q178" s="20">
        <f>$E178/4</f>
        <v>0</v>
      </c>
      <c r="R178" s="20">
        <f>$E178/4</f>
        <v>0</v>
      </c>
      <c r="S178" s="20">
        <f>$D178/4</f>
        <v>0</v>
      </c>
      <c r="T178" s="20">
        <f>$D178/4</f>
        <v>0</v>
      </c>
      <c r="U178" s="20">
        <f>$D178/4</f>
        <v>0</v>
      </c>
      <c r="V178" s="20">
        <f>$D178/4</f>
        <v>0</v>
      </c>
      <c r="W178" s="20">
        <v>0</v>
      </c>
      <c r="X178" s="20">
        <v>0</v>
      </c>
      <c r="Y178" s="20">
        <v>0</v>
      </c>
      <c r="Z178" s="20">
        <v>0</v>
      </c>
      <c r="AA178" s="20">
        <v>0</v>
      </c>
      <c r="AB178" s="20">
        <v>0</v>
      </c>
      <c r="AC178" s="20">
        <v>0</v>
      </c>
      <c r="AE178" s="21">
        <f>SUM(J178:AC178)/$G178</f>
        <v>0</v>
      </c>
      <c r="AF178" s="21">
        <f>SUMPRODUCT($J$177:$AC$177,J178:AC178)/$G178</f>
        <v>0</v>
      </c>
      <c r="AG178" s="21">
        <f t="shared" ref="AG178:AG189" si="131">H178-AE178</f>
        <v>0</v>
      </c>
    </row>
    <row r="179" spans="2:33" x14ac:dyDescent="0.2">
      <c r="B179" t="s">
        <v>303</v>
      </c>
      <c r="C179" s="18" t="s">
        <v>103</v>
      </c>
      <c r="D179" s="22">
        <f>$D178</f>
        <v>0</v>
      </c>
      <c r="E179" s="22">
        <f>$E178</f>
        <v>0</v>
      </c>
      <c r="F179" s="22">
        <f>$F178</f>
        <v>0</v>
      </c>
      <c r="G179" s="23">
        <f>$G$178</f>
        <v>20</v>
      </c>
      <c r="H179" s="4">
        <v>0</v>
      </c>
      <c r="J179" s="20">
        <f t="shared" si="130"/>
        <v>0</v>
      </c>
      <c r="K179" s="20">
        <f t="shared" ref="K179:K189" si="132">H178</f>
        <v>0</v>
      </c>
      <c r="L179" s="20">
        <f>$F178/4</f>
        <v>0</v>
      </c>
      <c r="M179" s="20">
        <f>$F178/4</f>
        <v>0</v>
      </c>
      <c r="N179" s="20">
        <f>$F178/4</f>
        <v>0</v>
      </c>
      <c r="O179" s="20">
        <f>$F178/4</f>
        <v>0</v>
      </c>
      <c r="P179" s="20">
        <f>$E178/4</f>
        <v>0</v>
      </c>
      <c r="Q179" s="20">
        <f>$E178/4</f>
        <v>0</v>
      </c>
      <c r="R179" s="20">
        <f>$E178/4</f>
        <v>0</v>
      </c>
      <c r="S179" s="20">
        <f>$E178/4</f>
        <v>0</v>
      </c>
      <c r="T179" s="20">
        <f>$D178/4</f>
        <v>0</v>
      </c>
      <c r="U179" s="20">
        <f>$D178/4</f>
        <v>0</v>
      </c>
      <c r="V179" s="20">
        <f>$D178/4</f>
        <v>0</v>
      </c>
      <c r="W179" s="20">
        <f>$D178/4</f>
        <v>0</v>
      </c>
      <c r="X179" s="20">
        <v>0</v>
      </c>
      <c r="Y179" s="20">
        <v>0</v>
      </c>
      <c r="Z179" s="20">
        <v>0</v>
      </c>
      <c r="AA179" s="20">
        <v>0</v>
      </c>
      <c r="AB179" s="20">
        <v>0</v>
      </c>
      <c r="AC179" s="20">
        <v>0</v>
      </c>
      <c r="AE179" s="21">
        <f t="shared" ref="AE179:AE189" si="133">SUM(J179:AC179)/$G179</f>
        <v>0</v>
      </c>
      <c r="AF179" s="21">
        <f t="shared" ref="AF179:AF189" si="134">SUMPRODUCT($J$177:$AC$177,J179:AC179)/$G179</f>
        <v>0</v>
      </c>
      <c r="AG179" s="21">
        <f t="shared" si="131"/>
        <v>0</v>
      </c>
    </row>
    <row r="180" spans="2:33" x14ac:dyDescent="0.2">
      <c r="B180" t="s">
        <v>303</v>
      </c>
      <c r="C180" s="18" t="s">
        <v>102</v>
      </c>
      <c r="D180" s="22">
        <f>$D178</f>
        <v>0</v>
      </c>
      <c r="E180" s="22">
        <f>$E178</f>
        <v>0</v>
      </c>
      <c r="F180" s="22">
        <f>$F178</f>
        <v>0</v>
      </c>
      <c r="G180" s="23">
        <f t="shared" ref="G180:G189" si="135">$G$178</f>
        <v>20</v>
      </c>
      <c r="H180" s="4">
        <v>0</v>
      </c>
      <c r="J180" s="20">
        <f t="shared" si="130"/>
        <v>0</v>
      </c>
      <c r="K180" s="20">
        <f t="shared" si="132"/>
        <v>0</v>
      </c>
      <c r="L180" s="20">
        <f t="shared" ref="L180:L189" si="136">H178</f>
        <v>0</v>
      </c>
      <c r="M180" s="20">
        <f>$F178/4</f>
        <v>0</v>
      </c>
      <c r="N180" s="20">
        <f>$F178/4</f>
        <v>0</v>
      </c>
      <c r="O180" s="20">
        <f>$F178/4</f>
        <v>0</v>
      </c>
      <c r="P180" s="20">
        <f>$F178/4</f>
        <v>0</v>
      </c>
      <c r="Q180" s="20">
        <f>$E178/4</f>
        <v>0</v>
      </c>
      <c r="R180" s="20">
        <f>$E178/4</f>
        <v>0</v>
      </c>
      <c r="S180" s="20">
        <f>$E178/4</f>
        <v>0</v>
      </c>
      <c r="T180" s="20">
        <f>$E178/4</f>
        <v>0</v>
      </c>
      <c r="U180" s="20">
        <f>$D178/4</f>
        <v>0</v>
      </c>
      <c r="V180" s="20">
        <f>$D178/4</f>
        <v>0</v>
      </c>
      <c r="W180" s="20">
        <f>$D178/4</f>
        <v>0</v>
      </c>
      <c r="X180" s="20">
        <f>$D178/4</f>
        <v>0</v>
      </c>
      <c r="Y180" s="20">
        <v>0</v>
      </c>
      <c r="Z180" s="20">
        <v>0</v>
      </c>
      <c r="AA180" s="20">
        <v>0</v>
      </c>
      <c r="AB180" s="20">
        <v>0</v>
      </c>
      <c r="AC180" s="20">
        <v>0</v>
      </c>
      <c r="AE180" s="21">
        <f t="shared" si="133"/>
        <v>0</v>
      </c>
      <c r="AF180" s="21">
        <f t="shared" si="134"/>
        <v>0</v>
      </c>
      <c r="AG180" s="21">
        <f t="shared" si="131"/>
        <v>0</v>
      </c>
    </row>
    <row r="181" spans="2:33" x14ac:dyDescent="0.2">
      <c r="B181" t="s">
        <v>303</v>
      </c>
      <c r="C181" s="18" t="s">
        <v>101</v>
      </c>
      <c r="D181" s="22">
        <f>$D178</f>
        <v>0</v>
      </c>
      <c r="E181" s="22">
        <f>$E178</f>
        <v>0</v>
      </c>
      <c r="F181" s="22">
        <f>$F178</f>
        <v>0</v>
      </c>
      <c r="G181" s="23">
        <f t="shared" si="135"/>
        <v>20</v>
      </c>
      <c r="H181" s="4">
        <v>0</v>
      </c>
      <c r="J181" s="20">
        <f t="shared" si="130"/>
        <v>0</v>
      </c>
      <c r="K181" s="20">
        <f t="shared" si="132"/>
        <v>0</v>
      </c>
      <c r="L181" s="20">
        <f t="shared" si="136"/>
        <v>0</v>
      </c>
      <c r="M181" s="20">
        <f t="shared" ref="M181:M189" si="137">H178</f>
        <v>0</v>
      </c>
      <c r="N181" s="20">
        <f>$F178/4</f>
        <v>0</v>
      </c>
      <c r="O181" s="20">
        <f>$F178/4</f>
        <v>0</v>
      </c>
      <c r="P181" s="20">
        <f>$F178/4</f>
        <v>0</v>
      </c>
      <c r="Q181" s="20">
        <f>$F178/4</f>
        <v>0</v>
      </c>
      <c r="R181" s="20">
        <f>$E178/4</f>
        <v>0</v>
      </c>
      <c r="S181" s="20">
        <f>$E178/4</f>
        <v>0</v>
      </c>
      <c r="T181" s="20">
        <f>$E178/4</f>
        <v>0</v>
      </c>
      <c r="U181" s="20">
        <f>$E178/4</f>
        <v>0</v>
      </c>
      <c r="V181" s="20">
        <f>$D178/4</f>
        <v>0</v>
      </c>
      <c r="W181" s="20">
        <f>$D178/4</f>
        <v>0</v>
      </c>
      <c r="X181" s="20">
        <f>$D178/4</f>
        <v>0</v>
      </c>
      <c r="Y181" s="20">
        <f>$D178/4</f>
        <v>0</v>
      </c>
      <c r="Z181" s="20">
        <v>0</v>
      </c>
      <c r="AA181" s="20">
        <v>0</v>
      </c>
      <c r="AB181" s="20">
        <v>0</v>
      </c>
      <c r="AC181" s="20">
        <v>0</v>
      </c>
      <c r="AE181" s="21">
        <f t="shared" si="133"/>
        <v>0</v>
      </c>
      <c r="AF181" s="21">
        <f t="shared" si="134"/>
        <v>0</v>
      </c>
      <c r="AG181" s="21">
        <f t="shared" si="131"/>
        <v>0</v>
      </c>
    </row>
    <row r="182" spans="2:33" x14ac:dyDescent="0.2">
      <c r="B182" t="s">
        <v>303</v>
      </c>
      <c r="C182" s="18" t="s">
        <v>100</v>
      </c>
      <c r="D182" s="22">
        <f>$D178</f>
        <v>0</v>
      </c>
      <c r="E182" s="22">
        <f>$E178</f>
        <v>0</v>
      </c>
      <c r="F182" s="22">
        <f>$F178</f>
        <v>0</v>
      </c>
      <c r="G182" s="23">
        <f t="shared" si="135"/>
        <v>20</v>
      </c>
      <c r="H182" s="4">
        <v>0</v>
      </c>
      <c r="J182" s="20">
        <f t="shared" si="130"/>
        <v>0</v>
      </c>
      <c r="K182" s="20">
        <f t="shared" si="132"/>
        <v>0</v>
      </c>
      <c r="L182" s="20">
        <f t="shared" si="136"/>
        <v>0</v>
      </c>
      <c r="M182" s="20">
        <f t="shared" si="137"/>
        <v>0</v>
      </c>
      <c r="N182" s="20">
        <f t="shared" ref="N182:N189" si="138">H178</f>
        <v>0</v>
      </c>
      <c r="O182" s="20">
        <f>$F178/4</f>
        <v>0</v>
      </c>
      <c r="P182" s="20">
        <f>$F178/4</f>
        <v>0</v>
      </c>
      <c r="Q182" s="20">
        <f>$F178/4</f>
        <v>0</v>
      </c>
      <c r="R182" s="20">
        <f>$F178/4</f>
        <v>0</v>
      </c>
      <c r="S182" s="20">
        <f>$E178/4</f>
        <v>0</v>
      </c>
      <c r="T182" s="20">
        <f>$E178/4</f>
        <v>0</v>
      </c>
      <c r="U182" s="20">
        <f>$E178/4</f>
        <v>0</v>
      </c>
      <c r="V182" s="20">
        <f>$E178/4</f>
        <v>0</v>
      </c>
      <c r="W182" s="20">
        <f>$D178/4</f>
        <v>0</v>
      </c>
      <c r="X182" s="20">
        <f>$D178/4</f>
        <v>0</v>
      </c>
      <c r="Y182" s="20">
        <f>$D178/4</f>
        <v>0</v>
      </c>
      <c r="Z182" s="20">
        <f>$D178/4</f>
        <v>0</v>
      </c>
      <c r="AA182" s="20">
        <v>0</v>
      </c>
      <c r="AB182" s="20">
        <v>0</v>
      </c>
      <c r="AC182" s="20">
        <v>0</v>
      </c>
      <c r="AE182" s="21">
        <f t="shared" si="133"/>
        <v>0</v>
      </c>
      <c r="AF182" s="21">
        <f t="shared" si="134"/>
        <v>0</v>
      </c>
      <c r="AG182" s="21">
        <f t="shared" si="131"/>
        <v>0</v>
      </c>
    </row>
    <row r="183" spans="2:33" x14ac:dyDescent="0.2">
      <c r="B183" t="s">
        <v>303</v>
      </c>
      <c r="C183" s="18" t="s">
        <v>99</v>
      </c>
      <c r="D183" s="22">
        <f>$D178</f>
        <v>0</v>
      </c>
      <c r="E183" s="22">
        <f>$E178</f>
        <v>0</v>
      </c>
      <c r="F183" s="22">
        <f>$F178</f>
        <v>0</v>
      </c>
      <c r="G183" s="23">
        <f t="shared" si="135"/>
        <v>20</v>
      </c>
      <c r="H183" s="4">
        <v>10719142</v>
      </c>
      <c r="J183" s="20">
        <f t="shared" si="130"/>
        <v>10719142</v>
      </c>
      <c r="K183" s="20">
        <f t="shared" si="132"/>
        <v>0</v>
      </c>
      <c r="L183" s="20">
        <f t="shared" si="136"/>
        <v>0</v>
      </c>
      <c r="M183" s="20">
        <f t="shared" si="137"/>
        <v>0</v>
      </c>
      <c r="N183" s="20">
        <f t="shared" si="138"/>
        <v>0</v>
      </c>
      <c r="O183" s="20">
        <f t="shared" ref="O183:O189" si="139">H178</f>
        <v>0</v>
      </c>
      <c r="P183" s="20">
        <f>$F178/4</f>
        <v>0</v>
      </c>
      <c r="Q183" s="20">
        <f>$F178/4</f>
        <v>0</v>
      </c>
      <c r="R183" s="20">
        <f>$F178/4</f>
        <v>0</v>
      </c>
      <c r="S183" s="20">
        <f>$F178/4</f>
        <v>0</v>
      </c>
      <c r="T183" s="20">
        <f>$E178/4</f>
        <v>0</v>
      </c>
      <c r="U183" s="20">
        <f>$E178/4</f>
        <v>0</v>
      </c>
      <c r="V183" s="20">
        <f>$E178/4</f>
        <v>0</v>
      </c>
      <c r="W183" s="20">
        <f>$E178/4</f>
        <v>0</v>
      </c>
      <c r="X183" s="20">
        <f>$D178/4</f>
        <v>0</v>
      </c>
      <c r="Y183" s="20">
        <f>$D178/4</f>
        <v>0</v>
      </c>
      <c r="Z183" s="20">
        <f>$D178/4</f>
        <v>0</v>
      </c>
      <c r="AA183" s="20">
        <f>$D178/4</f>
        <v>0</v>
      </c>
      <c r="AB183" s="20">
        <v>0</v>
      </c>
      <c r="AC183" s="20">
        <v>0</v>
      </c>
      <c r="AE183" s="21">
        <f t="shared" si="133"/>
        <v>535957.1</v>
      </c>
      <c r="AF183" s="21">
        <f t="shared" si="134"/>
        <v>10719142</v>
      </c>
      <c r="AG183" s="21">
        <f t="shared" si="131"/>
        <v>10183184.9</v>
      </c>
    </row>
    <row r="184" spans="2:33" x14ac:dyDescent="0.2">
      <c r="B184" t="s">
        <v>303</v>
      </c>
      <c r="C184" s="18" t="s">
        <v>98</v>
      </c>
      <c r="D184" s="22">
        <f>$D178</f>
        <v>0</v>
      </c>
      <c r="E184" s="22">
        <f>$E178</f>
        <v>0</v>
      </c>
      <c r="F184" s="22">
        <f>$F178</f>
        <v>0</v>
      </c>
      <c r="G184" s="23">
        <f t="shared" si="135"/>
        <v>20</v>
      </c>
      <c r="H184" s="4">
        <v>5049070</v>
      </c>
      <c r="J184" s="20">
        <f t="shared" si="130"/>
        <v>5049070</v>
      </c>
      <c r="K184" s="20">
        <f t="shared" si="132"/>
        <v>10719142</v>
      </c>
      <c r="L184" s="20">
        <f t="shared" si="136"/>
        <v>0</v>
      </c>
      <c r="M184" s="20">
        <f t="shared" si="137"/>
        <v>0</v>
      </c>
      <c r="N184" s="20">
        <f t="shared" si="138"/>
        <v>0</v>
      </c>
      <c r="O184" s="20">
        <f t="shared" si="139"/>
        <v>0</v>
      </c>
      <c r="P184" s="20">
        <f t="shared" ref="P184:P189" si="140">H178</f>
        <v>0</v>
      </c>
      <c r="Q184" s="20">
        <f>$F178/4</f>
        <v>0</v>
      </c>
      <c r="R184" s="20">
        <f>$F178/4</f>
        <v>0</v>
      </c>
      <c r="S184" s="20">
        <f>$F178/4</f>
        <v>0</v>
      </c>
      <c r="T184" s="20">
        <f>$F178/4</f>
        <v>0</v>
      </c>
      <c r="U184" s="20">
        <f>$E178/4</f>
        <v>0</v>
      </c>
      <c r="V184" s="20">
        <f>$E178/4</f>
        <v>0</v>
      </c>
      <c r="W184" s="20">
        <f>$E178/4</f>
        <v>0</v>
      </c>
      <c r="X184" s="20">
        <f>$E178/4</f>
        <v>0</v>
      </c>
      <c r="Y184" s="20">
        <f>$D178/4</f>
        <v>0</v>
      </c>
      <c r="Z184" s="20">
        <f>$D178/4</f>
        <v>0</v>
      </c>
      <c r="AA184" s="20">
        <f>$D178/4</f>
        <v>0</v>
      </c>
      <c r="AB184" s="20">
        <f>$D178/4</f>
        <v>0</v>
      </c>
      <c r="AC184" s="20">
        <v>0</v>
      </c>
      <c r="AE184" s="21">
        <f t="shared" si="133"/>
        <v>788410.6</v>
      </c>
      <c r="AF184" s="21">
        <f t="shared" si="134"/>
        <v>15232254.9</v>
      </c>
      <c r="AG184" s="21">
        <f t="shared" si="131"/>
        <v>4260659.4000000004</v>
      </c>
    </row>
    <row r="185" spans="2:33" x14ac:dyDescent="0.2">
      <c r="B185" t="s">
        <v>303</v>
      </c>
      <c r="C185" s="18" t="s">
        <v>97</v>
      </c>
      <c r="D185" s="22">
        <f>$D178</f>
        <v>0</v>
      </c>
      <c r="E185" s="22">
        <f>$E178</f>
        <v>0</v>
      </c>
      <c r="F185" s="22">
        <f>$F178</f>
        <v>0</v>
      </c>
      <c r="G185" s="23">
        <f t="shared" si="135"/>
        <v>20</v>
      </c>
      <c r="H185" s="4">
        <v>10942788</v>
      </c>
      <c r="J185" s="20">
        <f t="shared" si="130"/>
        <v>10942788</v>
      </c>
      <c r="K185" s="20">
        <f t="shared" si="132"/>
        <v>5049070</v>
      </c>
      <c r="L185" s="20">
        <f t="shared" si="136"/>
        <v>10719142</v>
      </c>
      <c r="M185" s="20">
        <f t="shared" si="137"/>
        <v>0</v>
      </c>
      <c r="N185" s="20">
        <f t="shared" si="138"/>
        <v>0</v>
      </c>
      <c r="O185" s="20">
        <f t="shared" si="139"/>
        <v>0</v>
      </c>
      <c r="P185" s="20">
        <f t="shared" si="140"/>
        <v>0</v>
      </c>
      <c r="Q185" s="20">
        <f>H178</f>
        <v>0</v>
      </c>
      <c r="R185" s="20">
        <f>$F178/4</f>
        <v>0</v>
      </c>
      <c r="S185" s="20">
        <f>$F178/4</f>
        <v>0</v>
      </c>
      <c r="T185" s="20">
        <f>$F178/4</f>
        <v>0</v>
      </c>
      <c r="U185" s="20">
        <f>$F178/4</f>
        <v>0</v>
      </c>
      <c r="V185" s="20">
        <f>$E178/4</f>
        <v>0</v>
      </c>
      <c r="W185" s="20">
        <f>$E178/4</f>
        <v>0</v>
      </c>
      <c r="X185" s="20">
        <f>$E178/4</f>
        <v>0</v>
      </c>
      <c r="Y185" s="20">
        <f>$E178/4</f>
        <v>0</v>
      </c>
      <c r="Z185" s="20">
        <f>$D178/4</f>
        <v>0</v>
      </c>
      <c r="AA185" s="20">
        <f>$D178/4</f>
        <v>0</v>
      </c>
      <c r="AB185" s="20">
        <f>$D178/4</f>
        <v>0</v>
      </c>
      <c r="AC185" s="20">
        <f>$D178/4</f>
        <v>0</v>
      </c>
      <c r="AE185" s="21">
        <f t="shared" si="133"/>
        <v>1335550</v>
      </c>
      <c r="AF185" s="21">
        <f t="shared" si="134"/>
        <v>25386632.300000001</v>
      </c>
      <c r="AG185" s="21">
        <f t="shared" si="131"/>
        <v>9607238</v>
      </c>
    </row>
    <row r="186" spans="2:33" x14ac:dyDescent="0.2">
      <c r="B186" t="s">
        <v>303</v>
      </c>
      <c r="C186" s="18" t="s">
        <v>96</v>
      </c>
      <c r="D186" s="22">
        <f>$D178</f>
        <v>0</v>
      </c>
      <c r="E186" s="22">
        <f>$E178</f>
        <v>0</v>
      </c>
      <c r="F186" s="22">
        <f>$F178</f>
        <v>0</v>
      </c>
      <c r="G186" s="23">
        <f t="shared" si="135"/>
        <v>20</v>
      </c>
      <c r="H186" s="4">
        <v>7846000</v>
      </c>
      <c r="J186" s="20">
        <f t="shared" si="130"/>
        <v>7846000</v>
      </c>
      <c r="K186" s="20">
        <f t="shared" si="132"/>
        <v>10942788</v>
      </c>
      <c r="L186" s="20">
        <f t="shared" si="136"/>
        <v>5049070</v>
      </c>
      <c r="M186" s="20">
        <f t="shared" si="137"/>
        <v>10719142</v>
      </c>
      <c r="N186" s="20">
        <f t="shared" si="138"/>
        <v>0</v>
      </c>
      <c r="O186" s="20">
        <f t="shared" si="139"/>
        <v>0</v>
      </c>
      <c r="P186" s="20">
        <f t="shared" si="140"/>
        <v>0</v>
      </c>
      <c r="Q186" s="20">
        <f>H179</f>
        <v>0</v>
      </c>
      <c r="R186" s="20">
        <f>H178</f>
        <v>0</v>
      </c>
      <c r="S186" s="20">
        <f>$F178/4</f>
        <v>0</v>
      </c>
      <c r="T186" s="20">
        <f>$F178/4</f>
        <v>0</v>
      </c>
      <c r="U186" s="20">
        <f>$F178/4</f>
        <v>0</v>
      </c>
      <c r="V186" s="20">
        <f>$F178/4</f>
        <v>0</v>
      </c>
      <c r="W186" s="20">
        <f>$E178/4</f>
        <v>0</v>
      </c>
      <c r="X186" s="20">
        <f>$E178/4</f>
        <v>0</v>
      </c>
      <c r="Y186" s="20">
        <f>$E178/4</f>
        <v>0</v>
      </c>
      <c r="Z186" s="20">
        <f>$E178/4</f>
        <v>0</v>
      </c>
      <c r="AA186" s="20">
        <f>$D178/4</f>
        <v>0</v>
      </c>
      <c r="AB186" s="20">
        <f>$D178/4</f>
        <v>0</v>
      </c>
      <c r="AC186" s="20">
        <f>$D178/4</f>
        <v>0</v>
      </c>
      <c r="AE186" s="21">
        <f t="shared" si="133"/>
        <v>1727850</v>
      </c>
      <c r="AF186" s="21">
        <f t="shared" si="134"/>
        <v>31897082.300000001</v>
      </c>
      <c r="AG186" s="21">
        <f t="shared" si="131"/>
        <v>6118150</v>
      </c>
    </row>
    <row r="187" spans="2:33" x14ac:dyDescent="0.2">
      <c r="B187" t="s">
        <v>303</v>
      </c>
      <c r="C187" s="18" t="s">
        <v>95</v>
      </c>
      <c r="D187" s="22">
        <f>$D178</f>
        <v>0</v>
      </c>
      <c r="E187" s="22">
        <f>$E178</f>
        <v>0</v>
      </c>
      <c r="F187" s="22">
        <f>$F178</f>
        <v>0</v>
      </c>
      <c r="G187" s="23">
        <f t="shared" si="135"/>
        <v>20</v>
      </c>
      <c r="H187" s="4">
        <v>11468000</v>
      </c>
      <c r="J187" s="20">
        <f t="shared" si="130"/>
        <v>11468000</v>
      </c>
      <c r="K187" s="20">
        <f t="shared" si="132"/>
        <v>7846000</v>
      </c>
      <c r="L187" s="20">
        <f t="shared" si="136"/>
        <v>10942788</v>
      </c>
      <c r="M187" s="20">
        <f t="shared" si="137"/>
        <v>5049070</v>
      </c>
      <c r="N187" s="20">
        <f t="shared" si="138"/>
        <v>10719142</v>
      </c>
      <c r="O187" s="20">
        <f t="shared" si="139"/>
        <v>0</v>
      </c>
      <c r="P187" s="20">
        <f t="shared" si="140"/>
        <v>0</v>
      </c>
      <c r="Q187" s="20">
        <f>H180</f>
        <v>0</v>
      </c>
      <c r="R187" s="20">
        <f>H179</f>
        <v>0</v>
      </c>
      <c r="S187" s="20">
        <f>H178</f>
        <v>0</v>
      </c>
      <c r="T187" s="20">
        <f>$F178/4</f>
        <v>0</v>
      </c>
      <c r="U187" s="20">
        <f>$F178/4</f>
        <v>0</v>
      </c>
      <c r="V187" s="20">
        <f>$F178/4</f>
        <v>0</v>
      </c>
      <c r="W187" s="20">
        <f>$F178/4</f>
        <v>0</v>
      </c>
      <c r="X187" s="20">
        <f>$E178/4</f>
        <v>0</v>
      </c>
      <c r="Y187" s="20">
        <f>$E178/4</f>
        <v>0</v>
      </c>
      <c r="Z187" s="20">
        <f>$E178/4</f>
        <v>0</v>
      </c>
      <c r="AA187" s="20">
        <f>$E178/4</f>
        <v>0</v>
      </c>
      <c r="AB187" s="20">
        <f>$D178/4</f>
        <v>0</v>
      </c>
      <c r="AC187" s="20">
        <f>$D178/4</f>
        <v>0</v>
      </c>
      <c r="AE187" s="21">
        <f t="shared" si="133"/>
        <v>2301250</v>
      </c>
      <c r="AF187" s="21">
        <f t="shared" si="134"/>
        <v>41637232.299999997</v>
      </c>
      <c r="AG187" s="21">
        <f t="shared" si="131"/>
        <v>9166750</v>
      </c>
    </row>
    <row r="188" spans="2:33" x14ac:dyDescent="0.2">
      <c r="B188" t="s">
        <v>303</v>
      </c>
      <c r="C188" s="18" t="s">
        <v>94</v>
      </c>
      <c r="D188" s="22">
        <f>$D178</f>
        <v>0</v>
      </c>
      <c r="E188" s="22">
        <f>$E178</f>
        <v>0</v>
      </c>
      <c r="F188" s="22">
        <f>$F178</f>
        <v>0</v>
      </c>
      <c r="G188" s="23">
        <f t="shared" si="135"/>
        <v>20</v>
      </c>
      <c r="H188" s="4">
        <v>14945000</v>
      </c>
      <c r="J188" s="20">
        <f t="shared" si="130"/>
        <v>14945000</v>
      </c>
      <c r="K188" s="20">
        <f t="shared" si="132"/>
        <v>11468000</v>
      </c>
      <c r="L188" s="20">
        <f t="shared" si="136"/>
        <v>7846000</v>
      </c>
      <c r="M188" s="20">
        <f t="shared" si="137"/>
        <v>10942788</v>
      </c>
      <c r="N188" s="20">
        <f t="shared" si="138"/>
        <v>5049070</v>
      </c>
      <c r="O188" s="20">
        <f t="shared" si="139"/>
        <v>10719142</v>
      </c>
      <c r="P188" s="20">
        <f t="shared" si="140"/>
        <v>0</v>
      </c>
      <c r="Q188" s="20">
        <f>H181</f>
        <v>0</v>
      </c>
      <c r="R188" s="20">
        <f>H180</f>
        <v>0</v>
      </c>
      <c r="S188" s="20">
        <f>H179</f>
        <v>0</v>
      </c>
      <c r="T188" s="20">
        <f>H178</f>
        <v>0</v>
      </c>
      <c r="U188" s="20">
        <f>$F178/4</f>
        <v>0</v>
      </c>
      <c r="V188" s="20">
        <f>$F178/4</f>
        <v>0</v>
      </c>
      <c r="W188" s="20">
        <f>$F178/4</f>
        <v>0</v>
      </c>
      <c r="X188" s="20">
        <f>$F178/4</f>
        <v>0</v>
      </c>
      <c r="Y188" s="20">
        <f>$E178/4</f>
        <v>0</v>
      </c>
      <c r="Z188" s="20">
        <f>$E178/4</f>
        <v>0</v>
      </c>
      <c r="AA188" s="20">
        <f>$E178/4</f>
        <v>0</v>
      </c>
      <c r="AB188" s="20">
        <f>$E178/4</f>
        <v>0</v>
      </c>
      <c r="AC188" s="20">
        <f>$D178/4</f>
        <v>0</v>
      </c>
      <c r="AE188" s="21">
        <f t="shared" si="133"/>
        <v>3048500</v>
      </c>
      <c r="AF188" s="21">
        <f t="shared" si="134"/>
        <v>54280982.299999997</v>
      </c>
      <c r="AG188" s="21">
        <f t="shared" si="131"/>
        <v>11896500</v>
      </c>
    </row>
    <row r="189" spans="2:33" x14ac:dyDescent="0.2">
      <c r="B189" t="s">
        <v>303</v>
      </c>
      <c r="C189" s="18" t="s">
        <v>93</v>
      </c>
      <c r="D189" s="22">
        <f>$D178</f>
        <v>0</v>
      </c>
      <c r="E189" s="22">
        <f>$E178</f>
        <v>0</v>
      </c>
      <c r="F189" s="22">
        <f>$F178</f>
        <v>0</v>
      </c>
      <c r="G189" s="23">
        <f t="shared" si="135"/>
        <v>20</v>
      </c>
      <c r="H189" s="4">
        <v>24593000</v>
      </c>
      <c r="J189" s="20">
        <f t="shared" si="130"/>
        <v>24593000</v>
      </c>
      <c r="K189" s="20">
        <f t="shared" si="132"/>
        <v>14945000</v>
      </c>
      <c r="L189" s="20">
        <f t="shared" si="136"/>
        <v>11468000</v>
      </c>
      <c r="M189" s="20">
        <f t="shared" si="137"/>
        <v>7846000</v>
      </c>
      <c r="N189" s="20">
        <f t="shared" si="138"/>
        <v>10942788</v>
      </c>
      <c r="O189" s="20">
        <f t="shared" si="139"/>
        <v>5049070</v>
      </c>
      <c r="P189" s="20">
        <f t="shared" si="140"/>
        <v>10719142</v>
      </c>
      <c r="Q189" s="20">
        <f>H182</f>
        <v>0</v>
      </c>
      <c r="R189" s="20">
        <f>H181</f>
        <v>0</v>
      </c>
      <c r="S189" s="20">
        <f>H180</f>
        <v>0</v>
      </c>
      <c r="T189" s="20">
        <f>H179</f>
        <v>0</v>
      </c>
      <c r="U189" s="20">
        <f>H178</f>
        <v>0</v>
      </c>
      <c r="V189" s="20">
        <f>$F178/4</f>
        <v>0</v>
      </c>
      <c r="W189" s="20">
        <f>$F178/4</f>
        <v>0</v>
      </c>
      <c r="X189" s="20">
        <f>$F178/4</f>
        <v>0</v>
      </c>
      <c r="Y189" s="20">
        <f>$F178/4</f>
        <v>0</v>
      </c>
      <c r="Z189" s="20">
        <f>$E178/4</f>
        <v>0</v>
      </c>
      <c r="AA189" s="20">
        <f>$E178/4</f>
        <v>0</v>
      </c>
      <c r="AB189" s="20">
        <f>$E178/4</f>
        <v>0</v>
      </c>
      <c r="AC189" s="20">
        <f>$E178/4</f>
        <v>0</v>
      </c>
      <c r="AE189" s="21">
        <f t="shared" si="133"/>
        <v>4278150</v>
      </c>
      <c r="AF189" s="21">
        <f t="shared" si="134"/>
        <v>75825482.299999997</v>
      </c>
      <c r="AG189" s="21">
        <f t="shared" si="131"/>
        <v>20314850</v>
      </c>
    </row>
    <row r="190" spans="2:33" x14ac:dyDescent="0.2">
      <c r="I190" s="3"/>
    </row>
    <row r="191" spans="2:33" x14ac:dyDescent="0.2">
      <c r="I191" s="3"/>
    </row>
    <row r="192" spans="2:33" x14ac:dyDescent="0.2">
      <c r="C192" t="s">
        <v>342</v>
      </c>
    </row>
    <row r="193" spans="2:33" x14ac:dyDescent="0.2">
      <c r="C193" s="6" t="s">
        <v>107</v>
      </c>
      <c r="D193" s="6" t="s">
        <v>439</v>
      </c>
      <c r="E193" s="6" t="s">
        <v>440</v>
      </c>
      <c r="F193" s="6" t="s">
        <v>471</v>
      </c>
      <c r="G193" s="6" t="s">
        <v>441</v>
      </c>
      <c r="H193" s="6" t="s">
        <v>442</v>
      </c>
      <c r="I193" s="15"/>
      <c r="J193" s="6" t="s">
        <v>443</v>
      </c>
      <c r="K193" s="6" t="s">
        <v>444</v>
      </c>
      <c r="L193" s="6" t="s">
        <v>445</v>
      </c>
      <c r="M193" s="6" t="s">
        <v>446</v>
      </c>
      <c r="N193" s="6" t="s">
        <v>447</v>
      </c>
      <c r="O193" s="6" t="s">
        <v>448</v>
      </c>
      <c r="P193" s="6" t="s">
        <v>449</v>
      </c>
      <c r="Q193" s="6" t="s">
        <v>450</v>
      </c>
      <c r="R193" s="6" t="s">
        <v>451</v>
      </c>
      <c r="S193" s="6" t="s">
        <v>452</v>
      </c>
      <c r="T193" s="6" t="s">
        <v>453</v>
      </c>
      <c r="U193" s="6" t="s">
        <v>454</v>
      </c>
      <c r="V193" s="6" t="s">
        <v>455</v>
      </c>
      <c r="W193" s="6" t="s">
        <v>456</v>
      </c>
      <c r="X193" s="6" t="s">
        <v>457</v>
      </c>
      <c r="Y193" s="6" t="s">
        <v>458</v>
      </c>
      <c r="Z193" s="6" t="s">
        <v>459</v>
      </c>
      <c r="AA193" s="6" t="s">
        <v>460</v>
      </c>
      <c r="AB193" s="6" t="s">
        <v>461</v>
      </c>
      <c r="AC193" s="6" t="s">
        <v>462</v>
      </c>
      <c r="AD193" s="15"/>
      <c r="AE193" s="6" t="s">
        <v>106</v>
      </c>
      <c r="AF193" s="6" t="s">
        <v>105</v>
      </c>
      <c r="AG193" s="6" t="s">
        <v>463</v>
      </c>
    </row>
    <row r="194" spans="2:33" x14ac:dyDescent="0.2">
      <c r="C194" s="16" t="s">
        <v>464</v>
      </c>
      <c r="J194" s="17">
        <v>20</v>
      </c>
      <c r="K194" s="17">
        <v>19</v>
      </c>
      <c r="L194" s="17">
        <v>18</v>
      </c>
      <c r="M194" s="17">
        <v>17</v>
      </c>
      <c r="N194" s="17">
        <v>16</v>
      </c>
      <c r="O194" s="17">
        <v>15</v>
      </c>
      <c r="P194" s="17">
        <v>14</v>
      </c>
      <c r="Q194" s="17">
        <v>13</v>
      </c>
      <c r="R194" s="17">
        <v>12</v>
      </c>
      <c r="S194" s="17">
        <v>11</v>
      </c>
      <c r="T194" s="17">
        <v>10</v>
      </c>
      <c r="U194" s="17">
        <v>9</v>
      </c>
      <c r="V194" s="17">
        <v>8</v>
      </c>
      <c r="W194" s="17">
        <v>7</v>
      </c>
      <c r="X194" s="17">
        <v>6</v>
      </c>
      <c r="Y194" s="17">
        <v>5</v>
      </c>
      <c r="Z194" s="17">
        <v>4</v>
      </c>
      <c r="AA194" s="17">
        <v>3</v>
      </c>
      <c r="AB194" s="17">
        <v>2</v>
      </c>
      <c r="AC194" s="17">
        <v>1</v>
      </c>
    </row>
    <row r="195" spans="2:33" x14ac:dyDescent="0.2">
      <c r="B195" t="s">
        <v>342</v>
      </c>
      <c r="C195" s="5" t="s">
        <v>100</v>
      </c>
      <c r="D195" s="4">
        <v>77740000</v>
      </c>
      <c r="E195" s="4">
        <v>136274000</v>
      </c>
      <c r="F195" s="4">
        <v>207008000</v>
      </c>
      <c r="G195" s="19">
        <v>20</v>
      </c>
      <c r="H195" s="4">
        <v>55263000</v>
      </c>
      <c r="J195" s="20">
        <f t="shared" ref="J195:J206" si="141">H195</f>
        <v>55263000</v>
      </c>
      <c r="K195" s="20">
        <f>$F195/4</f>
        <v>51752000</v>
      </c>
      <c r="L195" s="20">
        <f>$F195/4</f>
        <v>51752000</v>
      </c>
      <c r="M195" s="20">
        <f>$F195/4</f>
        <v>51752000</v>
      </c>
      <c r="N195" s="20">
        <f>$F195/4</f>
        <v>51752000</v>
      </c>
      <c r="O195" s="20">
        <f>$E195/4</f>
        <v>34068500</v>
      </c>
      <c r="P195" s="20">
        <f>$E195/4</f>
        <v>34068500</v>
      </c>
      <c r="Q195" s="20">
        <f>$E195/4</f>
        <v>34068500</v>
      </c>
      <c r="R195" s="20">
        <f>$E195/4</f>
        <v>34068500</v>
      </c>
      <c r="S195" s="20">
        <f>$D195/4</f>
        <v>19435000</v>
      </c>
      <c r="T195" s="20">
        <f>$D195/4</f>
        <v>19435000</v>
      </c>
      <c r="U195" s="20">
        <f>$D195/4</f>
        <v>19435000</v>
      </c>
      <c r="V195" s="20">
        <f>$D195/4</f>
        <v>19435000</v>
      </c>
      <c r="W195" s="20">
        <v>0</v>
      </c>
      <c r="X195" s="20">
        <v>0</v>
      </c>
      <c r="Y195" s="20">
        <v>0</v>
      </c>
      <c r="Z195" s="20">
        <v>0</v>
      </c>
      <c r="AA195" s="20">
        <v>0</v>
      </c>
      <c r="AB195" s="20">
        <v>0</v>
      </c>
      <c r="AC195" s="20">
        <v>0</v>
      </c>
      <c r="AE195" s="21">
        <f>SUM(J195:AC195)/$G195</f>
        <v>23814250</v>
      </c>
      <c r="AF195" s="21">
        <f>SUMPRODUCT($J$194:$AC$194,J195:AC195)/$G195</f>
        <v>365306450</v>
      </c>
      <c r="AG195" s="21">
        <f t="shared" ref="AG195:AG206" si="142">H195-AE195</f>
        <v>31448750</v>
      </c>
    </row>
    <row r="196" spans="2:33" x14ac:dyDescent="0.2">
      <c r="B196" t="s">
        <v>342</v>
      </c>
      <c r="C196" s="5" t="s">
        <v>99</v>
      </c>
      <c r="D196" s="22">
        <f>$D195</f>
        <v>77740000</v>
      </c>
      <c r="E196" s="22">
        <f>$E195</f>
        <v>136274000</v>
      </c>
      <c r="F196" s="22">
        <f>$F195</f>
        <v>207008000</v>
      </c>
      <c r="G196" s="23">
        <f>$G$195</f>
        <v>20</v>
      </c>
      <c r="H196" s="4">
        <v>54161000</v>
      </c>
      <c r="J196" s="20">
        <f t="shared" si="141"/>
        <v>54161000</v>
      </c>
      <c r="K196" s="20">
        <f t="shared" ref="K196:K206" si="143">H195</f>
        <v>55263000</v>
      </c>
      <c r="L196" s="20">
        <f>$F195/4</f>
        <v>51752000</v>
      </c>
      <c r="M196" s="20">
        <f>$F195/4</f>
        <v>51752000</v>
      </c>
      <c r="N196" s="20">
        <f>$F195/4</f>
        <v>51752000</v>
      </c>
      <c r="O196" s="20">
        <f>$F195/4</f>
        <v>51752000</v>
      </c>
      <c r="P196" s="20">
        <f>$E195/4</f>
        <v>34068500</v>
      </c>
      <c r="Q196" s="20">
        <f>$E195/4</f>
        <v>34068500</v>
      </c>
      <c r="R196" s="20">
        <f>$E195/4</f>
        <v>34068500</v>
      </c>
      <c r="S196" s="20">
        <f>$E195/4</f>
        <v>34068500</v>
      </c>
      <c r="T196" s="20">
        <f>$D195/4</f>
        <v>19435000</v>
      </c>
      <c r="U196" s="20">
        <f>$D195/4</f>
        <v>19435000</v>
      </c>
      <c r="V196" s="20">
        <f>$D195/4</f>
        <v>19435000</v>
      </c>
      <c r="W196" s="20">
        <f>$D195/4</f>
        <v>19435000</v>
      </c>
      <c r="X196" s="20">
        <v>0</v>
      </c>
      <c r="Y196" s="20">
        <v>0</v>
      </c>
      <c r="Z196" s="20">
        <v>0</v>
      </c>
      <c r="AA196" s="20">
        <v>0</v>
      </c>
      <c r="AB196" s="20">
        <v>0</v>
      </c>
      <c r="AC196" s="20">
        <v>0</v>
      </c>
      <c r="AE196" s="21">
        <f t="shared" ref="AE196:AE206" si="144">SUM(J196:AC196)/$G196</f>
        <v>26522300</v>
      </c>
      <c r="AF196" s="21">
        <f t="shared" ref="AF196:AF206" si="145">SUMPRODUCT($J$194:$AC$194,J196:AC196)/$G196</f>
        <v>395653200</v>
      </c>
      <c r="AG196" s="21">
        <f t="shared" si="142"/>
        <v>27638700</v>
      </c>
    </row>
    <row r="197" spans="2:33" x14ac:dyDescent="0.2">
      <c r="B197" t="s">
        <v>342</v>
      </c>
      <c r="C197" s="5" t="s">
        <v>98</v>
      </c>
      <c r="D197" s="22">
        <f>$D195</f>
        <v>77740000</v>
      </c>
      <c r="E197" s="22">
        <f>$E195</f>
        <v>136274000</v>
      </c>
      <c r="F197" s="22">
        <f>$F195</f>
        <v>207008000</v>
      </c>
      <c r="G197" s="23">
        <f t="shared" ref="G197:G206" si="146">$G$195</f>
        <v>20</v>
      </c>
      <c r="H197" s="4">
        <v>52306000</v>
      </c>
      <c r="J197" s="20">
        <f t="shared" si="141"/>
        <v>52306000</v>
      </c>
      <c r="K197" s="20">
        <f t="shared" si="143"/>
        <v>54161000</v>
      </c>
      <c r="L197" s="20">
        <f t="shared" ref="L197:L206" si="147">H195</f>
        <v>55263000</v>
      </c>
      <c r="M197" s="20">
        <f>$F195/4</f>
        <v>51752000</v>
      </c>
      <c r="N197" s="20">
        <f>$F195/4</f>
        <v>51752000</v>
      </c>
      <c r="O197" s="20">
        <f>$F195/4</f>
        <v>51752000</v>
      </c>
      <c r="P197" s="20">
        <f>$F195/4</f>
        <v>51752000</v>
      </c>
      <c r="Q197" s="20">
        <f>$E195/4</f>
        <v>34068500</v>
      </c>
      <c r="R197" s="20">
        <f>$E195/4</f>
        <v>34068500</v>
      </c>
      <c r="S197" s="20">
        <f>$E195/4</f>
        <v>34068500</v>
      </c>
      <c r="T197" s="20">
        <f>$E195/4</f>
        <v>34068500</v>
      </c>
      <c r="U197" s="20">
        <f>$D195/4</f>
        <v>19435000</v>
      </c>
      <c r="V197" s="20">
        <f>$D195/4</f>
        <v>19435000</v>
      </c>
      <c r="W197" s="20">
        <f>$D195/4</f>
        <v>19435000</v>
      </c>
      <c r="X197" s="20">
        <f>$D195/4</f>
        <v>19435000</v>
      </c>
      <c r="Y197" s="20">
        <v>0</v>
      </c>
      <c r="Z197" s="20">
        <v>0</v>
      </c>
      <c r="AA197" s="20">
        <v>0</v>
      </c>
      <c r="AB197" s="20">
        <v>0</v>
      </c>
      <c r="AC197" s="20">
        <v>0</v>
      </c>
      <c r="AE197" s="21">
        <f t="shared" si="144"/>
        <v>29137600</v>
      </c>
      <c r="AF197" s="21">
        <f t="shared" si="145"/>
        <v>421436900</v>
      </c>
      <c r="AG197" s="21">
        <f t="shared" si="142"/>
        <v>23168400</v>
      </c>
    </row>
    <row r="198" spans="2:33" x14ac:dyDescent="0.2">
      <c r="B198" t="s">
        <v>342</v>
      </c>
      <c r="C198" s="5" t="s">
        <v>97</v>
      </c>
      <c r="D198" s="22">
        <f>$D195</f>
        <v>77740000</v>
      </c>
      <c r="E198" s="22">
        <f>$E195</f>
        <v>136274000</v>
      </c>
      <c r="F198" s="22">
        <f>$F195</f>
        <v>207008000</v>
      </c>
      <c r="G198" s="23">
        <f t="shared" si="146"/>
        <v>20</v>
      </c>
      <c r="H198" s="4">
        <v>56446000</v>
      </c>
      <c r="J198" s="20">
        <f t="shared" si="141"/>
        <v>56446000</v>
      </c>
      <c r="K198" s="20">
        <f t="shared" si="143"/>
        <v>52306000</v>
      </c>
      <c r="L198" s="20">
        <f t="shared" si="147"/>
        <v>54161000</v>
      </c>
      <c r="M198" s="20">
        <f t="shared" ref="M198:M206" si="148">H195</f>
        <v>55263000</v>
      </c>
      <c r="N198" s="20">
        <f>$F195/4</f>
        <v>51752000</v>
      </c>
      <c r="O198" s="20">
        <f>$F195/4</f>
        <v>51752000</v>
      </c>
      <c r="P198" s="20">
        <f>$F195/4</f>
        <v>51752000</v>
      </c>
      <c r="Q198" s="20">
        <f>$F195/4</f>
        <v>51752000</v>
      </c>
      <c r="R198" s="20">
        <f>$E195/4</f>
        <v>34068500</v>
      </c>
      <c r="S198" s="20">
        <f>$E195/4</f>
        <v>34068500</v>
      </c>
      <c r="T198" s="20">
        <f>$E195/4</f>
        <v>34068500</v>
      </c>
      <c r="U198" s="20">
        <f>$E195/4</f>
        <v>34068500</v>
      </c>
      <c r="V198" s="20">
        <f>$D195/4</f>
        <v>19435000</v>
      </c>
      <c r="W198" s="20">
        <f>$D195/4</f>
        <v>19435000</v>
      </c>
      <c r="X198" s="20">
        <f>$D195/4</f>
        <v>19435000</v>
      </c>
      <c r="Y198" s="20">
        <f>$D195/4</f>
        <v>19435000</v>
      </c>
      <c r="Z198" s="20">
        <v>0</v>
      </c>
      <c r="AA198" s="20">
        <v>0</v>
      </c>
      <c r="AB198" s="20">
        <v>0</v>
      </c>
      <c r="AC198" s="20">
        <v>0</v>
      </c>
      <c r="AE198" s="21">
        <f t="shared" si="144"/>
        <v>31959900</v>
      </c>
      <c r="AF198" s="21">
        <f t="shared" si="145"/>
        <v>448745300</v>
      </c>
      <c r="AG198" s="21">
        <f t="shared" si="142"/>
        <v>24486100</v>
      </c>
    </row>
    <row r="199" spans="2:33" x14ac:dyDescent="0.2">
      <c r="B199" t="s">
        <v>342</v>
      </c>
      <c r="C199" s="5" t="s">
        <v>96</v>
      </c>
      <c r="D199" s="22">
        <f>$D195</f>
        <v>77740000</v>
      </c>
      <c r="E199" s="22">
        <f>$E195</f>
        <v>136274000</v>
      </c>
      <c r="F199" s="22">
        <f>$F195</f>
        <v>207008000</v>
      </c>
      <c r="G199" s="23">
        <f t="shared" si="146"/>
        <v>20</v>
      </c>
      <c r="H199" s="4">
        <v>58321000</v>
      </c>
      <c r="J199" s="20">
        <f t="shared" si="141"/>
        <v>58321000</v>
      </c>
      <c r="K199" s="20">
        <f t="shared" si="143"/>
        <v>56446000</v>
      </c>
      <c r="L199" s="20">
        <f t="shared" si="147"/>
        <v>52306000</v>
      </c>
      <c r="M199" s="20">
        <f t="shared" si="148"/>
        <v>54161000</v>
      </c>
      <c r="N199" s="20">
        <f t="shared" ref="N199:N206" si="149">H195</f>
        <v>55263000</v>
      </c>
      <c r="O199" s="20">
        <f>$F195/4</f>
        <v>51752000</v>
      </c>
      <c r="P199" s="20">
        <f>$F195/4</f>
        <v>51752000</v>
      </c>
      <c r="Q199" s="20">
        <f>$F195/4</f>
        <v>51752000</v>
      </c>
      <c r="R199" s="20">
        <f>$F195/4</f>
        <v>51752000</v>
      </c>
      <c r="S199" s="20">
        <f>$E195/4</f>
        <v>34068500</v>
      </c>
      <c r="T199" s="20">
        <f>$E195/4</f>
        <v>34068500</v>
      </c>
      <c r="U199" s="20">
        <f>$E195/4</f>
        <v>34068500</v>
      </c>
      <c r="V199" s="20">
        <f>$E195/4</f>
        <v>34068500</v>
      </c>
      <c r="W199" s="20">
        <f>$D195/4</f>
        <v>19435000</v>
      </c>
      <c r="X199" s="20">
        <f>$D195/4</f>
        <v>19435000</v>
      </c>
      <c r="Y199" s="20">
        <f>$D195/4</f>
        <v>19435000</v>
      </c>
      <c r="Z199" s="20">
        <f>$D195/4</f>
        <v>19435000</v>
      </c>
      <c r="AA199" s="20">
        <v>0</v>
      </c>
      <c r="AB199" s="20">
        <v>0</v>
      </c>
      <c r="AC199" s="20">
        <v>0</v>
      </c>
      <c r="AE199" s="21">
        <f t="shared" si="144"/>
        <v>34875950</v>
      </c>
      <c r="AF199" s="21">
        <f t="shared" si="145"/>
        <v>475106400</v>
      </c>
      <c r="AG199" s="21">
        <f t="shared" si="142"/>
        <v>23445050</v>
      </c>
    </row>
    <row r="200" spans="2:33" x14ac:dyDescent="0.2">
      <c r="B200" t="s">
        <v>342</v>
      </c>
      <c r="C200" s="5" t="s">
        <v>95</v>
      </c>
      <c r="D200" s="22">
        <f>$D195</f>
        <v>77740000</v>
      </c>
      <c r="E200" s="22">
        <f>$E195</f>
        <v>136274000</v>
      </c>
      <c r="F200" s="22">
        <f>$F195</f>
        <v>207008000</v>
      </c>
      <c r="G200" s="23">
        <f t="shared" si="146"/>
        <v>20</v>
      </c>
      <c r="H200" s="4">
        <v>63602000</v>
      </c>
      <c r="J200" s="20">
        <f t="shared" si="141"/>
        <v>63602000</v>
      </c>
      <c r="K200" s="20">
        <f t="shared" si="143"/>
        <v>58321000</v>
      </c>
      <c r="L200" s="20">
        <f t="shared" si="147"/>
        <v>56446000</v>
      </c>
      <c r="M200" s="20">
        <f t="shared" si="148"/>
        <v>52306000</v>
      </c>
      <c r="N200" s="20">
        <f t="shared" si="149"/>
        <v>54161000</v>
      </c>
      <c r="O200" s="20">
        <f t="shared" ref="O200:O206" si="150">H195</f>
        <v>55263000</v>
      </c>
      <c r="P200" s="20">
        <f>$F195/4</f>
        <v>51752000</v>
      </c>
      <c r="Q200" s="20">
        <f>$F195/4</f>
        <v>51752000</v>
      </c>
      <c r="R200" s="20">
        <f>$F195/4</f>
        <v>51752000</v>
      </c>
      <c r="S200" s="20">
        <f>$F195/4</f>
        <v>51752000</v>
      </c>
      <c r="T200" s="20">
        <f>$E195/4</f>
        <v>34068500</v>
      </c>
      <c r="U200" s="20">
        <f>$E195/4</f>
        <v>34068500</v>
      </c>
      <c r="V200" s="20">
        <f>$E195/4</f>
        <v>34068500</v>
      </c>
      <c r="W200" s="20">
        <f>$E195/4</f>
        <v>34068500</v>
      </c>
      <c r="X200" s="20">
        <f>$D195/4</f>
        <v>19435000</v>
      </c>
      <c r="Y200" s="20">
        <f>$D195/4</f>
        <v>19435000</v>
      </c>
      <c r="Z200" s="20">
        <f>$D195/4</f>
        <v>19435000</v>
      </c>
      <c r="AA200" s="20">
        <f>$D195/4</f>
        <v>19435000</v>
      </c>
      <c r="AB200" s="20">
        <v>0</v>
      </c>
      <c r="AC200" s="20">
        <v>0</v>
      </c>
      <c r="AE200" s="21">
        <f t="shared" si="144"/>
        <v>38056050</v>
      </c>
      <c r="AF200" s="21">
        <f t="shared" si="145"/>
        <v>503832450</v>
      </c>
      <c r="AG200" s="21">
        <f t="shared" si="142"/>
        <v>25545950</v>
      </c>
    </row>
    <row r="201" spans="2:33" x14ac:dyDescent="0.2">
      <c r="B201" t="s">
        <v>342</v>
      </c>
      <c r="C201" s="5" t="s">
        <v>94</v>
      </c>
      <c r="D201" s="22">
        <f>$D195</f>
        <v>77740000</v>
      </c>
      <c r="E201" s="22">
        <f>$E195</f>
        <v>136274000</v>
      </c>
      <c r="F201" s="22">
        <f>$F195</f>
        <v>207008000</v>
      </c>
      <c r="G201" s="23">
        <f t="shared" si="146"/>
        <v>20</v>
      </c>
      <c r="H201" s="4">
        <v>70453000</v>
      </c>
      <c r="J201" s="20">
        <f t="shared" si="141"/>
        <v>70453000</v>
      </c>
      <c r="K201" s="20">
        <f t="shared" si="143"/>
        <v>63602000</v>
      </c>
      <c r="L201" s="20">
        <f t="shared" si="147"/>
        <v>58321000</v>
      </c>
      <c r="M201" s="20">
        <f t="shared" si="148"/>
        <v>56446000</v>
      </c>
      <c r="N201" s="20">
        <f t="shared" si="149"/>
        <v>52306000</v>
      </c>
      <c r="O201" s="20">
        <f t="shared" si="150"/>
        <v>54161000</v>
      </c>
      <c r="P201" s="20">
        <f t="shared" ref="P201:P206" si="151">H195</f>
        <v>55263000</v>
      </c>
      <c r="Q201" s="20">
        <f>$F195/4</f>
        <v>51752000</v>
      </c>
      <c r="R201" s="20">
        <f>$F195/4</f>
        <v>51752000</v>
      </c>
      <c r="S201" s="20">
        <f>$F195/4</f>
        <v>51752000</v>
      </c>
      <c r="T201" s="20">
        <f>$F195/4</f>
        <v>51752000</v>
      </c>
      <c r="U201" s="20">
        <f>$E195/4</f>
        <v>34068500</v>
      </c>
      <c r="V201" s="20">
        <f>$E195/4</f>
        <v>34068500</v>
      </c>
      <c r="W201" s="20">
        <f>$E195/4</f>
        <v>34068500</v>
      </c>
      <c r="X201" s="20">
        <f>$E195/4</f>
        <v>34068500</v>
      </c>
      <c r="Y201" s="20">
        <f>$D195/4</f>
        <v>19435000</v>
      </c>
      <c r="Z201" s="20">
        <f>$D195/4</f>
        <v>19435000</v>
      </c>
      <c r="AA201" s="20">
        <f>$D195/4</f>
        <v>19435000</v>
      </c>
      <c r="AB201" s="20">
        <f>$D195/4</f>
        <v>19435000</v>
      </c>
      <c r="AC201" s="20">
        <v>0</v>
      </c>
      <c r="AE201" s="21">
        <f t="shared" si="144"/>
        <v>41578700</v>
      </c>
      <c r="AF201" s="21">
        <f t="shared" si="145"/>
        <v>536229400</v>
      </c>
      <c r="AG201" s="21">
        <f t="shared" si="142"/>
        <v>28874300</v>
      </c>
    </row>
    <row r="202" spans="2:33" x14ac:dyDescent="0.2">
      <c r="B202" t="s">
        <v>342</v>
      </c>
      <c r="C202" s="5" t="s">
        <v>93</v>
      </c>
      <c r="D202" s="22">
        <f>$D195</f>
        <v>77740000</v>
      </c>
      <c r="E202" s="22">
        <f>$E195</f>
        <v>136274000</v>
      </c>
      <c r="F202" s="22">
        <f>$F195</f>
        <v>207008000</v>
      </c>
      <c r="G202" s="23">
        <f t="shared" si="146"/>
        <v>20</v>
      </c>
      <c r="H202" s="4">
        <v>74626000</v>
      </c>
      <c r="J202" s="20">
        <f t="shared" si="141"/>
        <v>74626000</v>
      </c>
      <c r="K202" s="20">
        <f t="shared" si="143"/>
        <v>70453000</v>
      </c>
      <c r="L202" s="20">
        <f t="shared" si="147"/>
        <v>63602000</v>
      </c>
      <c r="M202" s="20">
        <f t="shared" si="148"/>
        <v>58321000</v>
      </c>
      <c r="N202" s="20">
        <f t="shared" si="149"/>
        <v>56446000</v>
      </c>
      <c r="O202" s="20">
        <f t="shared" si="150"/>
        <v>52306000</v>
      </c>
      <c r="P202" s="20">
        <f t="shared" si="151"/>
        <v>54161000</v>
      </c>
      <c r="Q202" s="20">
        <f>H195</f>
        <v>55263000</v>
      </c>
      <c r="R202" s="20">
        <f>$F195/4</f>
        <v>51752000</v>
      </c>
      <c r="S202" s="20">
        <f>$F195/4</f>
        <v>51752000</v>
      </c>
      <c r="T202" s="20">
        <f>$F195/4</f>
        <v>51752000</v>
      </c>
      <c r="U202" s="20">
        <f>$F195/4</f>
        <v>51752000</v>
      </c>
      <c r="V202" s="20">
        <f>$E195/4</f>
        <v>34068500</v>
      </c>
      <c r="W202" s="20">
        <f>$E195/4</f>
        <v>34068500</v>
      </c>
      <c r="X202" s="20">
        <f>$E195/4</f>
        <v>34068500</v>
      </c>
      <c r="Y202" s="20">
        <f>$E195/4</f>
        <v>34068500</v>
      </c>
      <c r="Z202" s="20">
        <f>$D195/4</f>
        <v>19435000</v>
      </c>
      <c r="AA202" s="20">
        <f>$D195/4</f>
        <v>19435000</v>
      </c>
      <c r="AB202" s="20">
        <f>$D195/4</f>
        <v>19435000</v>
      </c>
      <c r="AC202" s="20">
        <f>$D195/4</f>
        <v>19435000</v>
      </c>
      <c r="AE202" s="21">
        <f t="shared" si="144"/>
        <v>45310000</v>
      </c>
      <c r="AF202" s="21">
        <f t="shared" si="145"/>
        <v>569276700</v>
      </c>
      <c r="AG202" s="21">
        <f t="shared" si="142"/>
        <v>29316000</v>
      </c>
    </row>
    <row r="203" spans="2:33" x14ac:dyDescent="0.2">
      <c r="B203" t="s">
        <v>342</v>
      </c>
      <c r="C203" s="5" t="s">
        <v>141</v>
      </c>
      <c r="D203" s="22">
        <f>$D195</f>
        <v>77740000</v>
      </c>
      <c r="E203" s="22">
        <f>$E195</f>
        <v>136274000</v>
      </c>
      <c r="F203" s="22">
        <f>$F195</f>
        <v>207008000</v>
      </c>
      <c r="G203" s="23">
        <f t="shared" si="146"/>
        <v>20</v>
      </c>
      <c r="H203" s="4">
        <v>72253000</v>
      </c>
      <c r="J203" s="20">
        <f t="shared" si="141"/>
        <v>72253000</v>
      </c>
      <c r="K203" s="20">
        <f t="shared" si="143"/>
        <v>74626000</v>
      </c>
      <c r="L203" s="20">
        <f t="shared" si="147"/>
        <v>70453000</v>
      </c>
      <c r="M203" s="20">
        <f t="shared" si="148"/>
        <v>63602000</v>
      </c>
      <c r="N203" s="20">
        <f t="shared" si="149"/>
        <v>58321000</v>
      </c>
      <c r="O203" s="20">
        <f t="shared" si="150"/>
        <v>56446000</v>
      </c>
      <c r="P203" s="20">
        <f t="shared" si="151"/>
        <v>52306000</v>
      </c>
      <c r="Q203" s="20">
        <f>H196</f>
        <v>54161000</v>
      </c>
      <c r="R203" s="20">
        <f>H195</f>
        <v>55263000</v>
      </c>
      <c r="S203" s="20">
        <f>$F195/4</f>
        <v>51752000</v>
      </c>
      <c r="T203" s="20">
        <f>$F195/4</f>
        <v>51752000</v>
      </c>
      <c r="U203" s="20">
        <f>$F195/4</f>
        <v>51752000</v>
      </c>
      <c r="V203" s="20">
        <f>$F195/4</f>
        <v>51752000</v>
      </c>
      <c r="W203" s="20">
        <f>$E195/4</f>
        <v>34068500</v>
      </c>
      <c r="X203" s="20">
        <f>$E195/4</f>
        <v>34068500</v>
      </c>
      <c r="Y203" s="20">
        <f>$E195/4</f>
        <v>34068500</v>
      </c>
      <c r="Z203" s="20">
        <f>$E195/4</f>
        <v>34068500</v>
      </c>
      <c r="AA203" s="20">
        <f>$D195/4</f>
        <v>19435000</v>
      </c>
      <c r="AB203" s="20">
        <f>$D195/4</f>
        <v>19435000</v>
      </c>
      <c r="AC203" s="20">
        <f>$D195/4</f>
        <v>19435000</v>
      </c>
      <c r="AE203" s="21">
        <f t="shared" si="144"/>
        <v>47950900</v>
      </c>
      <c r="AF203" s="21">
        <f t="shared" si="145"/>
        <v>596219700</v>
      </c>
      <c r="AG203" s="21">
        <f t="shared" si="142"/>
        <v>24302100</v>
      </c>
    </row>
    <row r="204" spans="2:33" x14ac:dyDescent="0.2">
      <c r="B204" t="s">
        <v>342</v>
      </c>
      <c r="C204" s="5" t="s">
        <v>160</v>
      </c>
      <c r="D204" s="22">
        <f>$D195</f>
        <v>77740000</v>
      </c>
      <c r="E204" s="22">
        <f>$E195</f>
        <v>136274000</v>
      </c>
      <c r="F204" s="22">
        <f>$F195</f>
        <v>207008000</v>
      </c>
      <c r="G204" s="23">
        <f t="shared" si="146"/>
        <v>20</v>
      </c>
      <c r="H204" s="4">
        <v>79091000</v>
      </c>
      <c r="J204" s="20">
        <f t="shared" si="141"/>
        <v>79091000</v>
      </c>
      <c r="K204" s="20">
        <f t="shared" si="143"/>
        <v>72253000</v>
      </c>
      <c r="L204" s="20">
        <f t="shared" si="147"/>
        <v>74626000</v>
      </c>
      <c r="M204" s="20">
        <f t="shared" si="148"/>
        <v>70453000</v>
      </c>
      <c r="N204" s="20">
        <f t="shared" si="149"/>
        <v>63602000</v>
      </c>
      <c r="O204" s="20">
        <f t="shared" si="150"/>
        <v>58321000</v>
      </c>
      <c r="P204" s="20">
        <f t="shared" si="151"/>
        <v>56446000</v>
      </c>
      <c r="Q204" s="20">
        <f>H197</f>
        <v>52306000</v>
      </c>
      <c r="R204" s="20">
        <f>H196</f>
        <v>54161000</v>
      </c>
      <c r="S204" s="20">
        <f>H195</f>
        <v>55263000</v>
      </c>
      <c r="T204" s="20">
        <f>$F195/4</f>
        <v>51752000</v>
      </c>
      <c r="U204" s="20">
        <f>$F195/4</f>
        <v>51752000</v>
      </c>
      <c r="V204" s="20">
        <f>$F195/4</f>
        <v>51752000</v>
      </c>
      <c r="W204" s="20">
        <f>$F195/4</f>
        <v>51752000</v>
      </c>
      <c r="X204" s="20">
        <f>$E195/4</f>
        <v>34068500</v>
      </c>
      <c r="Y204" s="20">
        <f>$E195/4</f>
        <v>34068500</v>
      </c>
      <c r="Z204" s="20">
        <f>$E195/4</f>
        <v>34068500</v>
      </c>
      <c r="AA204" s="20">
        <f>$E195/4</f>
        <v>34068500</v>
      </c>
      <c r="AB204" s="20">
        <f>$D195/4</f>
        <v>19435000</v>
      </c>
      <c r="AC204" s="20">
        <f>$D195/4</f>
        <v>19435000</v>
      </c>
      <c r="AE204" s="21">
        <f t="shared" si="144"/>
        <v>50933700</v>
      </c>
      <c r="AF204" s="21">
        <f t="shared" si="145"/>
        <v>627359800</v>
      </c>
      <c r="AG204" s="21">
        <f t="shared" si="142"/>
        <v>28157300</v>
      </c>
    </row>
    <row r="205" spans="2:33" x14ac:dyDescent="0.2">
      <c r="B205" t="s">
        <v>342</v>
      </c>
      <c r="C205" s="5" t="s">
        <v>161</v>
      </c>
      <c r="D205" s="22">
        <f>$D195</f>
        <v>77740000</v>
      </c>
      <c r="E205" s="22">
        <f>$E195</f>
        <v>136274000</v>
      </c>
      <c r="F205" s="22">
        <f>$F195</f>
        <v>207008000</v>
      </c>
      <c r="G205" s="23">
        <f t="shared" si="146"/>
        <v>20</v>
      </c>
      <c r="H205" s="4">
        <v>83146000</v>
      </c>
      <c r="J205" s="20">
        <f t="shared" si="141"/>
        <v>83146000</v>
      </c>
      <c r="K205" s="20">
        <f t="shared" si="143"/>
        <v>79091000</v>
      </c>
      <c r="L205" s="20">
        <f t="shared" si="147"/>
        <v>72253000</v>
      </c>
      <c r="M205" s="20">
        <f t="shared" si="148"/>
        <v>74626000</v>
      </c>
      <c r="N205" s="20">
        <f t="shared" si="149"/>
        <v>70453000</v>
      </c>
      <c r="O205" s="20">
        <f t="shared" si="150"/>
        <v>63602000</v>
      </c>
      <c r="P205" s="20">
        <f t="shared" si="151"/>
        <v>58321000</v>
      </c>
      <c r="Q205" s="20">
        <f>H198</f>
        <v>56446000</v>
      </c>
      <c r="R205" s="20">
        <f>H197</f>
        <v>52306000</v>
      </c>
      <c r="S205" s="20">
        <f>H196</f>
        <v>54161000</v>
      </c>
      <c r="T205" s="20">
        <f>H195</f>
        <v>55263000</v>
      </c>
      <c r="U205" s="20">
        <f>$F195/4</f>
        <v>51752000</v>
      </c>
      <c r="V205" s="20">
        <f>$F195/4</f>
        <v>51752000</v>
      </c>
      <c r="W205" s="20">
        <f>$F195/4</f>
        <v>51752000</v>
      </c>
      <c r="X205" s="20">
        <f>$F195/4</f>
        <v>51752000</v>
      </c>
      <c r="Y205" s="20">
        <f>$E195/4</f>
        <v>34068500</v>
      </c>
      <c r="Z205" s="20">
        <f>$E195/4</f>
        <v>34068500</v>
      </c>
      <c r="AA205" s="20">
        <f>$E195/4</f>
        <v>34068500</v>
      </c>
      <c r="AB205" s="20">
        <f>$E195/4</f>
        <v>34068500</v>
      </c>
      <c r="AC205" s="20">
        <f>$D195/4</f>
        <v>19435000</v>
      </c>
      <c r="AE205" s="21">
        <f t="shared" si="144"/>
        <v>54119250</v>
      </c>
      <c r="AF205" s="21">
        <f t="shared" si="145"/>
        <v>659572100</v>
      </c>
      <c r="AG205" s="21">
        <f t="shared" si="142"/>
        <v>29026750</v>
      </c>
    </row>
    <row r="206" spans="2:33" x14ac:dyDescent="0.2">
      <c r="B206" t="s">
        <v>342</v>
      </c>
      <c r="C206" s="5" t="s">
        <v>162</v>
      </c>
      <c r="D206" s="22">
        <f>$D195</f>
        <v>77740000</v>
      </c>
      <c r="E206" s="22">
        <f>$E195</f>
        <v>136274000</v>
      </c>
      <c r="F206" s="22">
        <f>$F195</f>
        <v>207008000</v>
      </c>
      <c r="G206" s="23">
        <f t="shared" si="146"/>
        <v>20</v>
      </c>
      <c r="H206" s="4">
        <v>89363000</v>
      </c>
      <c r="J206" s="20">
        <f t="shared" si="141"/>
        <v>89363000</v>
      </c>
      <c r="K206" s="20">
        <f t="shared" si="143"/>
        <v>83146000</v>
      </c>
      <c r="L206" s="20">
        <f t="shared" si="147"/>
        <v>79091000</v>
      </c>
      <c r="M206" s="20">
        <f t="shared" si="148"/>
        <v>72253000</v>
      </c>
      <c r="N206" s="20">
        <f t="shared" si="149"/>
        <v>74626000</v>
      </c>
      <c r="O206" s="20">
        <f t="shared" si="150"/>
        <v>70453000</v>
      </c>
      <c r="P206" s="20">
        <f t="shared" si="151"/>
        <v>63602000</v>
      </c>
      <c r="Q206" s="20">
        <f>H199</f>
        <v>58321000</v>
      </c>
      <c r="R206" s="20">
        <f>H198</f>
        <v>56446000</v>
      </c>
      <c r="S206" s="20">
        <f>H197</f>
        <v>52306000</v>
      </c>
      <c r="T206" s="20">
        <f>H196</f>
        <v>54161000</v>
      </c>
      <c r="U206" s="20">
        <f>H195</f>
        <v>55263000</v>
      </c>
      <c r="V206" s="20">
        <f>$F195/4</f>
        <v>51752000</v>
      </c>
      <c r="W206" s="20">
        <f>$F195/4</f>
        <v>51752000</v>
      </c>
      <c r="X206" s="20">
        <f>$F195/4</f>
        <v>51752000</v>
      </c>
      <c r="Y206" s="20">
        <f>$F195/4</f>
        <v>51752000</v>
      </c>
      <c r="Z206" s="20">
        <f>$E195/4</f>
        <v>34068500</v>
      </c>
      <c r="AA206" s="20">
        <f>$E195/4</f>
        <v>34068500</v>
      </c>
      <c r="AB206" s="20">
        <f>$E195/4</f>
        <v>34068500</v>
      </c>
      <c r="AC206" s="20">
        <f>$E195/4</f>
        <v>34068500</v>
      </c>
      <c r="AE206" s="21">
        <f t="shared" si="144"/>
        <v>57615650</v>
      </c>
      <c r="AF206" s="21">
        <f t="shared" si="145"/>
        <v>694815850</v>
      </c>
      <c r="AG206" s="21">
        <f t="shared" si="142"/>
        <v>31747350</v>
      </c>
    </row>
    <row r="207" spans="2:33" x14ac:dyDescent="0.2">
      <c r="I207" s="3"/>
    </row>
    <row r="208" spans="2:33" x14ac:dyDescent="0.2">
      <c r="C208" t="s">
        <v>338</v>
      </c>
    </row>
    <row r="209" spans="1:33" x14ac:dyDescent="0.2">
      <c r="C209" s="6" t="s">
        <v>107</v>
      </c>
      <c r="D209" s="6" t="s">
        <v>439</v>
      </c>
      <c r="E209" s="6" t="s">
        <v>440</v>
      </c>
      <c r="F209" s="6" t="s">
        <v>471</v>
      </c>
      <c r="G209" s="6" t="s">
        <v>441</v>
      </c>
      <c r="H209" s="6" t="s">
        <v>442</v>
      </c>
      <c r="I209" s="15"/>
      <c r="J209" s="6" t="s">
        <v>443</v>
      </c>
      <c r="K209" s="6" t="s">
        <v>444</v>
      </c>
      <c r="L209" s="6" t="s">
        <v>445</v>
      </c>
      <c r="M209" s="6" t="s">
        <v>446</v>
      </c>
      <c r="N209" s="6" t="s">
        <v>447</v>
      </c>
      <c r="O209" s="6" t="s">
        <v>448</v>
      </c>
      <c r="P209" s="6" t="s">
        <v>449</v>
      </c>
      <c r="Q209" s="6" t="s">
        <v>450</v>
      </c>
      <c r="R209" s="6" t="s">
        <v>451</v>
      </c>
      <c r="S209" s="6" t="s">
        <v>452</v>
      </c>
      <c r="T209" s="6" t="s">
        <v>453</v>
      </c>
      <c r="U209" s="6" t="s">
        <v>454</v>
      </c>
      <c r="V209" s="6" t="s">
        <v>455</v>
      </c>
      <c r="W209" s="6" t="s">
        <v>456</v>
      </c>
      <c r="X209" s="6" t="s">
        <v>457</v>
      </c>
      <c r="Y209" s="6" t="s">
        <v>458</v>
      </c>
      <c r="Z209" s="6" t="s">
        <v>459</v>
      </c>
      <c r="AA209" s="6" t="s">
        <v>460</v>
      </c>
      <c r="AB209" s="6" t="s">
        <v>461</v>
      </c>
      <c r="AC209" s="6" t="s">
        <v>462</v>
      </c>
      <c r="AD209" s="15"/>
      <c r="AE209" s="6" t="s">
        <v>106</v>
      </c>
      <c r="AF209" s="6" t="s">
        <v>105</v>
      </c>
      <c r="AG209" s="6" t="s">
        <v>463</v>
      </c>
    </row>
    <row r="210" spans="1:33" x14ac:dyDescent="0.2">
      <c r="C210" s="16" t="s">
        <v>464</v>
      </c>
      <c r="J210" s="17">
        <v>20</v>
      </c>
      <c r="K210" s="17">
        <v>19</v>
      </c>
      <c r="L210" s="17">
        <v>18</v>
      </c>
      <c r="M210" s="17">
        <v>17</v>
      </c>
      <c r="N210" s="17">
        <v>16</v>
      </c>
      <c r="O210" s="17">
        <v>15</v>
      </c>
      <c r="P210" s="17">
        <v>14</v>
      </c>
      <c r="Q210" s="17">
        <v>13</v>
      </c>
      <c r="R210" s="17">
        <v>12</v>
      </c>
      <c r="S210" s="17">
        <v>11</v>
      </c>
      <c r="T210" s="17">
        <v>10</v>
      </c>
      <c r="U210" s="17">
        <v>9</v>
      </c>
      <c r="V210" s="17">
        <v>8</v>
      </c>
      <c r="W210" s="17">
        <v>7</v>
      </c>
      <c r="X210" s="17">
        <v>6</v>
      </c>
      <c r="Y210" s="17">
        <v>5</v>
      </c>
      <c r="Z210" s="17">
        <v>4</v>
      </c>
      <c r="AA210" s="17">
        <v>3</v>
      </c>
      <c r="AB210" s="17">
        <v>2</v>
      </c>
      <c r="AC210" s="17">
        <v>1</v>
      </c>
    </row>
    <row r="211" spans="1:33" x14ac:dyDescent="0.2">
      <c r="A211">
        <v>1</v>
      </c>
      <c r="B211" t="s">
        <v>338</v>
      </c>
      <c r="C211" s="18" t="s">
        <v>488</v>
      </c>
      <c r="G211" s="23">
        <f t="shared" ref="G211:G218" si="152">$G$13</f>
        <v>20</v>
      </c>
      <c r="H211" s="4">
        <v>96871750</v>
      </c>
      <c r="I211" s="20">
        <f>+H211/20</f>
        <v>4843587.5</v>
      </c>
      <c r="J211" s="20">
        <f>+H211-$I211</f>
        <v>92028162.5</v>
      </c>
      <c r="K211" s="20">
        <f>+J211-$I211</f>
        <v>87184575</v>
      </c>
      <c r="L211" s="20">
        <f t="shared" ref="L211" si="153">+K211-$I211</f>
        <v>82340987.5</v>
      </c>
      <c r="M211" s="20">
        <f t="shared" ref="M211:M212" si="154">+L211-$I211</f>
        <v>77497400</v>
      </c>
      <c r="N211" s="20">
        <f t="shared" ref="N211:N213" si="155">+M211-$I211</f>
        <v>72653812.5</v>
      </c>
      <c r="O211" s="20">
        <f t="shared" ref="O211:O215" si="156">+N211-$I211</f>
        <v>67810225</v>
      </c>
      <c r="P211" s="20">
        <f t="shared" ref="P211:P216" si="157">+O211-$I211</f>
        <v>62966637.5</v>
      </c>
      <c r="Q211" s="20">
        <f t="shared" ref="Q211:Q217" si="158">+P211-$I211</f>
        <v>58123050</v>
      </c>
      <c r="R211" s="20">
        <f t="shared" ref="R211:R218" si="159">+Q211-$I211</f>
        <v>53279462.5</v>
      </c>
      <c r="S211" s="20">
        <f t="shared" ref="S211:S219" si="160">+R211-$I211</f>
        <v>48435875</v>
      </c>
      <c r="T211" s="20">
        <f t="shared" ref="T211:T220" si="161">+S211-$I211</f>
        <v>43592287.5</v>
      </c>
      <c r="U211" s="20">
        <f t="shared" ref="U211:U221" si="162">+T211-$I211</f>
        <v>38748700</v>
      </c>
      <c r="V211" s="20">
        <f t="shared" ref="V211:V222" si="163">+U211-$I211</f>
        <v>33905112.5</v>
      </c>
      <c r="W211" s="20">
        <f t="shared" ref="W211:W223" si="164">+V211-$I211</f>
        <v>29061525</v>
      </c>
      <c r="X211" s="20">
        <f t="shared" ref="X211:X224" si="165">+W211-$I211</f>
        <v>24217937.5</v>
      </c>
      <c r="Y211" s="20">
        <f t="shared" ref="Y211:Y225" si="166">+X211-$I211</f>
        <v>19374350</v>
      </c>
      <c r="Z211" s="20">
        <f t="shared" ref="Z211:Z226" si="167">+Y211-$I211</f>
        <v>14530762.5</v>
      </c>
      <c r="AA211" s="20">
        <f t="shared" ref="AA211:AA227" si="168">+Z211-$I211</f>
        <v>9687175</v>
      </c>
      <c r="AB211" s="20">
        <f t="shared" ref="AB211:AB228" si="169">+AA211-$I211</f>
        <v>4843587.5</v>
      </c>
      <c r="AC211" s="20">
        <f t="shared" ref="AC211:AC229" si="170">+AB211-$I211</f>
        <v>0</v>
      </c>
      <c r="AE211" s="21">
        <f>SUM(I211)</f>
        <v>4843587.5</v>
      </c>
      <c r="AF211" s="21">
        <f>SUM(J211:J211)</f>
        <v>92028162.5</v>
      </c>
      <c r="AG211" s="21">
        <f t="shared" ref="AG211:AG230" si="171">H211-AE211</f>
        <v>92028162.5</v>
      </c>
    </row>
    <row r="212" spans="1:33" x14ac:dyDescent="0.2">
      <c r="A212">
        <v>2</v>
      </c>
      <c r="B212" t="s">
        <v>338</v>
      </c>
      <c r="C212" s="18" t="s">
        <v>489</v>
      </c>
      <c r="G212" s="23">
        <f t="shared" si="152"/>
        <v>20</v>
      </c>
      <c r="H212" s="4">
        <v>110524000</v>
      </c>
      <c r="I212" s="20">
        <f t="shared" ref="I212:I230" si="172">+H212/20</f>
        <v>5526200</v>
      </c>
      <c r="J212" s="20"/>
      <c r="K212" s="20">
        <f>+H212-I212</f>
        <v>104997800</v>
      </c>
      <c r="L212" s="20">
        <f>+K212-$I212</f>
        <v>99471600</v>
      </c>
      <c r="M212" s="20">
        <f t="shared" si="154"/>
        <v>93945400</v>
      </c>
      <c r="N212" s="20">
        <f t="shared" si="155"/>
        <v>88419200</v>
      </c>
      <c r="O212" s="20">
        <f t="shared" si="156"/>
        <v>82893000</v>
      </c>
      <c r="P212" s="20">
        <f t="shared" si="157"/>
        <v>77366800</v>
      </c>
      <c r="Q212" s="20">
        <f t="shared" si="158"/>
        <v>71840600</v>
      </c>
      <c r="R212" s="20">
        <f t="shared" si="159"/>
        <v>66314400</v>
      </c>
      <c r="S212" s="20">
        <f t="shared" si="160"/>
        <v>60788200</v>
      </c>
      <c r="T212" s="20">
        <f t="shared" si="161"/>
        <v>55262000</v>
      </c>
      <c r="U212" s="20">
        <f t="shared" si="162"/>
        <v>49735800</v>
      </c>
      <c r="V212" s="20">
        <f t="shared" si="163"/>
        <v>44209600</v>
      </c>
      <c r="W212" s="20">
        <f t="shared" si="164"/>
        <v>38683400</v>
      </c>
      <c r="X212" s="20">
        <f t="shared" si="165"/>
        <v>33157200</v>
      </c>
      <c r="Y212" s="20">
        <f t="shared" si="166"/>
        <v>27631000</v>
      </c>
      <c r="Z212" s="20">
        <f t="shared" si="167"/>
        <v>22104800</v>
      </c>
      <c r="AA212" s="20">
        <f t="shared" si="168"/>
        <v>16578600</v>
      </c>
      <c r="AB212" s="20">
        <f t="shared" si="169"/>
        <v>11052400</v>
      </c>
      <c r="AC212" s="20">
        <f t="shared" si="170"/>
        <v>5526200</v>
      </c>
      <c r="AE212" s="21">
        <f>SUM(I211:I212)</f>
        <v>10369787.5</v>
      </c>
      <c r="AF212" s="21">
        <f>SUM(K211:K212)</f>
        <v>192182375</v>
      </c>
      <c r="AG212" s="21">
        <f t="shared" si="171"/>
        <v>100154212.5</v>
      </c>
    </row>
    <row r="213" spans="1:33" x14ac:dyDescent="0.2">
      <c r="A213">
        <v>3</v>
      </c>
      <c r="B213" t="s">
        <v>338</v>
      </c>
      <c r="C213" s="18" t="s">
        <v>490</v>
      </c>
      <c r="G213" s="23">
        <f t="shared" si="152"/>
        <v>20</v>
      </c>
      <c r="H213" s="4">
        <v>94316000</v>
      </c>
      <c r="I213" s="20">
        <f t="shared" si="172"/>
        <v>4715800</v>
      </c>
      <c r="J213" s="20"/>
      <c r="K213" s="20"/>
      <c r="L213" s="20">
        <f>+H213-I213</f>
        <v>89600200</v>
      </c>
      <c r="M213" s="20">
        <f>+L213-$I213</f>
        <v>84884400</v>
      </c>
      <c r="N213" s="20">
        <f t="shared" si="155"/>
        <v>80168600</v>
      </c>
      <c r="O213" s="20">
        <f t="shared" si="156"/>
        <v>75452800</v>
      </c>
      <c r="P213" s="20">
        <f t="shared" si="157"/>
        <v>70737000</v>
      </c>
      <c r="Q213" s="20">
        <f t="shared" si="158"/>
        <v>66021200</v>
      </c>
      <c r="R213" s="20">
        <f t="shared" si="159"/>
        <v>61305400</v>
      </c>
      <c r="S213" s="20">
        <f t="shared" si="160"/>
        <v>56589600</v>
      </c>
      <c r="T213" s="20">
        <f t="shared" si="161"/>
        <v>51873800</v>
      </c>
      <c r="U213" s="20">
        <f t="shared" si="162"/>
        <v>47158000</v>
      </c>
      <c r="V213" s="20">
        <f t="shared" si="163"/>
        <v>42442200</v>
      </c>
      <c r="W213" s="20">
        <f t="shared" si="164"/>
        <v>37726400</v>
      </c>
      <c r="X213" s="20">
        <f t="shared" si="165"/>
        <v>33010600</v>
      </c>
      <c r="Y213" s="20">
        <f t="shared" si="166"/>
        <v>28294800</v>
      </c>
      <c r="Z213" s="20">
        <f t="shared" si="167"/>
        <v>23579000</v>
      </c>
      <c r="AA213" s="20">
        <f t="shared" si="168"/>
        <v>18863200</v>
      </c>
      <c r="AB213" s="20">
        <f t="shared" si="169"/>
        <v>14147400</v>
      </c>
      <c r="AC213" s="20">
        <f t="shared" si="170"/>
        <v>9431600</v>
      </c>
      <c r="AE213" s="21">
        <f>SUM(I211:I213)</f>
        <v>15085587.5</v>
      </c>
      <c r="AF213" s="21">
        <f>SUM(L211:L213)</f>
        <v>271412787.5</v>
      </c>
      <c r="AG213" s="21">
        <f t="shared" si="171"/>
        <v>79230412.5</v>
      </c>
    </row>
    <row r="214" spans="1:33" x14ac:dyDescent="0.2">
      <c r="A214">
        <v>4</v>
      </c>
      <c r="B214" t="s">
        <v>338</v>
      </c>
      <c r="C214" s="18" t="s">
        <v>491</v>
      </c>
      <c r="G214" s="23">
        <f t="shared" si="152"/>
        <v>20</v>
      </c>
      <c r="H214" s="4">
        <v>84176000</v>
      </c>
      <c r="I214" s="20">
        <f t="shared" si="172"/>
        <v>4208800</v>
      </c>
      <c r="J214" s="20"/>
      <c r="K214" s="20"/>
      <c r="L214" s="20"/>
      <c r="M214" s="20">
        <f>+H214-I214</f>
        <v>79967200</v>
      </c>
      <c r="N214" s="20">
        <f>+M214-$I214</f>
        <v>75758400</v>
      </c>
      <c r="O214" s="20">
        <f t="shared" si="156"/>
        <v>71549600</v>
      </c>
      <c r="P214" s="20">
        <f t="shared" si="157"/>
        <v>67340800</v>
      </c>
      <c r="Q214" s="20">
        <f t="shared" si="158"/>
        <v>63132000</v>
      </c>
      <c r="R214" s="20">
        <f t="shared" si="159"/>
        <v>58923200</v>
      </c>
      <c r="S214" s="20">
        <f t="shared" si="160"/>
        <v>54714400</v>
      </c>
      <c r="T214" s="20">
        <f t="shared" si="161"/>
        <v>50505600</v>
      </c>
      <c r="U214" s="20">
        <f t="shared" si="162"/>
        <v>46296800</v>
      </c>
      <c r="V214" s="20">
        <f t="shared" si="163"/>
        <v>42088000</v>
      </c>
      <c r="W214" s="20">
        <f t="shared" si="164"/>
        <v>37879200</v>
      </c>
      <c r="X214" s="20">
        <f t="shared" si="165"/>
        <v>33670400</v>
      </c>
      <c r="Y214" s="20">
        <f t="shared" si="166"/>
        <v>29461600</v>
      </c>
      <c r="Z214" s="20">
        <f t="shared" si="167"/>
        <v>25252800</v>
      </c>
      <c r="AA214" s="20">
        <f t="shared" si="168"/>
        <v>21044000</v>
      </c>
      <c r="AB214" s="20">
        <f t="shared" si="169"/>
        <v>16835200</v>
      </c>
      <c r="AC214" s="20">
        <f t="shared" si="170"/>
        <v>12626400</v>
      </c>
      <c r="AE214" s="21">
        <f>SUM(I211:I214)</f>
        <v>19294387.5</v>
      </c>
      <c r="AF214" s="21">
        <f>SUM(M211:M214)</f>
        <v>336294400</v>
      </c>
      <c r="AG214" s="21">
        <f t="shared" si="171"/>
        <v>64881612.5</v>
      </c>
    </row>
    <row r="215" spans="1:33" x14ac:dyDescent="0.2">
      <c r="A215">
        <v>5</v>
      </c>
      <c r="B215" t="s">
        <v>338</v>
      </c>
      <c r="C215" s="18" t="s">
        <v>484</v>
      </c>
      <c r="G215" s="23">
        <f t="shared" si="152"/>
        <v>20</v>
      </c>
      <c r="H215" s="4">
        <v>88601000</v>
      </c>
      <c r="I215" s="20">
        <f t="shared" si="172"/>
        <v>4430050</v>
      </c>
      <c r="J215" s="20"/>
      <c r="K215" s="20"/>
      <c r="L215" s="20"/>
      <c r="M215" s="20"/>
      <c r="N215" s="20">
        <f>+H215-I215</f>
        <v>84170950</v>
      </c>
      <c r="O215" s="20">
        <f t="shared" si="156"/>
        <v>79740900</v>
      </c>
      <c r="P215" s="20">
        <f t="shared" si="157"/>
        <v>75310850</v>
      </c>
      <c r="Q215" s="20">
        <f t="shared" si="158"/>
        <v>70880800</v>
      </c>
      <c r="R215" s="20">
        <f t="shared" si="159"/>
        <v>66450750</v>
      </c>
      <c r="S215" s="20">
        <f t="shared" si="160"/>
        <v>62020700</v>
      </c>
      <c r="T215" s="20">
        <f t="shared" si="161"/>
        <v>57590650</v>
      </c>
      <c r="U215" s="20">
        <f t="shared" si="162"/>
        <v>53160600</v>
      </c>
      <c r="V215" s="20">
        <f t="shared" si="163"/>
        <v>48730550</v>
      </c>
      <c r="W215" s="20">
        <f t="shared" si="164"/>
        <v>44300500</v>
      </c>
      <c r="X215" s="20">
        <f t="shared" si="165"/>
        <v>39870450</v>
      </c>
      <c r="Y215" s="20">
        <f t="shared" si="166"/>
        <v>35440400</v>
      </c>
      <c r="Z215" s="20">
        <f t="shared" si="167"/>
        <v>31010350</v>
      </c>
      <c r="AA215" s="20">
        <f t="shared" si="168"/>
        <v>26580300</v>
      </c>
      <c r="AB215" s="20">
        <f t="shared" si="169"/>
        <v>22150250</v>
      </c>
      <c r="AC215" s="20">
        <f t="shared" si="170"/>
        <v>17720200</v>
      </c>
      <c r="AE215" s="21">
        <f>SUM(I211:I215)</f>
        <v>23724437.5</v>
      </c>
      <c r="AF215" s="21">
        <f>SUM(N211:N215)</f>
        <v>401170962.5</v>
      </c>
      <c r="AG215" s="21">
        <f t="shared" si="171"/>
        <v>64876562.5</v>
      </c>
    </row>
    <row r="216" spans="1:33" x14ac:dyDescent="0.2">
      <c r="A216">
        <v>6</v>
      </c>
      <c r="B216" t="s">
        <v>338</v>
      </c>
      <c r="C216" s="18" t="s">
        <v>485</v>
      </c>
      <c r="G216" s="23">
        <f t="shared" si="152"/>
        <v>20</v>
      </c>
      <c r="H216" s="4">
        <v>88171000</v>
      </c>
      <c r="I216" s="20">
        <f t="shared" si="172"/>
        <v>4408550</v>
      </c>
      <c r="J216" s="20"/>
      <c r="K216" s="20"/>
      <c r="L216" s="20"/>
      <c r="M216" s="20"/>
      <c r="N216" s="20"/>
      <c r="O216" s="20">
        <f>+H216-I216</f>
        <v>83762450</v>
      </c>
      <c r="P216" s="20">
        <f t="shared" si="157"/>
        <v>79353900</v>
      </c>
      <c r="Q216" s="20">
        <f t="shared" si="158"/>
        <v>74945350</v>
      </c>
      <c r="R216" s="20">
        <f t="shared" si="159"/>
        <v>70536800</v>
      </c>
      <c r="S216" s="20">
        <f t="shared" si="160"/>
        <v>66128250</v>
      </c>
      <c r="T216" s="20">
        <f t="shared" si="161"/>
        <v>61719700</v>
      </c>
      <c r="U216" s="20">
        <f t="shared" si="162"/>
        <v>57311150</v>
      </c>
      <c r="V216" s="20">
        <f t="shared" si="163"/>
        <v>52902600</v>
      </c>
      <c r="W216" s="20">
        <f t="shared" si="164"/>
        <v>48494050</v>
      </c>
      <c r="X216" s="20">
        <f t="shared" si="165"/>
        <v>44085500</v>
      </c>
      <c r="Y216" s="20">
        <f t="shared" si="166"/>
        <v>39676950</v>
      </c>
      <c r="Z216" s="20">
        <f t="shared" si="167"/>
        <v>35268400</v>
      </c>
      <c r="AA216" s="20">
        <f t="shared" si="168"/>
        <v>30859850</v>
      </c>
      <c r="AB216" s="20">
        <f t="shared" si="169"/>
        <v>26451300</v>
      </c>
      <c r="AC216" s="20">
        <f t="shared" si="170"/>
        <v>22042750</v>
      </c>
      <c r="AE216" s="21">
        <f>SUM(I211:I216)</f>
        <v>28132987.5</v>
      </c>
      <c r="AF216" s="21">
        <f>SUM(O211:O216)</f>
        <v>461208975</v>
      </c>
      <c r="AG216" s="21">
        <f t="shared" si="171"/>
        <v>60038012.5</v>
      </c>
    </row>
    <row r="217" spans="1:33" x14ac:dyDescent="0.2">
      <c r="A217">
        <v>7</v>
      </c>
      <c r="B217" t="s">
        <v>338</v>
      </c>
      <c r="C217" s="18" t="s">
        <v>486</v>
      </c>
      <c r="G217" s="23">
        <f t="shared" si="152"/>
        <v>20</v>
      </c>
      <c r="H217" s="4">
        <v>100863000</v>
      </c>
      <c r="I217" s="20">
        <f t="shared" si="172"/>
        <v>5043150</v>
      </c>
      <c r="J217" s="20"/>
      <c r="K217" s="20"/>
      <c r="L217" s="20"/>
      <c r="M217" s="20"/>
      <c r="N217" s="20"/>
      <c r="O217" s="20"/>
      <c r="P217" s="20">
        <f>+H217-I217</f>
        <v>95819850</v>
      </c>
      <c r="Q217" s="20">
        <f t="shared" si="158"/>
        <v>90776700</v>
      </c>
      <c r="R217" s="20">
        <f t="shared" si="159"/>
        <v>85733550</v>
      </c>
      <c r="S217" s="20">
        <f t="shared" si="160"/>
        <v>80690400</v>
      </c>
      <c r="T217" s="20">
        <f t="shared" si="161"/>
        <v>75647250</v>
      </c>
      <c r="U217" s="20">
        <f t="shared" si="162"/>
        <v>70604100</v>
      </c>
      <c r="V217" s="20">
        <f t="shared" si="163"/>
        <v>65560950</v>
      </c>
      <c r="W217" s="20">
        <f t="shared" si="164"/>
        <v>60517800</v>
      </c>
      <c r="X217" s="20">
        <f t="shared" si="165"/>
        <v>55474650</v>
      </c>
      <c r="Y217" s="20">
        <f t="shared" si="166"/>
        <v>50431500</v>
      </c>
      <c r="Z217" s="20">
        <f t="shared" si="167"/>
        <v>45388350</v>
      </c>
      <c r="AA217" s="20">
        <f t="shared" si="168"/>
        <v>40345200</v>
      </c>
      <c r="AB217" s="20">
        <f t="shared" si="169"/>
        <v>35302050</v>
      </c>
      <c r="AC217" s="20">
        <f t="shared" si="170"/>
        <v>30258900</v>
      </c>
      <c r="AE217" s="21">
        <f>SUM(I211:I217)</f>
        <v>33176137.5</v>
      </c>
      <c r="AF217" s="21">
        <f>SUM(P211:P217)</f>
        <v>528895837.5</v>
      </c>
      <c r="AG217" s="21">
        <f t="shared" si="171"/>
        <v>67686862.5</v>
      </c>
    </row>
    <row r="218" spans="1:33" x14ac:dyDescent="0.2">
      <c r="A218">
        <v>8</v>
      </c>
      <c r="B218" t="s">
        <v>338</v>
      </c>
      <c r="C218" s="18" t="s">
        <v>487</v>
      </c>
      <c r="G218" s="23">
        <f t="shared" si="152"/>
        <v>20</v>
      </c>
      <c r="H218" s="4">
        <v>82044000</v>
      </c>
      <c r="I218" s="20">
        <f t="shared" si="172"/>
        <v>4102200</v>
      </c>
      <c r="J218" s="20"/>
      <c r="K218" s="20"/>
      <c r="L218" s="20"/>
      <c r="M218" s="20"/>
      <c r="N218" s="20"/>
      <c r="O218" s="20"/>
      <c r="P218" s="20"/>
      <c r="Q218" s="20">
        <f>+H218-I218</f>
        <v>77941800</v>
      </c>
      <c r="R218" s="20">
        <f t="shared" si="159"/>
        <v>73839600</v>
      </c>
      <c r="S218" s="20">
        <f t="shared" si="160"/>
        <v>69737400</v>
      </c>
      <c r="T218" s="20">
        <f t="shared" si="161"/>
        <v>65635200</v>
      </c>
      <c r="U218" s="20">
        <f t="shared" si="162"/>
        <v>61533000</v>
      </c>
      <c r="V218" s="20">
        <f t="shared" si="163"/>
        <v>57430800</v>
      </c>
      <c r="W218" s="20">
        <f t="shared" si="164"/>
        <v>53328600</v>
      </c>
      <c r="X218" s="20">
        <f t="shared" si="165"/>
        <v>49226400</v>
      </c>
      <c r="Y218" s="20">
        <f t="shared" si="166"/>
        <v>45124200</v>
      </c>
      <c r="Z218" s="20">
        <f t="shared" si="167"/>
        <v>41022000</v>
      </c>
      <c r="AA218" s="20">
        <f t="shared" si="168"/>
        <v>36919800</v>
      </c>
      <c r="AB218" s="20">
        <f t="shared" si="169"/>
        <v>32817600</v>
      </c>
      <c r="AC218" s="20">
        <f t="shared" si="170"/>
        <v>28715400</v>
      </c>
      <c r="AE218" s="21">
        <f>SUM(I211:I218)</f>
        <v>37278337.5</v>
      </c>
      <c r="AF218" s="21">
        <f>SUM(Q211:Q218)</f>
        <v>573661500</v>
      </c>
      <c r="AG218" s="21">
        <f t="shared" si="171"/>
        <v>44765662.5</v>
      </c>
    </row>
    <row r="219" spans="1:33" x14ac:dyDescent="0.2">
      <c r="A219">
        <v>9</v>
      </c>
      <c r="B219" t="s">
        <v>338</v>
      </c>
      <c r="C219" s="18" t="s">
        <v>104</v>
      </c>
      <c r="D219" s="4">
        <v>3924000000</v>
      </c>
      <c r="E219" s="4">
        <v>5268000000</v>
      </c>
      <c r="F219" s="4">
        <v>7339000000</v>
      </c>
      <c r="G219" s="19">
        <v>20</v>
      </c>
      <c r="H219" s="4">
        <v>90100000</v>
      </c>
      <c r="I219" s="20">
        <f t="shared" si="172"/>
        <v>4505000</v>
      </c>
      <c r="J219" s="20"/>
      <c r="K219" s="20"/>
      <c r="L219" s="20"/>
      <c r="M219" s="20"/>
      <c r="N219" s="20"/>
      <c r="O219" s="20"/>
      <c r="P219" s="20"/>
      <c r="Q219" s="20"/>
      <c r="R219" s="20">
        <f>+H219-I219</f>
        <v>85595000</v>
      </c>
      <c r="S219" s="20">
        <f t="shared" si="160"/>
        <v>81090000</v>
      </c>
      <c r="T219" s="20">
        <f t="shared" si="161"/>
        <v>76585000</v>
      </c>
      <c r="U219" s="20">
        <f t="shared" si="162"/>
        <v>72080000</v>
      </c>
      <c r="V219" s="20">
        <f t="shared" si="163"/>
        <v>67575000</v>
      </c>
      <c r="W219" s="20">
        <f t="shared" si="164"/>
        <v>63070000</v>
      </c>
      <c r="X219" s="20">
        <f t="shared" si="165"/>
        <v>58565000</v>
      </c>
      <c r="Y219" s="20">
        <f t="shared" si="166"/>
        <v>54060000</v>
      </c>
      <c r="Z219" s="20">
        <f t="shared" si="167"/>
        <v>49555000</v>
      </c>
      <c r="AA219" s="20">
        <f t="shared" si="168"/>
        <v>45050000</v>
      </c>
      <c r="AB219" s="20">
        <f t="shared" si="169"/>
        <v>40545000</v>
      </c>
      <c r="AC219" s="20">
        <f t="shared" si="170"/>
        <v>36040000</v>
      </c>
      <c r="AE219" s="21">
        <f>SUM(I211:I219)</f>
        <v>41783337.5</v>
      </c>
      <c r="AF219" s="21">
        <f>SUM(R211:R219)</f>
        <v>621978162.5</v>
      </c>
      <c r="AG219" s="21">
        <f t="shared" si="171"/>
        <v>48316662.5</v>
      </c>
    </row>
    <row r="220" spans="1:33" x14ac:dyDescent="0.2">
      <c r="A220">
        <v>10</v>
      </c>
      <c r="B220" t="s">
        <v>338</v>
      </c>
      <c r="C220" s="18" t="s">
        <v>103</v>
      </c>
      <c r="D220" s="22">
        <f>$D219</f>
        <v>3924000000</v>
      </c>
      <c r="E220" s="22">
        <f>$E219</f>
        <v>5268000000</v>
      </c>
      <c r="F220" s="22">
        <f>$F219</f>
        <v>7339000000</v>
      </c>
      <c r="G220" s="23">
        <f>$G$13</f>
        <v>20</v>
      </c>
      <c r="H220" s="4">
        <v>99533000</v>
      </c>
      <c r="I220" s="20">
        <f t="shared" si="172"/>
        <v>4976650</v>
      </c>
      <c r="J220" s="20"/>
      <c r="K220" s="20"/>
      <c r="L220" s="20"/>
      <c r="M220" s="20"/>
      <c r="N220" s="20"/>
      <c r="O220" s="20"/>
      <c r="P220" s="20"/>
      <c r="Q220" s="20"/>
      <c r="R220" s="20"/>
      <c r="S220" s="20">
        <f>+H220-I220</f>
        <v>94556350</v>
      </c>
      <c r="T220" s="20">
        <f t="shared" si="161"/>
        <v>89579700</v>
      </c>
      <c r="U220" s="20">
        <f t="shared" si="162"/>
        <v>84603050</v>
      </c>
      <c r="V220" s="20">
        <f t="shared" si="163"/>
        <v>79626400</v>
      </c>
      <c r="W220" s="20">
        <f t="shared" si="164"/>
        <v>74649750</v>
      </c>
      <c r="X220" s="20">
        <f t="shared" si="165"/>
        <v>69673100</v>
      </c>
      <c r="Y220" s="20">
        <f t="shared" si="166"/>
        <v>64696450</v>
      </c>
      <c r="Z220" s="20">
        <f t="shared" si="167"/>
        <v>59719800</v>
      </c>
      <c r="AA220" s="20">
        <f t="shared" si="168"/>
        <v>54743150</v>
      </c>
      <c r="AB220" s="20">
        <f t="shared" si="169"/>
        <v>49766500</v>
      </c>
      <c r="AC220" s="20">
        <f t="shared" si="170"/>
        <v>44789850</v>
      </c>
      <c r="AE220" s="21">
        <f>SUM(I211:I220)</f>
        <v>46759987.5</v>
      </c>
      <c r="AF220" s="21">
        <f>SUM(S211:S220)</f>
        <v>674751175</v>
      </c>
      <c r="AG220" s="21">
        <f t="shared" si="171"/>
        <v>52773012.5</v>
      </c>
    </row>
    <row r="221" spans="1:33" x14ac:dyDescent="0.2">
      <c r="A221">
        <v>11</v>
      </c>
      <c r="B221" t="s">
        <v>338</v>
      </c>
      <c r="C221" s="18" t="s">
        <v>102</v>
      </c>
      <c r="D221" s="22">
        <f>$D219</f>
        <v>3924000000</v>
      </c>
      <c r="E221" s="22">
        <f>$E219</f>
        <v>5268000000</v>
      </c>
      <c r="F221" s="22">
        <f>$F219</f>
        <v>7339000000</v>
      </c>
      <c r="G221" s="23">
        <f t="shared" ref="G221:G230" si="173">$G$13</f>
        <v>20</v>
      </c>
      <c r="H221" s="4">
        <v>105708000</v>
      </c>
      <c r="I221" s="20">
        <f t="shared" si="172"/>
        <v>5285400</v>
      </c>
      <c r="J221" s="20"/>
      <c r="K221" s="20"/>
      <c r="L221" s="20"/>
      <c r="M221" s="20"/>
      <c r="N221" s="20"/>
      <c r="O221" s="20"/>
      <c r="P221" s="20"/>
      <c r="Q221" s="20"/>
      <c r="R221" s="20"/>
      <c r="S221" s="20"/>
      <c r="T221" s="20">
        <f>+H221-I221</f>
        <v>100422600</v>
      </c>
      <c r="U221" s="20">
        <f t="shared" si="162"/>
        <v>95137200</v>
      </c>
      <c r="V221" s="20">
        <f t="shared" si="163"/>
        <v>89851800</v>
      </c>
      <c r="W221" s="20">
        <f t="shared" si="164"/>
        <v>84566400</v>
      </c>
      <c r="X221" s="20">
        <f t="shared" si="165"/>
        <v>79281000</v>
      </c>
      <c r="Y221" s="20">
        <f t="shared" si="166"/>
        <v>73995600</v>
      </c>
      <c r="Z221" s="20">
        <f t="shared" si="167"/>
        <v>68710200</v>
      </c>
      <c r="AA221" s="20">
        <f t="shared" si="168"/>
        <v>63424800</v>
      </c>
      <c r="AB221" s="20">
        <f t="shared" si="169"/>
        <v>58139400</v>
      </c>
      <c r="AC221" s="20">
        <f t="shared" si="170"/>
        <v>52854000</v>
      </c>
      <c r="AE221" s="21">
        <f>SUM(I211:I221)</f>
        <v>52045387.5</v>
      </c>
      <c r="AF221" s="21">
        <f>SUM(T211:T221)</f>
        <v>728413787.5</v>
      </c>
      <c r="AG221" s="21">
        <f t="shared" si="171"/>
        <v>53662612.5</v>
      </c>
    </row>
    <row r="222" spans="1:33" x14ac:dyDescent="0.2">
      <c r="A222">
        <v>12</v>
      </c>
      <c r="B222" t="s">
        <v>338</v>
      </c>
      <c r="C222" s="18" t="s">
        <v>101</v>
      </c>
      <c r="D222" s="22">
        <f>$D219</f>
        <v>3924000000</v>
      </c>
      <c r="E222" s="22">
        <f>$E219</f>
        <v>5268000000</v>
      </c>
      <c r="F222" s="22">
        <f>$F219</f>
        <v>7339000000</v>
      </c>
      <c r="G222" s="23">
        <f t="shared" si="173"/>
        <v>20</v>
      </c>
      <c r="H222" s="4">
        <v>109283000</v>
      </c>
      <c r="I222" s="20">
        <f t="shared" si="172"/>
        <v>5464150</v>
      </c>
      <c r="J222" s="20"/>
      <c r="K222" s="20"/>
      <c r="L222" s="20"/>
      <c r="M222" s="20"/>
      <c r="N222" s="20"/>
      <c r="O222" s="20"/>
      <c r="P222" s="20"/>
      <c r="Q222" s="20"/>
      <c r="R222" s="20"/>
      <c r="S222" s="20"/>
      <c r="T222" s="20"/>
      <c r="U222" s="20">
        <f>+H222-I222</f>
        <v>103818850</v>
      </c>
      <c r="V222" s="20">
        <f t="shared" si="163"/>
        <v>98354700</v>
      </c>
      <c r="W222" s="20">
        <f t="shared" si="164"/>
        <v>92890550</v>
      </c>
      <c r="X222" s="20">
        <f t="shared" si="165"/>
        <v>87426400</v>
      </c>
      <c r="Y222" s="20">
        <f t="shared" si="166"/>
        <v>81962250</v>
      </c>
      <c r="Z222" s="20">
        <f t="shared" si="167"/>
        <v>76498100</v>
      </c>
      <c r="AA222" s="20">
        <f t="shared" si="168"/>
        <v>71033950</v>
      </c>
      <c r="AB222" s="20">
        <f t="shared" si="169"/>
        <v>65569800</v>
      </c>
      <c r="AC222" s="20">
        <f t="shared" si="170"/>
        <v>60105650</v>
      </c>
      <c r="AE222" s="21">
        <f>SUM(I211:I222)</f>
        <v>57509537.5</v>
      </c>
      <c r="AF222" s="21">
        <f>SUM(U211:U222)</f>
        <v>780187250</v>
      </c>
      <c r="AG222" s="21">
        <f t="shared" si="171"/>
        <v>51773462.5</v>
      </c>
    </row>
    <row r="223" spans="1:33" x14ac:dyDescent="0.2">
      <c r="A223">
        <v>13</v>
      </c>
      <c r="B223" t="s">
        <v>338</v>
      </c>
      <c r="C223" s="18" t="s">
        <v>100</v>
      </c>
      <c r="D223" s="22">
        <f>$D219</f>
        <v>3924000000</v>
      </c>
      <c r="E223" s="22">
        <f>$E219</f>
        <v>5268000000</v>
      </c>
      <c r="F223" s="22">
        <f>$F219</f>
        <v>7339000000</v>
      </c>
      <c r="G223" s="23">
        <f t="shared" si="173"/>
        <v>20</v>
      </c>
      <c r="H223" s="4">
        <v>110040000</v>
      </c>
      <c r="I223" s="20">
        <f t="shared" si="172"/>
        <v>5502000</v>
      </c>
      <c r="J223" s="20"/>
      <c r="K223" s="20"/>
      <c r="L223" s="20"/>
      <c r="M223" s="20"/>
      <c r="N223" s="20"/>
      <c r="O223" s="20"/>
      <c r="P223" s="20"/>
      <c r="Q223" s="20"/>
      <c r="R223" s="20"/>
      <c r="S223" s="20"/>
      <c r="T223" s="20"/>
      <c r="U223" s="20"/>
      <c r="V223" s="20">
        <f>+H223-I223</f>
        <v>104538000</v>
      </c>
      <c r="W223" s="20">
        <f t="shared" si="164"/>
        <v>99036000</v>
      </c>
      <c r="X223" s="20">
        <f t="shared" si="165"/>
        <v>93534000</v>
      </c>
      <c r="Y223" s="20">
        <f t="shared" si="166"/>
        <v>88032000</v>
      </c>
      <c r="Z223" s="20">
        <f t="shared" si="167"/>
        <v>82530000</v>
      </c>
      <c r="AA223" s="20">
        <f t="shared" si="168"/>
        <v>77028000</v>
      </c>
      <c r="AB223" s="20">
        <f t="shared" si="169"/>
        <v>71526000</v>
      </c>
      <c r="AC223" s="20">
        <f t="shared" si="170"/>
        <v>66024000</v>
      </c>
      <c r="AE223" s="21">
        <f>SUM(I211:I223)</f>
        <v>63011537.5</v>
      </c>
      <c r="AF223" s="21">
        <f>SUM(V211:V223)</f>
        <v>827215712.5</v>
      </c>
      <c r="AG223" s="21">
        <f t="shared" si="171"/>
        <v>47028462.5</v>
      </c>
    </row>
    <row r="224" spans="1:33" x14ac:dyDescent="0.2">
      <c r="A224">
        <v>14</v>
      </c>
      <c r="B224" t="s">
        <v>338</v>
      </c>
      <c r="C224" s="18" t="s">
        <v>99</v>
      </c>
      <c r="D224" s="22">
        <f>$D219</f>
        <v>3924000000</v>
      </c>
      <c r="E224" s="22">
        <f>$E219</f>
        <v>5268000000</v>
      </c>
      <c r="F224" s="22">
        <f>$F219</f>
        <v>7339000000</v>
      </c>
      <c r="G224" s="23">
        <f t="shared" si="173"/>
        <v>20</v>
      </c>
      <c r="H224" s="4">
        <v>108781000</v>
      </c>
      <c r="I224" s="20">
        <f t="shared" si="172"/>
        <v>5439050</v>
      </c>
      <c r="J224" s="20"/>
      <c r="K224" s="20"/>
      <c r="L224" s="20"/>
      <c r="M224" s="20"/>
      <c r="N224" s="20"/>
      <c r="O224" s="20"/>
      <c r="P224" s="20"/>
      <c r="Q224" s="20"/>
      <c r="R224" s="20"/>
      <c r="S224" s="20"/>
      <c r="T224" s="20"/>
      <c r="U224" s="20"/>
      <c r="V224" s="20"/>
      <c r="W224" s="20">
        <f>+H224-I224</f>
        <v>103341950</v>
      </c>
      <c r="X224" s="20">
        <f t="shared" si="165"/>
        <v>97902900</v>
      </c>
      <c r="Y224" s="20">
        <f t="shared" si="166"/>
        <v>92463850</v>
      </c>
      <c r="Z224" s="20">
        <f t="shared" si="167"/>
        <v>87024800</v>
      </c>
      <c r="AA224" s="20">
        <f t="shared" si="168"/>
        <v>81585750</v>
      </c>
      <c r="AB224" s="20">
        <f t="shared" si="169"/>
        <v>76146700</v>
      </c>
      <c r="AC224" s="20">
        <f t="shared" si="170"/>
        <v>70707650</v>
      </c>
      <c r="AE224" s="21">
        <f>SUM(I211:I224)</f>
        <v>68450587.5</v>
      </c>
      <c r="AF224" s="21">
        <f>SUM(W211:W224)</f>
        <v>867546125</v>
      </c>
      <c r="AG224" s="21">
        <f t="shared" si="171"/>
        <v>40330412.5</v>
      </c>
    </row>
    <row r="225" spans="1:33" x14ac:dyDescent="0.2">
      <c r="A225">
        <v>15</v>
      </c>
      <c r="B225" t="s">
        <v>338</v>
      </c>
      <c r="C225" s="18" t="s">
        <v>98</v>
      </c>
      <c r="D225" s="22">
        <f>$D219</f>
        <v>3924000000</v>
      </c>
      <c r="E225" s="22">
        <f>$E219</f>
        <v>5268000000</v>
      </c>
      <c r="F225" s="22">
        <f>$F219</f>
        <v>7339000000</v>
      </c>
      <c r="G225" s="23">
        <f t="shared" si="173"/>
        <v>20</v>
      </c>
      <c r="H225" s="4">
        <v>117555000</v>
      </c>
      <c r="I225" s="20">
        <f t="shared" si="172"/>
        <v>5877750</v>
      </c>
      <c r="J225" s="20"/>
      <c r="K225" s="20"/>
      <c r="L225" s="20"/>
      <c r="M225" s="20"/>
      <c r="N225" s="20"/>
      <c r="O225" s="20"/>
      <c r="P225" s="20"/>
      <c r="Q225" s="20"/>
      <c r="R225" s="20"/>
      <c r="S225" s="20"/>
      <c r="T225" s="20"/>
      <c r="U225" s="20"/>
      <c r="V225" s="20"/>
      <c r="W225" s="20"/>
      <c r="X225" s="20">
        <f>+H225-I225</f>
        <v>111677250</v>
      </c>
      <c r="Y225" s="20">
        <f t="shared" si="166"/>
        <v>105799500</v>
      </c>
      <c r="Z225" s="20">
        <f t="shared" si="167"/>
        <v>99921750</v>
      </c>
      <c r="AA225" s="20">
        <f t="shared" si="168"/>
        <v>94044000</v>
      </c>
      <c r="AB225" s="20">
        <f t="shared" si="169"/>
        <v>88166250</v>
      </c>
      <c r="AC225" s="20">
        <f t="shared" si="170"/>
        <v>82288500</v>
      </c>
      <c r="AE225" s="21">
        <f>SUM(I211:I225)</f>
        <v>74328337.5</v>
      </c>
      <c r="AF225" s="21">
        <f>SUM(X211:X225)</f>
        <v>910772787.5</v>
      </c>
      <c r="AG225" s="21">
        <f t="shared" si="171"/>
        <v>43226662.5</v>
      </c>
    </row>
    <row r="226" spans="1:33" x14ac:dyDescent="0.2">
      <c r="A226">
        <v>16</v>
      </c>
      <c r="B226" t="s">
        <v>338</v>
      </c>
      <c r="C226" s="18" t="s">
        <v>97</v>
      </c>
      <c r="D226" s="22">
        <f>$D219</f>
        <v>3924000000</v>
      </c>
      <c r="E226" s="22">
        <f>$E219</f>
        <v>5268000000</v>
      </c>
      <c r="F226" s="22">
        <f>$F219</f>
        <v>7339000000</v>
      </c>
      <c r="G226" s="23">
        <f t="shared" si="173"/>
        <v>20</v>
      </c>
      <c r="H226" s="4">
        <v>171502000</v>
      </c>
      <c r="I226" s="20">
        <f t="shared" si="172"/>
        <v>8575100</v>
      </c>
      <c r="J226" s="20"/>
      <c r="K226" s="20"/>
      <c r="L226" s="20"/>
      <c r="M226" s="20"/>
      <c r="N226" s="20"/>
      <c r="O226" s="20"/>
      <c r="P226" s="20"/>
      <c r="Q226" s="20"/>
      <c r="R226" s="20"/>
      <c r="S226" s="20"/>
      <c r="T226" s="20"/>
      <c r="U226" s="20"/>
      <c r="V226" s="20"/>
      <c r="W226" s="20"/>
      <c r="X226" s="20"/>
      <c r="Y226" s="20">
        <f>+H226-I226</f>
        <v>162926900</v>
      </c>
      <c r="Z226" s="20">
        <f t="shared" si="167"/>
        <v>154351800</v>
      </c>
      <c r="AA226" s="20">
        <f t="shared" si="168"/>
        <v>145776700</v>
      </c>
      <c r="AB226" s="20">
        <f t="shared" si="169"/>
        <v>137201600</v>
      </c>
      <c r="AC226" s="20">
        <f t="shared" si="170"/>
        <v>128626500</v>
      </c>
      <c r="AE226" s="21">
        <f>SUM(I211:I226)</f>
        <v>82903437.5</v>
      </c>
      <c r="AF226" s="21">
        <f>SUM(Y211:Y226)</f>
        <v>999371350</v>
      </c>
      <c r="AG226" s="21">
        <f t="shared" si="171"/>
        <v>88598562.5</v>
      </c>
    </row>
    <row r="227" spans="1:33" x14ac:dyDescent="0.2">
      <c r="A227">
        <v>17</v>
      </c>
      <c r="B227" t="s">
        <v>338</v>
      </c>
      <c r="C227" s="18" t="s">
        <v>96</v>
      </c>
      <c r="D227" s="22">
        <f>$D219</f>
        <v>3924000000</v>
      </c>
      <c r="E227" s="22">
        <f>$E219</f>
        <v>5268000000</v>
      </c>
      <c r="F227" s="22">
        <f>$F219</f>
        <v>7339000000</v>
      </c>
      <c r="G227" s="23">
        <f t="shared" si="173"/>
        <v>20</v>
      </c>
      <c r="H227" s="4">
        <v>134889000</v>
      </c>
      <c r="I227" s="20">
        <f t="shared" si="172"/>
        <v>6744450</v>
      </c>
      <c r="J227" s="20"/>
      <c r="K227" s="20"/>
      <c r="L227" s="20"/>
      <c r="M227" s="20"/>
      <c r="N227" s="20"/>
      <c r="O227" s="20"/>
      <c r="P227" s="20"/>
      <c r="Q227" s="20"/>
      <c r="R227" s="20"/>
      <c r="S227" s="20"/>
      <c r="T227" s="20"/>
      <c r="U227" s="20"/>
      <c r="V227" s="20"/>
      <c r="W227" s="20"/>
      <c r="X227" s="20"/>
      <c r="Y227" s="20"/>
      <c r="Z227" s="20">
        <f>+H227-I227</f>
        <v>128144550</v>
      </c>
      <c r="AA227" s="20">
        <f t="shared" si="168"/>
        <v>121400100</v>
      </c>
      <c r="AB227" s="20">
        <f t="shared" si="169"/>
        <v>114655650</v>
      </c>
      <c r="AC227" s="20">
        <f t="shared" si="170"/>
        <v>107911200</v>
      </c>
      <c r="AE227" s="21">
        <f>SUM(I211:I227)</f>
        <v>89647887.5</v>
      </c>
      <c r="AF227" s="21">
        <f>SUM(Z211:Z227)</f>
        <v>1044612462.5</v>
      </c>
      <c r="AG227" s="21">
        <f t="shared" si="171"/>
        <v>45241112.5</v>
      </c>
    </row>
    <row r="228" spans="1:33" x14ac:dyDescent="0.2">
      <c r="A228">
        <v>18</v>
      </c>
      <c r="B228" t="s">
        <v>338</v>
      </c>
      <c r="C228" s="18" t="s">
        <v>95</v>
      </c>
      <c r="D228" s="22">
        <f>$D219</f>
        <v>3924000000</v>
      </c>
      <c r="E228" s="22">
        <f>$E219</f>
        <v>5268000000</v>
      </c>
      <c r="F228" s="22">
        <f>$F219</f>
        <v>7339000000</v>
      </c>
      <c r="G228" s="23">
        <f t="shared" si="173"/>
        <v>20</v>
      </c>
      <c r="H228" s="4">
        <v>135043000</v>
      </c>
      <c r="I228" s="20">
        <f t="shared" si="172"/>
        <v>6752150</v>
      </c>
      <c r="J228" s="20"/>
      <c r="K228" s="20"/>
      <c r="L228" s="20"/>
      <c r="M228" s="20"/>
      <c r="N228" s="20"/>
      <c r="O228" s="20"/>
      <c r="P228" s="20"/>
      <c r="Q228" s="20"/>
      <c r="R228" s="20"/>
      <c r="S228" s="20"/>
      <c r="T228" s="20"/>
      <c r="U228" s="20"/>
      <c r="V228" s="20"/>
      <c r="W228" s="20"/>
      <c r="X228" s="20"/>
      <c r="Y228" s="20"/>
      <c r="Z228" s="20"/>
      <c r="AA228" s="20">
        <f>+H228-I228</f>
        <v>128290850</v>
      </c>
      <c r="AB228" s="20">
        <f t="shared" si="169"/>
        <v>121538700</v>
      </c>
      <c r="AC228" s="20">
        <f t="shared" si="170"/>
        <v>114786550</v>
      </c>
      <c r="AE228" s="21">
        <f>SUM(I211:I228)</f>
        <v>96400037.5</v>
      </c>
      <c r="AF228" s="21">
        <f>SUM(AA211:AA228)</f>
        <v>1083255425</v>
      </c>
      <c r="AG228" s="21">
        <f t="shared" si="171"/>
        <v>38642962.5</v>
      </c>
    </row>
    <row r="229" spans="1:33" x14ac:dyDescent="0.2">
      <c r="A229">
        <v>19</v>
      </c>
      <c r="B229" t="s">
        <v>338</v>
      </c>
      <c r="C229" s="18" t="s">
        <v>94</v>
      </c>
      <c r="D229" s="22">
        <f>$D219</f>
        <v>3924000000</v>
      </c>
      <c r="E229" s="22">
        <f>$E219</f>
        <v>5268000000</v>
      </c>
      <c r="F229" s="22">
        <f>$F219</f>
        <v>7339000000</v>
      </c>
      <c r="G229" s="23">
        <f t="shared" si="173"/>
        <v>20</v>
      </c>
      <c r="H229" s="4">
        <v>144191000</v>
      </c>
      <c r="I229" s="20">
        <f t="shared" si="172"/>
        <v>7209550</v>
      </c>
      <c r="J229" s="20"/>
      <c r="K229" s="20"/>
      <c r="L229" s="20"/>
      <c r="M229" s="20"/>
      <c r="N229" s="20"/>
      <c r="O229" s="20"/>
      <c r="P229" s="20"/>
      <c r="Q229" s="20"/>
      <c r="R229" s="20"/>
      <c r="S229" s="20"/>
      <c r="T229" s="20"/>
      <c r="U229" s="20"/>
      <c r="V229" s="20"/>
      <c r="W229" s="20"/>
      <c r="X229" s="20"/>
      <c r="Y229" s="20"/>
      <c r="Z229" s="20"/>
      <c r="AA229" s="20"/>
      <c r="AB229" s="20">
        <f>+H229-I229</f>
        <v>136981450</v>
      </c>
      <c r="AC229" s="20">
        <f t="shared" si="170"/>
        <v>129771900</v>
      </c>
      <c r="AE229" s="21">
        <f>SUM(I211:I229)</f>
        <v>103609587.5</v>
      </c>
      <c r="AF229" s="21">
        <f>SUM(AB211:AB229)</f>
        <v>1123836837.5</v>
      </c>
      <c r="AG229" s="21">
        <f t="shared" si="171"/>
        <v>40581412.5</v>
      </c>
    </row>
    <row r="230" spans="1:33" x14ac:dyDescent="0.2">
      <c r="A230">
        <v>20</v>
      </c>
      <c r="B230" t="s">
        <v>338</v>
      </c>
      <c r="C230" s="18" t="s">
        <v>93</v>
      </c>
      <c r="D230" s="22">
        <f>$D219</f>
        <v>3924000000</v>
      </c>
      <c r="E230" s="22">
        <f>$E219</f>
        <v>5268000000</v>
      </c>
      <c r="F230" s="22">
        <f>$F219</f>
        <v>7339000000</v>
      </c>
      <c r="G230" s="23">
        <f t="shared" si="173"/>
        <v>20</v>
      </c>
      <c r="H230" s="4">
        <v>143554000</v>
      </c>
      <c r="I230" s="20">
        <f t="shared" si="172"/>
        <v>7177700</v>
      </c>
      <c r="J230" s="20"/>
      <c r="K230" s="20"/>
      <c r="L230" s="20"/>
      <c r="M230" s="20"/>
      <c r="N230" s="20"/>
      <c r="O230" s="20"/>
      <c r="P230" s="20"/>
      <c r="Q230" s="20"/>
      <c r="R230" s="20"/>
      <c r="S230" s="20"/>
      <c r="T230" s="20"/>
      <c r="U230" s="20"/>
      <c r="V230" s="20"/>
      <c r="W230" s="20"/>
      <c r="X230" s="20"/>
      <c r="Y230" s="20"/>
      <c r="Z230" s="20"/>
      <c r="AA230" s="20"/>
      <c r="AB230" s="20"/>
      <c r="AC230" s="20">
        <f>+H230-I230</f>
        <v>136376300</v>
      </c>
      <c r="AE230" s="21">
        <f>SUM(I211:I230)</f>
        <v>110787287.5</v>
      </c>
      <c r="AF230" s="21">
        <f>SUM(AC211:AC230)</f>
        <v>1156603550</v>
      </c>
      <c r="AG230" s="21">
        <f t="shared" si="171"/>
        <v>32766712.5</v>
      </c>
    </row>
    <row r="233" spans="1:33" x14ac:dyDescent="0.2">
      <c r="C233" t="s">
        <v>338</v>
      </c>
    </row>
    <row r="234" spans="1:33" x14ac:dyDescent="0.2">
      <c r="C234" s="6" t="s">
        <v>107</v>
      </c>
      <c r="D234" s="6" t="s">
        <v>438</v>
      </c>
      <c r="E234" s="6" t="s">
        <v>439</v>
      </c>
      <c r="F234" s="6" t="s">
        <v>440</v>
      </c>
      <c r="G234" s="6" t="s">
        <v>441</v>
      </c>
      <c r="H234" s="6" t="s">
        <v>442</v>
      </c>
      <c r="I234" s="15"/>
      <c r="J234" s="6" t="s">
        <v>443</v>
      </c>
      <c r="K234" s="6" t="s">
        <v>444</v>
      </c>
      <c r="L234" s="6" t="s">
        <v>445</v>
      </c>
      <c r="M234" s="6" t="s">
        <v>446</v>
      </c>
      <c r="N234" s="6" t="s">
        <v>447</v>
      </c>
      <c r="O234" s="6" t="s">
        <v>448</v>
      </c>
      <c r="P234" s="6" t="s">
        <v>449</v>
      </c>
      <c r="Q234" s="6" t="s">
        <v>450</v>
      </c>
      <c r="R234" s="6" t="s">
        <v>451</v>
      </c>
      <c r="S234" s="6" t="s">
        <v>452</v>
      </c>
      <c r="T234" s="6" t="s">
        <v>453</v>
      </c>
      <c r="U234" s="6" t="s">
        <v>454</v>
      </c>
      <c r="V234" s="6" t="s">
        <v>455</v>
      </c>
      <c r="W234" s="6" t="s">
        <v>456</v>
      </c>
      <c r="X234" s="6" t="s">
        <v>457</v>
      </c>
      <c r="Y234" s="6" t="s">
        <v>458</v>
      </c>
      <c r="Z234" s="6" t="s">
        <v>459</v>
      </c>
      <c r="AA234" s="6" t="s">
        <v>460</v>
      </c>
      <c r="AB234" s="6" t="s">
        <v>461</v>
      </c>
      <c r="AC234" s="6" t="s">
        <v>462</v>
      </c>
      <c r="AD234" s="15"/>
      <c r="AE234" s="6" t="s">
        <v>106</v>
      </c>
      <c r="AF234" s="6" t="s">
        <v>105</v>
      </c>
      <c r="AG234" s="6" t="s">
        <v>463</v>
      </c>
    </row>
    <row r="235" spans="1:33" x14ac:dyDescent="0.2">
      <c r="C235" s="16" t="s">
        <v>464</v>
      </c>
      <c r="J235" s="17">
        <v>20</v>
      </c>
      <c r="K235" s="17">
        <v>19</v>
      </c>
      <c r="L235" s="17">
        <v>18</v>
      </c>
      <c r="M235" s="17">
        <v>17</v>
      </c>
      <c r="N235" s="17">
        <v>16</v>
      </c>
      <c r="O235" s="17">
        <v>15</v>
      </c>
      <c r="P235" s="17">
        <v>14</v>
      </c>
      <c r="Q235" s="17">
        <v>13</v>
      </c>
      <c r="R235" s="17">
        <v>12</v>
      </c>
      <c r="S235" s="17">
        <v>11</v>
      </c>
      <c r="T235" s="17">
        <v>10</v>
      </c>
      <c r="U235" s="17">
        <v>9</v>
      </c>
      <c r="V235" s="17">
        <v>8</v>
      </c>
      <c r="W235" s="17">
        <v>7</v>
      </c>
      <c r="X235" s="17">
        <v>6</v>
      </c>
      <c r="Y235" s="17">
        <v>5</v>
      </c>
      <c r="Z235" s="17">
        <v>4</v>
      </c>
      <c r="AA235" s="17">
        <v>3</v>
      </c>
      <c r="AB235" s="17">
        <v>2</v>
      </c>
      <c r="AC235" s="17">
        <v>1</v>
      </c>
    </row>
    <row r="236" spans="1:33" x14ac:dyDescent="0.2">
      <c r="B236" t="s">
        <v>338</v>
      </c>
      <c r="C236" s="5" t="s">
        <v>104</v>
      </c>
      <c r="D236" s="4">
        <v>560660000</v>
      </c>
      <c r="E236" s="4">
        <v>387487000</v>
      </c>
      <c r="F236" s="4">
        <v>359679000</v>
      </c>
      <c r="G236" s="19">
        <v>20</v>
      </c>
      <c r="H236" s="4">
        <v>90100000</v>
      </c>
      <c r="J236" s="20">
        <f t="shared" ref="J236:J247" si="174">H236</f>
        <v>90100000</v>
      </c>
      <c r="K236" s="20">
        <f>$F236/4</f>
        <v>89919750</v>
      </c>
      <c r="L236" s="20">
        <f>$F236/4</f>
        <v>89919750</v>
      </c>
      <c r="M236" s="20">
        <f>$F236/4</f>
        <v>89919750</v>
      </c>
      <c r="N236" s="20">
        <f>$F236/4</f>
        <v>89919750</v>
      </c>
      <c r="O236" s="20">
        <f>$E236/4</f>
        <v>96871750</v>
      </c>
      <c r="P236" s="20">
        <f>$E236/4</f>
        <v>96871750</v>
      </c>
      <c r="Q236" s="20">
        <f>$E236/4</f>
        <v>96871750</v>
      </c>
      <c r="R236" s="20">
        <f>$E236/4</f>
        <v>96871750</v>
      </c>
      <c r="S236" s="20">
        <f>$D236/4</f>
        <v>140165000</v>
      </c>
      <c r="T236" s="20">
        <f>$D236/4</f>
        <v>140165000</v>
      </c>
      <c r="U236" s="20">
        <f>$D236/4</f>
        <v>140165000</v>
      </c>
      <c r="V236" s="20">
        <f>$D236/4</f>
        <v>140165000</v>
      </c>
      <c r="W236" s="20">
        <v>0</v>
      </c>
      <c r="X236" s="20">
        <v>0</v>
      </c>
      <c r="Y236" s="20">
        <v>0</v>
      </c>
      <c r="Z236" s="20">
        <v>0</v>
      </c>
      <c r="AA236" s="20">
        <v>0</v>
      </c>
      <c r="AB236" s="20">
        <v>0</v>
      </c>
      <c r="AC236" s="20">
        <v>0</v>
      </c>
      <c r="AE236" s="21">
        <f>SUM(J236:AC236)/$G236</f>
        <v>69896300</v>
      </c>
      <c r="AF236" s="21">
        <f>SUMPRODUCT($J$235:$AC$235,J236:AC236)/$G236</f>
        <v>932686350</v>
      </c>
      <c r="AG236" s="21">
        <f t="shared" ref="AG236:AG247" si="175">H236-AE236</f>
        <v>20203700</v>
      </c>
    </row>
    <row r="237" spans="1:33" x14ac:dyDescent="0.2">
      <c r="B237" t="s">
        <v>338</v>
      </c>
      <c r="C237" s="5" t="s">
        <v>103</v>
      </c>
      <c r="D237" s="22">
        <f>$D236</f>
        <v>560660000</v>
      </c>
      <c r="E237" s="22">
        <f>$E236</f>
        <v>387487000</v>
      </c>
      <c r="F237" s="22">
        <f>$F236</f>
        <v>359679000</v>
      </c>
      <c r="G237" s="23">
        <f>$G$236</f>
        <v>20</v>
      </c>
      <c r="H237" s="4">
        <v>99533000</v>
      </c>
      <c r="J237" s="20">
        <f t="shared" si="174"/>
        <v>99533000</v>
      </c>
      <c r="K237" s="20">
        <f t="shared" ref="K237:K247" si="176">H236</f>
        <v>90100000</v>
      </c>
      <c r="L237" s="20">
        <f>$F236/4</f>
        <v>89919750</v>
      </c>
      <c r="M237" s="20">
        <f>$F236/4</f>
        <v>89919750</v>
      </c>
      <c r="N237" s="20">
        <f>$F236/4</f>
        <v>89919750</v>
      </c>
      <c r="O237" s="20">
        <f>$F236/4</f>
        <v>89919750</v>
      </c>
      <c r="P237" s="20">
        <f>$E236/4</f>
        <v>96871750</v>
      </c>
      <c r="Q237" s="20">
        <f>$E236/4</f>
        <v>96871750</v>
      </c>
      <c r="R237" s="20">
        <f>$E236/4</f>
        <v>96871750</v>
      </c>
      <c r="S237" s="20">
        <f>$E236/4</f>
        <v>96871750</v>
      </c>
      <c r="T237" s="20">
        <f>$D236/4</f>
        <v>140165000</v>
      </c>
      <c r="U237" s="20">
        <f>$D236/4</f>
        <v>140165000</v>
      </c>
      <c r="V237" s="20">
        <f>$D236/4</f>
        <v>140165000</v>
      </c>
      <c r="W237" s="20">
        <f>$D236/4</f>
        <v>140165000</v>
      </c>
      <c r="X237" s="20">
        <v>0</v>
      </c>
      <c r="Y237" s="20">
        <v>0</v>
      </c>
      <c r="Z237" s="20">
        <v>0</v>
      </c>
      <c r="AA237" s="20">
        <v>0</v>
      </c>
      <c r="AB237" s="20">
        <v>0</v>
      </c>
      <c r="AC237" s="20">
        <v>0</v>
      </c>
      <c r="AE237" s="21">
        <f t="shared" ref="AE237:AE247" si="177">SUM(J237:AC237)/$G237</f>
        <v>74872950</v>
      </c>
      <c r="AF237" s="21">
        <f t="shared" ref="AF237:AF247" si="178">SUMPRODUCT($J$235:$AC$235,J237:AC237)/$G237</f>
        <v>962323050</v>
      </c>
      <c r="AG237" s="21">
        <f t="shared" si="175"/>
        <v>24660050</v>
      </c>
    </row>
    <row r="238" spans="1:33" x14ac:dyDescent="0.2">
      <c r="B238" t="s">
        <v>338</v>
      </c>
      <c r="C238" s="5" t="s">
        <v>102</v>
      </c>
      <c r="D238" s="22">
        <f>$D236</f>
        <v>560660000</v>
      </c>
      <c r="E238" s="22">
        <f>$E236</f>
        <v>387487000</v>
      </c>
      <c r="F238" s="22">
        <f>$F236</f>
        <v>359679000</v>
      </c>
      <c r="G238" s="23">
        <f t="shared" ref="G238:G247" si="179">$G$236</f>
        <v>20</v>
      </c>
      <c r="H238" s="4">
        <v>105708000</v>
      </c>
      <c r="J238" s="20">
        <f t="shared" si="174"/>
        <v>105708000</v>
      </c>
      <c r="K238" s="20">
        <f t="shared" si="176"/>
        <v>99533000</v>
      </c>
      <c r="L238" s="20">
        <f t="shared" ref="L238:L247" si="180">H236</f>
        <v>90100000</v>
      </c>
      <c r="M238" s="20">
        <f>$F236/4</f>
        <v>89919750</v>
      </c>
      <c r="N238" s="20">
        <f>$F236/4</f>
        <v>89919750</v>
      </c>
      <c r="O238" s="20">
        <f>$F236/4</f>
        <v>89919750</v>
      </c>
      <c r="P238" s="20">
        <f>$F236/4</f>
        <v>89919750</v>
      </c>
      <c r="Q238" s="20">
        <f>$E236/4</f>
        <v>96871750</v>
      </c>
      <c r="R238" s="20">
        <f>$E236/4</f>
        <v>96871750</v>
      </c>
      <c r="S238" s="20">
        <f>$E236/4</f>
        <v>96871750</v>
      </c>
      <c r="T238" s="20">
        <f>$E236/4</f>
        <v>96871750</v>
      </c>
      <c r="U238" s="20">
        <f>$D236/4</f>
        <v>140165000</v>
      </c>
      <c r="V238" s="20">
        <f>$D236/4</f>
        <v>140165000</v>
      </c>
      <c r="W238" s="20">
        <f>$D236/4</f>
        <v>140165000</v>
      </c>
      <c r="X238" s="20">
        <f>$D236/4</f>
        <v>140165000</v>
      </c>
      <c r="Y238" s="20">
        <v>0</v>
      </c>
      <c r="Z238" s="20">
        <v>0</v>
      </c>
      <c r="AA238" s="20">
        <v>0</v>
      </c>
      <c r="AB238" s="20">
        <v>0</v>
      </c>
      <c r="AC238" s="20">
        <v>0</v>
      </c>
      <c r="AE238" s="21">
        <f t="shared" si="177"/>
        <v>80158350</v>
      </c>
      <c r="AF238" s="21">
        <f t="shared" si="178"/>
        <v>993158100</v>
      </c>
      <c r="AG238" s="21">
        <f t="shared" si="175"/>
        <v>25549650</v>
      </c>
    </row>
    <row r="239" spans="1:33" x14ac:dyDescent="0.2">
      <c r="B239" t="s">
        <v>338</v>
      </c>
      <c r="C239" s="5" t="s">
        <v>101</v>
      </c>
      <c r="D239" s="22">
        <f>$D236</f>
        <v>560660000</v>
      </c>
      <c r="E239" s="22">
        <f>$E236</f>
        <v>387487000</v>
      </c>
      <c r="F239" s="22">
        <f>$F236</f>
        <v>359679000</v>
      </c>
      <c r="G239" s="23">
        <f t="shared" si="179"/>
        <v>20</v>
      </c>
      <c r="H239" s="4">
        <v>109283000</v>
      </c>
      <c r="J239" s="20">
        <f t="shared" si="174"/>
        <v>109283000</v>
      </c>
      <c r="K239" s="20">
        <f t="shared" si="176"/>
        <v>105708000</v>
      </c>
      <c r="L239" s="20">
        <f t="shared" si="180"/>
        <v>99533000</v>
      </c>
      <c r="M239" s="20">
        <f t="shared" ref="M239:M247" si="181">H236</f>
        <v>90100000</v>
      </c>
      <c r="N239" s="20">
        <f>$F236/4</f>
        <v>89919750</v>
      </c>
      <c r="O239" s="20">
        <f>$F236/4</f>
        <v>89919750</v>
      </c>
      <c r="P239" s="20">
        <f>$F236/4</f>
        <v>89919750</v>
      </c>
      <c r="Q239" s="20">
        <f>$F236/4</f>
        <v>89919750</v>
      </c>
      <c r="R239" s="20">
        <f>$E236/4</f>
        <v>96871750</v>
      </c>
      <c r="S239" s="20">
        <f>$E236/4</f>
        <v>96871750</v>
      </c>
      <c r="T239" s="20">
        <f>$E236/4</f>
        <v>96871750</v>
      </c>
      <c r="U239" s="20">
        <f>$E236/4</f>
        <v>96871750</v>
      </c>
      <c r="V239" s="20">
        <f>$D236/4</f>
        <v>140165000</v>
      </c>
      <c r="W239" s="20">
        <f>$D236/4</f>
        <v>140165000</v>
      </c>
      <c r="X239" s="20">
        <f>$D236/4</f>
        <v>140165000</v>
      </c>
      <c r="Y239" s="20">
        <f>$D236/4</f>
        <v>140165000</v>
      </c>
      <c r="Z239" s="20">
        <v>0</v>
      </c>
      <c r="AA239" s="20">
        <v>0</v>
      </c>
      <c r="AB239" s="20">
        <v>0</v>
      </c>
      <c r="AC239" s="20">
        <v>0</v>
      </c>
      <c r="AE239" s="21">
        <f t="shared" si="177"/>
        <v>85622500</v>
      </c>
      <c r="AF239" s="21">
        <f t="shared" si="178"/>
        <v>1022282750</v>
      </c>
      <c r="AG239" s="21">
        <f t="shared" si="175"/>
        <v>23660500</v>
      </c>
    </row>
    <row r="240" spans="1:33" x14ac:dyDescent="0.2">
      <c r="B240" t="s">
        <v>338</v>
      </c>
      <c r="C240" s="5" t="s">
        <v>100</v>
      </c>
      <c r="D240" s="22">
        <f>$D236</f>
        <v>560660000</v>
      </c>
      <c r="E240" s="22">
        <f>$E236</f>
        <v>387487000</v>
      </c>
      <c r="F240" s="22">
        <f>$F236</f>
        <v>359679000</v>
      </c>
      <c r="G240" s="23">
        <f t="shared" si="179"/>
        <v>20</v>
      </c>
      <c r="H240" s="4">
        <v>110040000</v>
      </c>
      <c r="J240" s="20">
        <f t="shared" si="174"/>
        <v>110040000</v>
      </c>
      <c r="K240" s="20">
        <f t="shared" si="176"/>
        <v>109283000</v>
      </c>
      <c r="L240" s="20">
        <f t="shared" si="180"/>
        <v>105708000</v>
      </c>
      <c r="M240" s="20">
        <f t="shared" si="181"/>
        <v>99533000</v>
      </c>
      <c r="N240" s="20">
        <f t="shared" ref="N240:N247" si="182">H236</f>
        <v>90100000</v>
      </c>
      <c r="O240" s="20">
        <f>$F236/4</f>
        <v>89919750</v>
      </c>
      <c r="P240" s="20">
        <f>$F236/4</f>
        <v>89919750</v>
      </c>
      <c r="Q240" s="20">
        <f>$F236/4</f>
        <v>89919750</v>
      </c>
      <c r="R240" s="20">
        <f>$F236/4</f>
        <v>89919750</v>
      </c>
      <c r="S240" s="20">
        <f>$E236/4</f>
        <v>96871750</v>
      </c>
      <c r="T240" s="20">
        <f>$E236/4</f>
        <v>96871750</v>
      </c>
      <c r="U240" s="20">
        <f>$E236/4</f>
        <v>96871750</v>
      </c>
      <c r="V240" s="20">
        <f>$E236/4</f>
        <v>96871750</v>
      </c>
      <c r="W240" s="20">
        <f>$D236/4</f>
        <v>140165000</v>
      </c>
      <c r="X240" s="20">
        <f>$D236/4</f>
        <v>140165000</v>
      </c>
      <c r="Y240" s="20">
        <f>$D236/4</f>
        <v>140165000</v>
      </c>
      <c r="Z240" s="20">
        <f>$D236/4</f>
        <v>140165000</v>
      </c>
      <c r="AA240" s="20">
        <v>0</v>
      </c>
      <c r="AB240" s="20">
        <v>0</v>
      </c>
      <c r="AC240" s="20">
        <v>0</v>
      </c>
      <c r="AE240" s="21">
        <f t="shared" si="177"/>
        <v>91124500</v>
      </c>
      <c r="AF240" s="21">
        <f t="shared" si="178"/>
        <v>1046700250</v>
      </c>
      <c r="AG240" s="21">
        <f t="shared" si="175"/>
        <v>18915500</v>
      </c>
    </row>
    <row r="241" spans="2:33" x14ac:dyDescent="0.2">
      <c r="B241" t="s">
        <v>338</v>
      </c>
      <c r="C241" s="5" t="s">
        <v>99</v>
      </c>
      <c r="D241" s="22">
        <f>$D236</f>
        <v>560660000</v>
      </c>
      <c r="E241" s="22">
        <f>$E236</f>
        <v>387487000</v>
      </c>
      <c r="F241" s="22">
        <f>$F236</f>
        <v>359679000</v>
      </c>
      <c r="G241" s="23">
        <f t="shared" si="179"/>
        <v>20</v>
      </c>
      <c r="H241" s="4">
        <v>108781000</v>
      </c>
      <c r="J241" s="20">
        <f t="shared" si="174"/>
        <v>108781000</v>
      </c>
      <c r="K241" s="20">
        <f t="shared" si="176"/>
        <v>110040000</v>
      </c>
      <c r="L241" s="20">
        <f t="shared" si="180"/>
        <v>109283000</v>
      </c>
      <c r="M241" s="20">
        <f t="shared" si="181"/>
        <v>105708000</v>
      </c>
      <c r="N241" s="20">
        <f t="shared" si="182"/>
        <v>99533000</v>
      </c>
      <c r="O241" s="20">
        <f t="shared" ref="O241:O247" si="183">H236</f>
        <v>90100000</v>
      </c>
      <c r="P241" s="20">
        <f>$F236/4</f>
        <v>89919750</v>
      </c>
      <c r="Q241" s="20">
        <f>$F236/4</f>
        <v>89919750</v>
      </c>
      <c r="R241" s="20">
        <f>$F236/4</f>
        <v>89919750</v>
      </c>
      <c r="S241" s="20">
        <f>$F236/4</f>
        <v>89919750</v>
      </c>
      <c r="T241" s="20">
        <f>$E236/4</f>
        <v>96871750</v>
      </c>
      <c r="U241" s="20">
        <f>$E236/4</f>
        <v>96871750</v>
      </c>
      <c r="V241" s="20">
        <f>$E236/4</f>
        <v>96871750</v>
      </c>
      <c r="W241" s="20">
        <f>$E236/4</f>
        <v>96871750</v>
      </c>
      <c r="X241" s="20">
        <f>$D236/4</f>
        <v>140165000</v>
      </c>
      <c r="Y241" s="20">
        <f>$D236/4</f>
        <v>140165000</v>
      </c>
      <c r="Z241" s="20">
        <f>$D236/4</f>
        <v>140165000</v>
      </c>
      <c r="AA241" s="20">
        <f>$D236/4</f>
        <v>140165000</v>
      </c>
      <c r="AB241" s="20">
        <v>0</v>
      </c>
      <c r="AC241" s="20">
        <v>0</v>
      </c>
      <c r="AE241" s="21">
        <f t="shared" si="177"/>
        <v>96563550</v>
      </c>
      <c r="AF241" s="21">
        <f t="shared" si="178"/>
        <v>1064356750</v>
      </c>
      <c r="AG241" s="21">
        <f t="shared" si="175"/>
        <v>12217450</v>
      </c>
    </row>
    <row r="242" spans="2:33" x14ac:dyDescent="0.2">
      <c r="B242" t="s">
        <v>338</v>
      </c>
      <c r="C242" s="5" t="s">
        <v>98</v>
      </c>
      <c r="D242" s="22">
        <f>$D236</f>
        <v>560660000</v>
      </c>
      <c r="E242" s="22">
        <f>$E236</f>
        <v>387487000</v>
      </c>
      <c r="F242" s="22">
        <f>$F236</f>
        <v>359679000</v>
      </c>
      <c r="G242" s="23">
        <f t="shared" si="179"/>
        <v>20</v>
      </c>
      <c r="H242" s="4">
        <v>117555000</v>
      </c>
      <c r="J242" s="20">
        <f t="shared" si="174"/>
        <v>117555000</v>
      </c>
      <c r="K242" s="20">
        <f t="shared" si="176"/>
        <v>108781000</v>
      </c>
      <c r="L242" s="20">
        <f t="shared" si="180"/>
        <v>110040000</v>
      </c>
      <c r="M242" s="20">
        <f t="shared" si="181"/>
        <v>109283000</v>
      </c>
      <c r="N242" s="20">
        <f t="shared" si="182"/>
        <v>105708000</v>
      </c>
      <c r="O242" s="20">
        <f t="shared" si="183"/>
        <v>99533000</v>
      </c>
      <c r="P242" s="20">
        <f t="shared" ref="P242:P247" si="184">H236</f>
        <v>90100000</v>
      </c>
      <c r="Q242" s="20">
        <f>$F236/4</f>
        <v>89919750</v>
      </c>
      <c r="R242" s="20">
        <f>$F236/4</f>
        <v>89919750</v>
      </c>
      <c r="S242" s="20">
        <f>$F236/4</f>
        <v>89919750</v>
      </c>
      <c r="T242" s="20">
        <f>$F236/4</f>
        <v>89919750</v>
      </c>
      <c r="U242" s="20">
        <f>$E236/4</f>
        <v>96871750</v>
      </c>
      <c r="V242" s="20">
        <f>$E236/4</f>
        <v>96871750</v>
      </c>
      <c r="W242" s="20">
        <f>$E236/4</f>
        <v>96871750</v>
      </c>
      <c r="X242" s="20">
        <f>$E236/4</f>
        <v>96871750</v>
      </c>
      <c r="Y242" s="20">
        <f>$D236/4</f>
        <v>140165000</v>
      </c>
      <c r="Z242" s="20">
        <f>$D236/4</f>
        <v>140165000</v>
      </c>
      <c r="AA242" s="20">
        <f>$D236/4</f>
        <v>140165000</v>
      </c>
      <c r="AB242" s="20">
        <f>$D236/4</f>
        <v>140165000</v>
      </c>
      <c r="AC242" s="20">
        <v>0</v>
      </c>
      <c r="AE242" s="21">
        <f t="shared" si="177"/>
        <v>102441300</v>
      </c>
      <c r="AF242" s="21">
        <f t="shared" si="178"/>
        <v>1085348200</v>
      </c>
      <c r="AG242" s="21">
        <f t="shared" si="175"/>
        <v>15113700</v>
      </c>
    </row>
    <row r="243" spans="2:33" x14ac:dyDescent="0.2">
      <c r="B243" t="s">
        <v>338</v>
      </c>
      <c r="C243" s="5" t="s">
        <v>97</v>
      </c>
      <c r="D243" s="22">
        <f>$D236</f>
        <v>560660000</v>
      </c>
      <c r="E243" s="22">
        <f>$E236</f>
        <v>387487000</v>
      </c>
      <c r="F243" s="22">
        <f>$F236</f>
        <v>359679000</v>
      </c>
      <c r="G243" s="23">
        <f t="shared" si="179"/>
        <v>20</v>
      </c>
      <c r="H243" s="4">
        <v>171502000</v>
      </c>
      <c r="J243" s="20">
        <f t="shared" si="174"/>
        <v>171502000</v>
      </c>
      <c r="K243" s="20">
        <f t="shared" si="176"/>
        <v>117555000</v>
      </c>
      <c r="L243" s="20">
        <f t="shared" si="180"/>
        <v>108781000</v>
      </c>
      <c r="M243" s="20">
        <f t="shared" si="181"/>
        <v>110040000</v>
      </c>
      <c r="N243" s="20">
        <f t="shared" si="182"/>
        <v>109283000</v>
      </c>
      <c r="O243" s="20">
        <f t="shared" si="183"/>
        <v>105708000</v>
      </c>
      <c r="P243" s="20">
        <f t="shared" si="184"/>
        <v>99533000</v>
      </c>
      <c r="Q243" s="20">
        <f>H236</f>
        <v>90100000</v>
      </c>
      <c r="R243" s="20">
        <f>$F236/4</f>
        <v>89919750</v>
      </c>
      <c r="S243" s="20">
        <f>$F236/4</f>
        <v>89919750</v>
      </c>
      <c r="T243" s="20">
        <f>$F236/4</f>
        <v>89919750</v>
      </c>
      <c r="U243" s="20">
        <f>$F236/4</f>
        <v>89919750</v>
      </c>
      <c r="V243" s="20">
        <f>$E236/4</f>
        <v>96871750</v>
      </c>
      <c r="W243" s="20">
        <f>$E236/4</f>
        <v>96871750</v>
      </c>
      <c r="X243" s="20">
        <f>$E236/4</f>
        <v>96871750</v>
      </c>
      <c r="Y243" s="20">
        <f>$E236/4</f>
        <v>96871750</v>
      </c>
      <c r="Z243" s="20">
        <f>$D236/4</f>
        <v>140165000</v>
      </c>
      <c r="AA243" s="20">
        <f>$D236/4</f>
        <v>140165000</v>
      </c>
      <c r="AB243" s="20">
        <f>$D236/4</f>
        <v>140165000</v>
      </c>
      <c r="AC243" s="20">
        <f>$D236/4</f>
        <v>140165000</v>
      </c>
      <c r="AE243" s="21">
        <f t="shared" si="177"/>
        <v>111016400</v>
      </c>
      <c r="AF243" s="21">
        <f t="shared" si="178"/>
        <v>1154408900</v>
      </c>
      <c r="AG243" s="21">
        <f t="shared" si="175"/>
        <v>60485600</v>
      </c>
    </row>
    <row r="244" spans="2:33" x14ac:dyDescent="0.2">
      <c r="B244" t="s">
        <v>338</v>
      </c>
      <c r="C244" s="5" t="s">
        <v>96</v>
      </c>
      <c r="D244" s="22">
        <f>$D236</f>
        <v>560660000</v>
      </c>
      <c r="E244" s="22">
        <f>$E236</f>
        <v>387487000</v>
      </c>
      <c r="F244" s="22">
        <f>$F236</f>
        <v>359679000</v>
      </c>
      <c r="G244" s="23">
        <f t="shared" si="179"/>
        <v>20</v>
      </c>
      <c r="H244" s="4">
        <v>134889000</v>
      </c>
      <c r="J244" s="20">
        <f t="shared" si="174"/>
        <v>134889000</v>
      </c>
      <c r="K244" s="20">
        <f t="shared" si="176"/>
        <v>171502000</v>
      </c>
      <c r="L244" s="20">
        <f t="shared" si="180"/>
        <v>117555000</v>
      </c>
      <c r="M244" s="20">
        <f t="shared" si="181"/>
        <v>108781000</v>
      </c>
      <c r="N244" s="20">
        <f t="shared" si="182"/>
        <v>110040000</v>
      </c>
      <c r="O244" s="20">
        <f t="shared" si="183"/>
        <v>109283000</v>
      </c>
      <c r="P244" s="20">
        <f t="shared" si="184"/>
        <v>105708000</v>
      </c>
      <c r="Q244" s="20">
        <f>H237</f>
        <v>99533000</v>
      </c>
      <c r="R244" s="20">
        <f>H236</f>
        <v>90100000</v>
      </c>
      <c r="S244" s="20">
        <f>$F236/4</f>
        <v>89919750</v>
      </c>
      <c r="T244" s="20">
        <f>$F236/4</f>
        <v>89919750</v>
      </c>
      <c r="U244" s="20">
        <f>$F236/4</f>
        <v>89919750</v>
      </c>
      <c r="V244" s="20">
        <f>$F236/4</f>
        <v>89919750</v>
      </c>
      <c r="W244" s="20">
        <f>$E236/4</f>
        <v>96871750</v>
      </c>
      <c r="X244" s="20">
        <f>$E236/4</f>
        <v>96871750</v>
      </c>
      <c r="Y244" s="20">
        <f>$E236/4</f>
        <v>96871750</v>
      </c>
      <c r="Z244" s="20">
        <f>$E236/4</f>
        <v>96871750</v>
      </c>
      <c r="AA244" s="20">
        <f>$D236/4</f>
        <v>140165000</v>
      </c>
      <c r="AB244" s="20">
        <f>$D236/4</f>
        <v>140165000</v>
      </c>
      <c r="AC244" s="20">
        <f>$D236/4</f>
        <v>140165000</v>
      </c>
      <c r="AE244" s="21">
        <f t="shared" si="177"/>
        <v>110752600</v>
      </c>
      <c r="AF244" s="21">
        <f t="shared" si="178"/>
        <v>1178281500</v>
      </c>
      <c r="AG244" s="21">
        <f t="shared" si="175"/>
        <v>24136400</v>
      </c>
    </row>
    <row r="245" spans="2:33" x14ac:dyDescent="0.2">
      <c r="B245" t="s">
        <v>338</v>
      </c>
      <c r="C245" s="5" t="s">
        <v>95</v>
      </c>
      <c r="D245" s="22">
        <f>$D236</f>
        <v>560660000</v>
      </c>
      <c r="E245" s="22">
        <f>$E236</f>
        <v>387487000</v>
      </c>
      <c r="F245" s="22">
        <f>$F236</f>
        <v>359679000</v>
      </c>
      <c r="G245" s="23">
        <f t="shared" si="179"/>
        <v>20</v>
      </c>
      <c r="H245" s="4">
        <v>135043000</v>
      </c>
      <c r="J245" s="20">
        <f t="shared" si="174"/>
        <v>135043000</v>
      </c>
      <c r="K245" s="20">
        <f t="shared" si="176"/>
        <v>134889000</v>
      </c>
      <c r="L245" s="20">
        <f t="shared" si="180"/>
        <v>171502000</v>
      </c>
      <c r="M245" s="20">
        <f t="shared" si="181"/>
        <v>117555000</v>
      </c>
      <c r="N245" s="20">
        <f t="shared" si="182"/>
        <v>108781000</v>
      </c>
      <c r="O245" s="20">
        <f t="shared" si="183"/>
        <v>110040000</v>
      </c>
      <c r="P245" s="20">
        <f t="shared" si="184"/>
        <v>109283000</v>
      </c>
      <c r="Q245" s="20">
        <f>H238</f>
        <v>105708000</v>
      </c>
      <c r="R245" s="20">
        <f>H237</f>
        <v>99533000</v>
      </c>
      <c r="S245" s="20">
        <f>H236</f>
        <v>90100000</v>
      </c>
      <c r="T245" s="20">
        <f>$F236/4</f>
        <v>89919750</v>
      </c>
      <c r="U245" s="20">
        <f>$F236/4</f>
        <v>89919750</v>
      </c>
      <c r="V245" s="20">
        <f>$F236/4</f>
        <v>89919750</v>
      </c>
      <c r="W245" s="20">
        <f>$F236/4</f>
        <v>89919750</v>
      </c>
      <c r="X245" s="20">
        <f>$E236/4</f>
        <v>96871750</v>
      </c>
      <c r="Y245" s="20">
        <f>$E236/4</f>
        <v>96871750</v>
      </c>
      <c r="Z245" s="20">
        <f>$E236/4</f>
        <v>96871750</v>
      </c>
      <c r="AA245" s="20">
        <f>$E236/4</f>
        <v>96871750</v>
      </c>
      <c r="AB245" s="20">
        <f>$D236/4</f>
        <v>140165000</v>
      </c>
      <c r="AC245" s="20">
        <f>$D236/4</f>
        <v>140165000</v>
      </c>
      <c r="AE245" s="21">
        <f t="shared" si="177"/>
        <v>110496500</v>
      </c>
      <c r="AF245" s="21">
        <f t="shared" si="178"/>
        <v>1202571900</v>
      </c>
      <c r="AG245" s="21">
        <f t="shared" si="175"/>
        <v>24546500</v>
      </c>
    </row>
    <row r="246" spans="2:33" x14ac:dyDescent="0.2">
      <c r="B246" t="s">
        <v>338</v>
      </c>
      <c r="C246" s="5" t="s">
        <v>94</v>
      </c>
      <c r="D246" s="22">
        <f>$D236</f>
        <v>560660000</v>
      </c>
      <c r="E246" s="22">
        <f>$E236</f>
        <v>387487000</v>
      </c>
      <c r="F246" s="22">
        <f>$F236</f>
        <v>359679000</v>
      </c>
      <c r="G246" s="23">
        <f t="shared" si="179"/>
        <v>20</v>
      </c>
      <c r="H246" s="4">
        <v>144191000</v>
      </c>
      <c r="J246" s="20">
        <f t="shared" si="174"/>
        <v>144191000</v>
      </c>
      <c r="K246" s="20">
        <f t="shared" si="176"/>
        <v>135043000</v>
      </c>
      <c r="L246" s="20">
        <f t="shared" si="180"/>
        <v>134889000</v>
      </c>
      <c r="M246" s="20">
        <f t="shared" si="181"/>
        <v>171502000</v>
      </c>
      <c r="N246" s="20">
        <f t="shared" si="182"/>
        <v>117555000</v>
      </c>
      <c r="O246" s="20">
        <f t="shared" si="183"/>
        <v>108781000</v>
      </c>
      <c r="P246" s="20">
        <f t="shared" si="184"/>
        <v>110040000</v>
      </c>
      <c r="Q246" s="20">
        <f>H239</f>
        <v>109283000</v>
      </c>
      <c r="R246" s="20">
        <f>H238</f>
        <v>105708000</v>
      </c>
      <c r="S246" s="20">
        <f>H237</f>
        <v>99533000</v>
      </c>
      <c r="T246" s="20">
        <f>H236</f>
        <v>90100000</v>
      </c>
      <c r="U246" s="20">
        <f>$F236/4</f>
        <v>89919750</v>
      </c>
      <c r="V246" s="20">
        <f>$F236/4</f>
        <v>89919750</v>
      </c>
      <c r="W246" s="20">
        <f>$F236/4</f>
        <v>89919750</v>
      </c>
      <c r="X246" s="20">
        <f>$F236/4</f>
        <v>89919750</v>
      </c>
      <c r="Y246" s="20">
        <f>$E236/4</f>
        <v>96871750</v>
      </c>
      <c r="Z246" s="20">
        <f>$E236/4</f>
        <v>96871750</v>
      </c>
      <c r="AA246" s="20">
        <f>$E236/4</f>
        <v>96871750</v>
      </c>
      <c r="AB246" s="20">
        <f>$E236/4</f>
        <v>96871750</v>
      </c>
      <c r="AC246" s="20">
        <f>$D236/4</f>
        <v>140165000</v>
      </c>
      <c r="AE246" s="21">
        <f t="shared" si="177"/>
        <v>110697800</v>
      </c>
      <c r="AF246" s="21">
        <f t="shared" si="178"/>
        <v>1236266400</v>
      </c>
      <c r="AG246" s="21">
        <f t="shared" si="175"/>
        <v>33493200</v>
      </c>
    </row>
    <row r="247" spans="2:33" x14ac:dyDescent="0.2">
      <c r="B247" t="s">
        <v>338</v>
      </c>
      <c r="C247" s="5" t="s">
        <v>93</v>
      </c>
      <c r="D247" s="22">
        <f>$D236</f>
        <v>560660000</v>
      </c>
      <c r="E247" s="22">
        <f>$E236</f>
        <v>387487000</v>
      </c>
      <c r="F247" s="22">
        <f>$F236</f>
        <v>359679000</v>
      </c>
      <c r="G247" s="23">
        <f t="shared" si="179"/>
        <v>20</v>
      </c>
      <c r="H247" s="4">
        <v>143554000</v>
      </c>
      <c r="J247" s="20">
        <f t="shared" si="174"/>
        <v>143554000</v>
      </c>
      <c r="K247" s="20">
        <f t="shared" si="176"/>
        <v>144191000</v>
      </c>
      <c r="L247" s="20">
        <f t="shared" si="180"/>
        <v>135043000</v>
      </c>
      <c r="M247" s="20">
        <f t="shared" si="181"/>
        <v>134889000</v>
      </c>
      <c r="N247" s="20">
        <f t="shared" si="182"/>
        <v>171502000</v>
      </c>
      <c r="O247" s="20">
        <f t="shared" si="183"/>
        <v>117555000</v>
      </c>
      <c r="P247" s="20">
        <f t="shared" si="184"/>
        <v>108781000</v>
      </c>
      <c r="Q247" s="20">
        <f>H240</f>
        <v>110040000</v>
      </c>
      <c r="R247" s="20">
        <f>H239</f>
        <v>109283000</v>
      </c>
      <c r="S247" s="20">
        <f>H238</f>
        <v>105708000</v>
      </c>
      <c r="T247" s="20">
        <f>H237</f>
        <v>99533000</v>
      </c>
      <c r="U247" s="20">
        <f>H236</f>
        <v>90100000</v>
      </c>
      <c r="V247" s="20">
        <f>$F236/4</f>
        <v>89919750</v>
      </c>
      <c r="W247" s="20">
        <f>$F236/4</f>
        <v>89919750</v>
      </c>
      <c r="X247" s="20">
        <f>$F236/4</f>
        <v>89919750</v>
      </c>
      <c r="Y247" s="20">
        <f>$F236/4</f>
        <v>89919750</v>
      </c>
      <c r="Z247" s="20">
        <f>$E236/4</f>
        <v>96871750</v>
      </c>
      <c r="AA247" s="20">
        <f>$E236/4</f>
        <v>96871750</v>
      </c>
      <c r="AB247" s="20">
        <f>$E236/4</f>
        <v>96871750</v>
      </c>
      <c r="AC247" s="20">
        <f>$E236/4</f>
        <v>96871750</v>
      </c>
      <c r="AE247" s="21">
        <f t="shared" si="177"/>
        <v>110867250</v>
      </c>
      <c r="AF247" s="21">
        <f t="shared" si="178"/>
        <v>1269122600</v>
      </c>
      <c r="AG247" s="21">
        <f t="shared" si="175"/>
        <v>32686750</v>
      </c>
    </row>
    <row r="250" spans="2:33" x14ac:dyDescent="0.2">
      <c r="C250" t="s">
        <v>354</v>
      </c>
    </row>
    <row r="251" spans="2:33" x14ac:dyDescent="0.2">
      <c r="C251" s="6" t="s">
        <v>107</v>
      </c>
      <c r="D251" s="6" t="s">
        <v>438</v>
      </c>
      <c r="E251" s="6" t="s">
        <v>439</v>
      </c>
      <c r="F251" s="6" t="s">
        <v>440</v>
      </c>
      <c r="G251" s="6" t="s">
        <v>441</v>
      </c>
      <c r="H251" s="6" t="s">
        <v>442</v>
      </c>
      <c r="I251" s="15"/>
      <c r="J251" s="6" t="s">
        <v>443</v>
      </c>
      <c r="K251" s="6" t="s">
        <v>444</v>
      </c>
      <c r="L251" s="6" t="s">
        <v>445</v>
      </c>
      <c r="M251" s="6" t="s">
        <v>446</v>
      </c>
      <c r="N251" s="6" t="s">
        <v>447</v>
      </c>
      <c r="O251" s="6" t="s">
        <v>448</v>
      </c>
      <c r="P251" s="6" t="s">
        <v>449</v>
      </c>
      <c r="Q251" s="6" t="s">
        <v>450</v>
      </c>
      <c r="R251" s="6" t="s">
        <v>451</v>
      </c>
      <c r="S251" s="6" t="s">
        <v>452</v>
      </c>
      <c r="T251" s="6" t="s">
        <v>453</v>
      </c>
      <c r="U251" s="6" t="s">
        <v>454</v>
      </c>
      <c r="V251" s="6" t="s">
        <v>455</v>
      </c>
      <c r="W251" s="6" t="s">
        <v>456</v>
      </c>
      <c r="X251" s="6" t="s">
        <v>457</v>
      </c>
      <c r="Y251" s="6" t="s">
        <v>458</v>
      </c>
      <c r="Z251" s="6" t="s">
        <v>459</v>
      </c>
      <c r="AA251" s="6" t="s">
        <v>460</v>
      </c>
      <c r="AB251" s="6" t="s">
        <v>461</v>
      </c>
      <c r="AC251" s="6" t="s">
        <v>462</v>
      </c>
      <c r="AD251" s="15"/>
      <c r="AE251" s="6" t="s">
        <v>106</v>
      </c>
      <c r="AF251" s="6" t="s">
        <v>105</v>
      </c>
      <c r="AG251" s="6" t="s">
        <v>463</v>
      </c>
    </row>
    <row r="252" spans="2:33" x14ac:dyDescent="0.2">
      <c r="C252" s="16" t="s">
        <v>464</v>
      </c>
      <c r="J252" s="17">
        <v>20</v>
      </c>
      <c r="K252" s="17">
        <v>19</v>
      </c>
      <c r="L252" s="17">
        <v>18</v>
      </c>
      <c r="M252" s="17">
        <v>17</v>
      </c>
      <c r="N252" s="17">
        <v>16</v>
      </c>
      <c r="O252" s="17">
        <v>15</v>
      </c>
      <c r="P252" s="17">
        <v>14</v>
      </c>
      <c r="Q252" s="17">
        <v>13</v>
      </c>
      <c r="R252" s="17">
        <v>12</v>
      </c>
      <c r="S252" s="17">
        <v>11</v>
      </c>
      <c r="T252" s="17">
        <v>10</v>
      </c>
      <c r="U252" s="17">
        <v>9</v>
      </c>
      <c r="V252" s="17">
        <v>8</v>
      </c>
      <c r="W252" s="17">
        <v>7</v>
      </c>
      <c r="X252" s="17">
        <v>6</v>
      </c>
      <c r="Y252" s="17">
        <v>5</v>
      </c>
      <c r="Z252" s="17">
        <v>4</v>
      </c>
      <c r="AA252" s="17">
        <v>3</v>
      </c>
      <c r="AB252" s="17">
        <v>2</v>
      </c>
      <c r="AC252" s="17">
        <v>1</v>
      </c>
    </row>
    <row r="253" spans="2:33" x14ac:dyDescent="0.2">
      <c r="B253" t="s">
        <v>354</v>
      </c>
      <c r="C253" s="5" t="s">
        <v>104</v>
      </c>
      <c r="D253" s="4">
        <v>1415000000</v>
      </c>
      <c r="E253" s="4">
        <v>1686000000</v>
      </c>
      <c r="F253" s="4">
        <v>1814000000</v>
      </c>
      <c r="G253" s="19">
        <v>20</v>
      </c>
      <c r="H253" s="4">
        <v>472000000</v>
      </c>
      <c r="J253" s="20">
        <f t="shared" ref="J253:J264" si="185">H253</f>
        <v>472000000</v>
      </c>
      <c r="K253" s="20">
        <f>$F253/4</f>
        <v>453500000</v>
      </c>
      <c r="L253" s="20">
        <f>$F253/4</f>
        <v>453500000</v>
      </c>
      <c r="M253" s="20">
        <f>$F253/4</f>
        <v>453500000</v>
      </c>
      <c r="N253" s="20">
        <f>$F253/4</f>
        <v>453500000</v>
      </c>
      <c r="O253" s="20">
        <f>$E253/4</f>
        <v>421500000</v>
      </c>
      <c r="P253" s="20">
        <f>$E253/4</f>
        <v>421500000</v>
      </c>
      <c r="Q253" s="20">
        <f>$E253/4</f>
        <v>421500000</v>
      </c>
      <c r="R253" s="20">
        <f>$E253/4</f>
        <v>421500000</v>
      </c>
      <c r="S253" s="20">
        <f>$D253/4</f>
        <v>353750000</v>
      </c>
      <c r="T253" s="20">
        <f>$D253/4</f>
        <v>353750000</v>
      </c>
      <c r="U253" s="20">
        <f>$D253/4</f>
        <v>353750000</v>
      </c>
      <c r="V253" s="20">
        <f>$D253/4</f>
        <v>353750000</v>
      </c>
      <c r="W253" s="20">
        <v>0</v>
      </c>
      <c r="X253" s="20">
        <v>0</v>
      </c>
      <c r="Y253" s="20">
        <v>0</v>
      </c>
      <c r="Z253" s="20">
        <v>0</v>
      </c>
      <c r="AA253" s="20">
        <v>0</v>
      </c>
      <c r="AB253" s="20">
        <v>0</v>
      </c>
      <c r="AC253" s="20">
        <v>0</v>
      </c>
      <c r="AE253" s="21">
        <f>SUM(J253:AC253)/$G253</f>
        <v>269350000</v>
      </c>
      <c r="AF253" s="21">
        <f>SUMPRODUCT($J$252:$AC$252,J253:AC253)/$G253</f>
        <v>3869425000</v>
      </c>
      <c r="AG253" s="21">
        <f t="shared" ref="AG253:AG264" si="186">H253-AE253</f>
        <v>202650000</v>
      </c>
    </row>
    <row r="254" spans="2:33" x14ac:dyDescent="0.2">
      <c r="B254" t="s">
        <v>354</v>
      </c>
      <c r="C254" s="5" t="s">
        <v>103</v>
      </c>
      <c r="D254" s="22">
        <f>$D253</f>
        <v>1415000000</v>
      </c>
      <c r="E254" s="22">
        <f>$E253</f>
        <v>1686000000</v>
      </c>
      <c r="F254" s="22">
        <f>$F253</f>
        <v>1814000000</v>
      </c>
      <c r="G254" s="23">
        <f>$G$253</f>
        <v>20</v>
      </c>
      <c r="H254" s="4">
        <v>528000000</v>
      </c>
      <c r="J254" s="20">
        <f t="shared" si="185"/>
        <v>528000000</v>
      </c>
      <c r="K254" s="20">
        <f t="shared" ref="K254:K264" si="187">H253</f>
        <v>472000000</v>
      </c>
      <c r="L254" s="20">
        <f>$F253/4</f>
        <v>453500000</v>
      </c>
      <c r="M254" s="20">
        <f>$F253/4</f>
        <v>453500000</v>
      </c>
      <c r="N254" s="20">
        <f>$F253/4</f>
        <v>453500000</v>
      </c>
      <c r="O254" s="20">
        <f>$F253/4</f>
        <v>453500000</v>
      </c>
      <c r="P254" s="20">
        <f>$E253/4</f>
        <v>421500000</v>
      </c>
      <c r="Q254" s="20">
        <f>$E253/4</f>
        <v>421500000</v>
      </c>
      <c r="R254" s="20">
        <f>$E253/4</f>
        <v>421500000</v>
      </c>
      <c r="S254" s="20">
        <f>$E253/4</f>
        <v>421500000</v>
      </c>
      <c r="T254" s="20">
        <f>$D253/4</f>
        <v>353750000</v>
      </c>
      <c r="U254" s="20">
        <f>$D253/4</f>
        <v>353750000</v>
      </c>
      <c r="V254" s="20">
        <f>$D253/4</f>
        <v>353750000</v>
      </c>
      <c r="W254" s="20">
        <f>$D253/4</f>
        <v>353750000</v>
      </c>
      <c r="X254" s="20">
        <v>0</v>
      </c>
      <c r="Y254" s="20">
        <v>0</v>
      </c>
      <c r="Z254" s="20">
        <v>0</v>
      </c>
      <c r="AA254" s="20">
        <v>0</v>
      </c>
      <c r="AB254" s="20">
        <v>0</v>
      </c>
      <c r="AC254" s="20">
        <v>0</v>
      </c>
      <c r="AE254" s="21">
        <f t="shared" ref="AE254:AE264" si="188">SUM(J254:AC254)/$G254</f>
        <v>295750000</v>
      </c>
      <c r="AF254" s="21">
        <f t="shared" ref="AF254:AF264" si="189">SUMPRODUCT($J$252:$AC$252,J254:AC254)/$G254</f>
        <v>4128075000</v>
      </c>
      <c r="AG254" s="21">
        <f t="shared" si="186"/>
        <v>232250000</v>
      </c>
    </row>
    <row r="255" spans="2:33" x14ac:dyDescent="0.2">
      <c r="B255" t="s">
        <v>354</v>
      </c>
      <c r="C255" s="5" t="s">
        <v>102</v>
      </c>
      <c r="D255" s="22">
        <f>$D253</f>
        <v>1415000000</v>
      </c>
      <c r="E255" s="22">
        <f>$E253</f>
        <v>1686000000</v>
      </c>
      <c r="F255" s="22">
        <f>$F253</f>
        <v>1814000000</v>
      </c>
      <c r="G255" s="23">
        <f t="shared" ref="G255:G264" si="190">$G$253</f>
        <v>20</v>
      </c>
      <c r="H255" s="4">
        <v>554000000</v>
      </c>
      <c r="J255" s="20">
        <f t="shared" si="185"/>
        <v>554000000</v>
      </c>
      <c r="K255" s="20">
        <f t="shared" si="187"/>
        <v>528000000</v>
      </c>
      <c r="L255" s="20">
        <f t="shared" ref="L255:L264" si="191">H253</f>
        <v>472000000</v>
      </c>
      <c r="M255" s="20">
        <f>$F253/4</f>
        <v>453500000</v>
      </c>
      <c r="N255" s="20">
        <f>$F253/4</f>
        <v>453500000</v>
      </c>
      <c r="O255" s="20">
        <f>$F253/4</f>
        <v>453500000</v>
      </c>
      <c r="P255" s="20">
        <f>$F253/4</f>
        <v>453500000</v>
      </c>
      <c r="Q255" s="20">
        <f>$E253/4</f>
        <v>421500000</v>
      </c>
      <c r="R255" s="20">
        <f>$E253/4</f>
        <v>421500000</v>
      </c>
      <c r="S255" s="20">
        <f>$E253/4</f>
        <v>421500000</v>
      </c>
      <c r="T255" s="20">
        <f>$E253/4</f>
        <v>421500000</v>
      </c>
      <c r="U255" s="20">
        <f>$D253/4</f>
        <v>353750000</v>
      </c>
      <c r="V255" s="20">
        <f>$D253/4</f>
        <v>353750000</v>
      </c>
      <c r="W255" s="20">
        <f>$D253/4</f>
        <v>353750000</v>
      </c>
      <c r="X255" s="20">
        <f>$D253/4</f>
        <v>353750000</v>
      </c>
      <c r="Y255" s="20">
        <v>0</v>
      </c>
      <c r="Z255" s="20">
        <v>0</v>
      </c>
      <c r="AA255" s="20">
        <v>0</v>
      </c>
      <c r="AB255" s="20">
        <v>0</v>
      </c>
      <c r="AC255" s="20">
        <v>0</v>
      </c>
      <c r="AE255" s="21">
        <f t="shared" si="188"/>
        <v>323450000</v>
      </c>
      <c r="AF255" s="21">
        <f t="shared" si="189"/>
        <v>4386325000</v>
      </c>
      <c r="AG255" s="21">
        <f t="shared" si="186"/>
        <v>230550000</v>
      </c>
    </row>
    <row r="256" spans="2:33" x14ac:dyDescent="0.2">
      <c r="B256" t="s">
        <v>354</v>
      </c>
      <c r="C256" s="5" t="s">
        <v>101</v>
      </c>
      <c r="D256" s="22">
        <f>$D253</f>
        <v>1415000000</v>
      </c>
      <c r="E256" s="22">
        <f>$E253</f>
        <v>1686000000</v>
      </c>
      <c r="F256" s="22">
        <f>$F253</f>
        <v>1814000000</v>
      </c>
      <c r="G256" s="23">
        <f t="shared" si="190"/>
        <v>20</v>
      </c>
      <c r="H256" s="4">
        <v>554000000</v>
      </c>
      <c r="J256" s="20">
        <f t="shared" si="185"/>
        <v>554000000</v>
      </c>
      <c r="K256" s="20">
        <f t="shared" si="187"/>
        <v>554000000</v>
      </c>
      <c r="L256" s="20">
        <f t="shared" si="191"/>
        <v>528000000</v>
      </c>
      <c r="M256" s="20">
        <f t="shared" ref="M256:M264" si="192">H253</f>
        <v>472000000</v>
      </c>
      <c r="N256" s="20">
        <f>$F253/4</f>
        <v>453500000</v>
      </c>
      <c r="O256" s="20">
        <f>$F253/4</f>
        <v>453500000</v>
      </c>
      <c r="P256" s="20">
        <f>$F253/4</f>
        <v>453500000</v>
      </c>
      <c r="Q256" s="20">
        <f>$F253/4</f>
        <v>453500000</v>
      </c>
      <c r="R256" s="20">
        <f>$E253/4</f>
        <v>421500000</v>
      </c>
      <c r="S256" s="20">
        <f>$E253/4</f>
        <v>421500000</v>
      </c>
      <c r="T256" s="20">
        <f>$E253/4</f>
        <v>421500000</v>
      </c>
      <c r="U256" s="20">
        <f>$E253/4</f>
        <v>421500000</v>
      </c>
      <c r="V256" s="20">
        <f>$D253/4</f>
        <v>353750000</v>
      </c>
      <c r="W256" s="20">
        <f>$D253/4</f>
        <v>353750000</v>
      </c>
      <c r="X256" s="20">
        <f>$D253/4</f>
        <v>353750000</v>
      </c>
      <c r="Y256" s="20">
        <f>$D253/4</f>
        <v>353750000</v>
      </c>
      <c r="Z256" s="20">
        <v>0</v>
      </c>
      <c r="AA256" s="20">
        <v>0</v>
      </c>
      <c r="AB256" s="20">
        <v>0</v>
      </c>
      <c r="AC256" s="20">
        <v>0</v>
      </c>
      <c r="AE256" s="21">
        <f t="shared" si="188"/>
        <v>351150000</v>
      </c>
      <c r="AF256" s="21">
        <f t="shared" si="189"/>
        <v>4616875000</v>
      </c>
      <c r="AG256" s="21">
        <f t="shared" si="186"/>
        <v>202850000</v>
      </c>
    </row>
    <row r="257" spans="2:33" x14ac:dyDescent="0.2">
      <c r="B257" t="s">
        <v>354</v>
      </c>
      <c r="C257" s="5" t="s">
        <v>100</v>
      </c>
      <c r="D257" s="22">
        <f>$D253</f>
        <v>1415000000</v>
      </c>
      <c r="E257" s="22">
        <f>$E253</f>
        <v>1686000000</v>
      </c>
      <c r="F257" s="22">
        <f>$F253</f>
        <v>1814000000</v>
      </c>
      <c r="G257" s="23">
        <f t="shared" si="190"/>
        <v>20</v>
      </c>
      <c r="H257" s="4">
        <v>520000000</v>
      </c>
      <c r="J257" s="20">
        <f t="shared" si="185"/>
        <v>520000000</v>
      </c>
      <c r="K257" s="20">
        <f t="shared" si="187"/>
        <v>554000000</v>
      </c>
      <c r="L257" s="20">
        <f t="shared" si="191"/>
        <v>554000000</v>
      </c>
      <c r="M257" s="20">
        <f t="shared" si="192"/>
        <v>528000000</v>
      </c>
      <c r="N257" s="20">
        <f t="shared" ref="N257:N264" si="193">H253</f>
        <v>472000000</v>
      </c>
      <c r="O257" s="20">
        <f>$F253/4</f>
        <v>453500000</v>
      </c>
      <c r="P257" s="20">
        <f>$F253/4</f>
        <v>453500000</v>
      </c>
      <c r="Q257" s="20">
        <f>$F253/4</f>
        <v>453500000</v>
      </c>
      <c r="R257" s="20">
        <f>$F253/4</f>
        <v>453500000</v>
      </c>
      <c r="S257" s="20">
        <f>$E253/4</f>
        <v>421500000</v>
      </c>
      <c r="T257" s="20">
        <f>$E253/4</f>
        <v>421500000</v>
      </c>
      <c r="U257" s="20">
        <f>$E253/4</f>
        <v>421500000</v>
      </c>
      <c r="V257" s="20">
        <f>$E253/4</f>
        <v>421500000</v>
      </c>
      <c r="W257" s="20">
        <f>$D253/4</f>
        <v>353750000</v>
      </c>
      <c r="X257" s="20">
        <f>$D253/4</f>
        <v>353750000</v>
      </c>
      <c r="Y257" s="20">
        <f>$D253/4</f>
        <v>353750000</v>
      </c>
      <c r="Z257" s="20">
        <f>$D253/4</f>
        <v>353750000</v>
      </c>
      <c r="AA257" s="20">
        <v>0</v>
      </c>
      <c r="AB257" s="20">
        <v>0</v>
      </c>
      <c r="AC257" s="20">
        <v>0</v>
      </c>
      <c r="AE257" s="21">
        <f t="shared" si="188"/>
        <v>377150000</v>
      </c>
      <c r="AF257" s="21">
        <f t="shared" si="189"/>
        <v>4785725000</v>
      </c>
      <c r="AG257" s="21">
        <f t="shared" si="186"/>
        <v>142850000</v>
      </c>
    </row>
    <row r="258" spans="2:33" x14ac:dyDescent="0.2">
      <c r="B258" t="s">
        <v>354</v>
      </c>
      <c r="C258" s="5" t="s">
        <v>99</v>
      </c>
      <c r="D258" s="22">
        <f>$D253</f>
        <v>1415000000</v>
      </c>
      <c r="E258" s="22">
        <f>$E253</f>
        <v>1686000000</v>
      </c>
      <c r="F258" s="22">
        <f>$F253</f>
        <v>1814000000</v>
      </c>
      <c r="G258" s="23">
        <f t="shared" si="190"/>
        <v>20</v>
      </c>
      <c r="H258" s="4">
        <v>535000000</v>
      </c>
      <c r="J258" s="20">
        <f t="shared" si="185"/>
        <v>535000000</v>
      </c>
      <c r="K258" s="20">
        <f t="shared" si="187"/>
        <v>520000000</v>
      </c>
      <c r="L258" s="20">
        <f t="shared" si="191"/>
        <v>554000000</v>
      </c>
      <c r="M258" s="20">
        <f t="shared" si="192"/>
        <v>554000000</v>
      </c>
      <c r="N258" s="20">
        <f t="shared" si="193"/>
        <v>528000000</v>
      </c>
      <c r="O258" s="20">
        <f t="shared" ref="O258:O264" si="194">H253</f>
        <v>472000000</v>
      </c>
      <c r="P258" s="20">
        <f>$F253/4</f>
        <v>453500000</v>
      </c>
      <c r="Q258" s="20">
        <f>$F253/4</f>
        <v>453500000</v>
      </c>
      <c r="R258" s="20">
        <f>$F253/4</f>
        <v>453500000</v>
      </c>
      <c r="S258" s="20">
        <f>$F253/4</f>
        <v>453500000</v>
      </c>
      <c r="T258" s="20">
        <f>$E253/4</f>
        <v>421500000</v>
      </c>
      <c r="U258" s="20">
        <f>$E253/4</f>
        <v>421500000</v>
      </c>
      <c r="V258" s="20">
        <f>$E253/4</f>
        <v>421500000</v>
      </c>
      <c r="W258" s="20">
        <f>$E253/4</f>
        <v>421500000</v>
      </c>
      <c r="X258" s="20">
        <f>$D253/4</f>
        <v>353750000</v>
      </c>
      <c r="Y258" s="20">
        <f>$D253/4</f>
        <v>353750000</v>
      </c>
      <c r="Z258" s="20">
        <f>$D253/4</f>
        <v>353750000</v>
      </c>
      <c r="AA258" s="20">
        <f>$D253/4</f>
        <v>353750000</v>
      </c>
      <c r="AB258" s="20">
        <v>0</v>
      </c>
      <c r="AC258" s="20">
        <v>0</v>
      </c>
      <c r="AE258" s="21">
        <f t="shared" si="188"/>
        <v>403900000</v>
      </c>
      <c r="AF258" s="21">
        <f t="shared" si="189"/>
        <v>4943575000</v>
      </c>
      <c r="AG258" s="21">
        <f t="shared" si="186"/>
        <v>131100000</v>
      </c>
    </row>
    <row r="259" spans="2:33" x14ac:dyDescent="0.2">
      <c r="B259" t="s">
        <v>354</v>
      </c>
      <c r="C259" s="5" t="s">
        <v>98</v>
      </c>
      <c r="D259" s="22">
        <f>$D253</f>
        <v>1415000000</v>
      </c>
      <c r="E259" s="22">
        <f>$E253</f>
        <v>1686000000</v>
      </c>
      <c r="F259" s="22">
        <f>$F253</f>
        <v>1814000000</v>
      </c>
      <c r="G259" s="23">
        <f t="shared" si="190"/>
        <v>20</v>
      </c>
      <c r="H259" s="4">
        <v>533000000</v>
      </c>
      <c r="J259" s="20">
        <f t="shared" si="185"/>
        <v>533000000</v>
      </c>
      <c r="K259" s="20">
        <f t="shared" si="187"/>
        <v>535000000</v>
      </c>
      <c r="L259" s="20">
        <f t="shared" si="191"/>
        <v>520000000</v>
      </c>
      <c r="M259" s="20">
        <f t="shared" si="192"/>
        <v>554000000</v>
      </c>
      <c r="N259" s="20">
        <f t="shared" si="193"/>
        <v>554000000</v>
      </c>
      <c r="O259" s="20">
        <f t="shared" si="194"/>
        <v>528000000</v>
      </c>
      <c r="P259" s="20">
        <f t="shared" ref="P259:P264" si="195">H253</f>
        <v>472000000</v>
      </c>
      <c r="Q259" s="20">
        <f>$F253/4</f>
        <v>453500000</v>
      </c>
      <c r="R259" s="20">
        <f>$F253/4</f>
        <v>453500000</v>
      </c>
      <c r="S259" s="20">
        <f>$F253/4</f>
        <v>453500000</v>
      </c>
      <c r="T259" s="20">
        <f>$F253/4</f>
        <v>453500000</v>
      </c>
      <c r="U259" s="20">
        <f>$E253/4</f>
        <v>421500000</v>
      </c>
      <c r="V259" s="20">
        <f>$E253/4</f>
        <v>421500000</v>
      </c>
      <c r="W259" s="20">
        <f>$E253/4</f>
        <v>421500000</v>
      </c>
      <c r="X259" s="20">
        <f>$E253/4</f>
        <v>421500000</v>
      </c>
      <c r="Y259" s="20">
        <f>$D253/4</f>
        <v>353750000</v>
      </c>
      <c r="Z259" s="20">
        <f>$D253/4</f>
        <v>353750000</v>
      </c>
      <c r="AA259" s="20">
        <f>$D253/4</f>
        <v>353750000</v>
      </c>
      <c r="AB259" s="20">
        <f>$D253/4</f>
        <v>353750000</v>
      </c>
      <c r="AC259" s="20">
        <v>0</v>
      </c>
      <c r="AE259" s="21">
        <f t="shared" si="188"/>
        <v>430550000</v>
      </c>
      <c r="AF259" s="21">
        <f t="shared" si="189"/>
        <v>5072675000</v>
      </c>
      <c r="AG259" s="21">
        <f t="shared" si="186"/>
        <v>102450000</v>
      </c>
    </row>
    <row r="260" spans="2:33" x14ac:dyDescent="0.2">
      <c r="B260" t="s">
        <v>354</v>
      </c>
      <c r="C260" s="5" t="s">
        <v>97</v>
      </c>
      <c r="D260" s="22">
        <f>$D253</f>
        <v>1415000000</v>
      </c>
      <c r="E260" s="22">
        <f>$E253</f>
        <v>1686000000</v>
      </c>
      <c r="F260" s="22">
        <f>$F253</f>
        <v>1814000000</v>
      </c>
      <c r="G260" s="23">
        <f t="shared" si="190"/>
        <v>20</v>
      </c>
      <c r="H260" s="4">
        <v>519000000</v>
      </c>
      <c r="J260" s="20">
        <f t="shared" si="185"/>
        <v>519000000</v>
      </c>
      <c r="K260" s="20">
        <f t="shared" si="187"/>
        <v>533000000</v>
      </c>
      <c r="L260" s="20">
        <f t="shared" si="191"/>
        <v>535000000</v>
      </c>
      <c r="M260" s="20">
        <f t="shared" si="192"/>
        <v>520000000</v>
      </c>
      <c r="N260" s="20">
        <f t="shared" si="193"/>
        <v>554000000</v>
      </c>
      <c r="O260" s="20">
        <f t="shared" si="194"/>
        <v>554000000</v>
      </c>
      <c r="P260" s="20">
        <f t="shared" si="195"/>
        <v>528000000</v>
      </c>
      <c r="Q260" s="20">
        <f>H253</f>
        <v>472000000</v>
      </c>
      <c r="R260" s="20">
        <f>$F253/4</f>
        <v>453500000</v>
      </c>
      <c r="S260" s="20">
        <f>$F253/4</f>
        <v>453500000</v>
      </c>
      <c r="T260" s="20">
        <f>$F253/4</f>
        <v>453500000</v>
      </c>
      <c r="U260" s="20">
        <f>$F253/4</f>
        <v>453500000</v>
      </c>
      <c r="V260" s="20">
        <f>$E253/4</f>
        <v>421500000</v>
      </c>
      <c r="W260" s="20">
        <f>$E253/4</f>
        <v>421500000</v>
      </c>
      <c r="X260" s="20">
        <f>$E253/4</f>
        <v>421500000</v>
      </c>
      <c r="Y260" s="20">
        <f>$E253/4</f>
        <v>421500000</v>
      </c>
      <c r="Z260" s="20">
        <f>$D253/4</f>
        <v>353750000</v>
      </c>
      <c r="AA260" s="20">
        <f>$D253/4</f>
        <v>353750000</v>
      </c>
      <c r="AB260" s="20">
        <f>$D253/4</f>
        <v>353750000</v>
      </c>
      <c r="AC260" s="20">
        <f>$D253/4</f>
        <v>353750000</v>
      </c>
      <c r="AE260" s="21">
        <f t="shared" si="188"/>
        <v>456500000</v>
      </c>
      <c r="AF260" s="21">
        <f t="shared" si="189"/>
        <v>5161125000</v>
      </c>
      <c r="AG260" s="21">
        <f t="shared" si="186"/>
        <v>62500000</v>
      </c>
    </row>
    <row r="261" spans="2:33" x14ac:dyDescent="0.2">
      <c r="B261" t="s">
        <v>354</v>
      </c>
      <c r="C261" s="5" t="s">
        <v>96</v>
      </c>
      <c r="D261" s="22">
        <f>$D253</f>
        <v>1415000000</v>
      </c>
      <c r="E261" s="22">
        <f>$E253</f>
        <v>1686000000</v>
      </c>
      <c r="F261" s="22">
        <f>$F253</f>
        <v>1814000000</v>
      </c>
      <c r="G261" s="23">
        <f t="shared" si="190"/>
        <v>20</v>
      </c>
      <c r="H261" s="4">
        <v>480000000</v>
      </c>
      <c r="J261" s="20">
        <f t="shared" si="185"/>
        <v>480000000</v>
      </c>
      <c r="K261" s="20">
        <f t="shared" si="187"/>
        <v>519000000</v>
      </c>
      <c r="L261" s="20">
        <f t="shared" si="191"/>
        <v>533000000</v>
      </c>
      <c r="M261" s="20">
        <f t="shared" si="192"/>
        <v>535000000</v>
      </c>
      <c r="N261" s="20">
        <f t="shared" si="193"/>
        <v>520000000</v>
      </c>
      <c r="O261" s="20">
        <f t="shared" si="194"/>
        <v>554000000</v>
      </c>
      <c r="P261" s="20">
        <f t="shared" si="195"/>
        <v>554000000</v>
      </c>
      <c r="Q261" s="20">
        <f>H254</f>
        <v>528000000</v>
      </c>
      <c r="R261" s="20">
        <f>H253</f>
        <v>472000000</v>
      </c>
      <c r="S261" s="20">
        <f>$F253/4</f>
        <v>453500000</v>
      </c>
      <c r="T261" s="20">
        <f>$F253/4</f>
        <v>453500000</v>
      </c>
      <c r="U261" s="20">
        <f>$F253/4</f>
        <v>453500000</v>
      </c>
      <c r="V261" s="20">
        <f>$F253/4</f>
        <v>453500000</v>
      </c>
      <c r="W261" s="20">
        <f>$E253/4</f>
        <v>421500000</v>
      </c>
      <c r="X261" s="20">
        <f>$E253/4</f>
        <v>421500000</v>
      </c>
      <c r="Y261" s="20">
        <f>$E253/4</f>
        <v>421500000</v>
      </c>
      <c r="Z261" s="20">
        <f>$E253/4</f>
        <v>421500000</v>
      </c>
      <c r="AA261" s="20">
        <f>$D253/4</f>
        <v>353750000</v>
      </c>
      <c r="AB261" s="20">
        <f>$D253/4</f>
        <v>353750000</v>
      </c>
      <c r="AC261" s="20">
        <f>$D253/4</f>
        <v>353750000</v>
      </c>
      <c r="AE261" s="21">
        <f t="shared" si="188"/>
        <v>462812500</v>
      </c>
      <c r="AF261" s="21">
        <f t="shared" si="189"/>
        <v>5184625000</v>
      </c>
      <c r="AG261" s="21">
        <f t="shared" si="186"/>
        <v>17187500</v>
      </c>
    </row>
    <row r="262" spans="2:33" x14ac:dyDescent="0.2">
      <c r="B262" t="s">
        <v>354</v>
      </c>
      <c r="C262" s="5" t="s">
        <v>95</v>
      </c>
      <c r="D262" s="22">
        <f>$D253</f>
        <v>1415000000</v>
      </c>
      <c r="E262" s="22">
        <f>$E253</f>
        <v>1686000000</v>
      </c>
      <c r="F262" s="22">
        <f>$F253</f>
        <v>1814000000</v>
      </c>
      <c r="G262" s="23">
        <f t="shared" si="190"/>
        <v>20</v>
      </c>
      <c r="H262" s="4">
        <v>551000000</v>
      </c>
      <c r="J262" s="20">
        <f t="shared" si="185"/>
        <v>551000000</v>
      </c>
      <c r="K262" s="20">
        <f t="shared" si="187"/>
        <v>480000000</v>
      </c>
      <c r="L262" s="20">
        <f t="shared" si="191"/>
        <v>519000000</v>
      </c>
      <c r="M262" s="20">
        <f t="shared" si="192"/>
        <v>533000000</v>
      </c>
      <c r="N262" s="20">
        <f t="shared" si="193"/>
        <v>535000000</v>
      </c>
      <c r="O262" s="20">
        <f t="shared" si="194"/>
        <v>520000000</v>
      </c>
      <c r="P262" s="20">
        <f t="shared" si="195"/>
        <v>554000000</v>
      </c>
      <c r="Q262" s="20">
        <f>H255</f>
        <v>554000000</v>
      </c>
      <c r="R262" s="20">
        <f>H254</f>
        <v>528000000</v>
      </c>
      <c r="S262" s="20">
        <f>H253</f>
        <v>472000000</v>
      </c>
      <c r="T262" s="20">
        <f>$F253/4</f>
        <v>453500000</v>
      </c>
      <c r="U262" s="20">
        <f>$F253/4</f>
        <v>453500000</v>
      </c>
      <c r="V262" s="20">
        <f>$F253/4</f>
        <v>453500000</v>
      </c>
      <c r="W262" s="20">
        <f>$F253/4</f>
        <v>453500000</v>
      </c>
      <c r="X262" s="20">
        <f>$E253/4</f>
        <v>421500000</v>
      </c>
      <c r="Y262" s="20">
        <f>$E253/4</f>
        <v>421500000</v>
      </c>
      <c r="Z262" s="20">
        <f>$E253/4</f>
        <v>421500000</v>
      </c>
      <c r="AA262" s="20">
        <f>$E253/4</f>
        <v>421500000</v>
      </c>
      <c r="AB262" s="20">
        <f>$D253/4</f>
        <v>353750000</v>
      </c>
      <c r="AC262" s="20">
        <f>$D253/4</f>
        <v>353750000</v>
      </c>
      <c r="AE262" s="21">
        <f t="shared" si="188"/>
        <v>472675000</v>
      </c>
      <c r="AF262" s="21">
        <f t="shared" si="189"/>
        <v>5272812500</v>
      </c>
      <c r="AG262" s="21">
        <f t="shared" si="186"/>
        <v>78325000</v>
      </c>
    </row>
    <row r="263" spans="2:33" x14ac:dyDescent="0.2">
      <c r="B263" t="s">
        <v>354</v>
      </c>
      <c r="C263" s="5" t="s">
        <v>94</v>
      </c>
      <c r="D263" s="22">
        <f>$D253</f>
        <v>1415000000</v>
      </c>
      <c r="E263" s="22">
        <f>$E253</f>
        <v>1686000000</v>
      </c>
      <c r="F263" s="22">
        <f>$F253</f>
        <v>1814000000</v>
      </c>
      <c r="G263" s="23">
        <f t="shared" si="190"/>
        <v>20</v>
      </c>
      <c r="H263" s="4">
        <v>555000000</v>
      </c>
      <c r="J263" s="20">
        <f t="shared" si="185"/>
        <v>555000000</v>
      </c>
      <c r="K263" s="20">
        <f t="shared" si="187"/>
        <v>551000000</v>
      </c>
      <c r="L263" s="20">
        <f t="shared" si="191"/>
        <v>480000000</v>
      </c>
      <c r="M263" s="20">
        <f t="shared" si="192"/>
        <v>519000000</v>
      </c>
      <c r="N263" s="20">
        <f t="shared" si="193"/>
        <v>533000000</v>
      </c>
      <c r="O263" s="20">
        <f t="shared" si="194"/>
        <v>535000000</v>
      </c>
      <c r="P263" s="20">
        <f t="shared" si="195"/>
        <v>520000000</v>
      </c>
      <c r="Q263" s="20">
        <f>H256</f>
        <v>554000000</v>
      </c>
      <c r="R263" s="20">
        <f>H255</f>
        <v>554000000</v>
      </c>
      <c r="S263" s="20">
        <f>H254</f>
        <v>528000000</v>
      </c>
      <c r="T263" s="20">
        <f>H253</f>
        <v>472000000</v>
      </c>
      <c r="U263" s="20">
        <f>$F253/4</f>
        <v>453500000</v>
      </c>
      <c r="V263" s="20">
        <f>$F253/4</f>
        <v>453500000</v>
      </c>
      <c r="W263" s="20">
        <f>$F253/4</f>
        <v>453500000</v>
      </c>
      <c r="X263" s="20">
        <f>$F253/4</f>
        <v>453500000</v>
      </c>
      <c r="Y263" s="20">
        <f>$E253/4</f>
        <v>421500000</v>
      </c>
      <c r="Z263" s="20">
        <f>$E253/4</f>
        <v>421500000</v>
      </c>
      <c r="AA263" s="20">
        <f>$E253/4</f>
        <v>421500000</v>
      </c>
      <c r="AB263" s="20">
        <f>$E253/4</f>
        <v>421500000</v>
      </c>
      <c r="AC263" s="20">
        <f>$D253/4</f>
        <v>353750000</v>
      </c>
      <c r="AE263" s="21">
        <f t="shared" si="188"/>
        <v>482737500</v>
      </c>
      <c r="AF263" s="21">
        <f t="shared" si="189"/>
        <v>5355137500</v>
      </c>
      <c r="AG263" s="21">
        <f t="shared" si="186"/>
        <v>72262500</v>
      </c>
    </row>
    <row r="264" spans="2:33" x14ac:dyDescent="0.2">
      <c r="B264" t="s">
        <v>354</v>
      </c>
      <c r="C264" s="5" t="s">
        <v>93</v>
      </c>
      <c r="D264" s="22">
        <f>$D253</f>
        <v>1415000000</v>
      </c>
      <c r="E264" s="22">
        <f>$E253</f>
        <v>1686000000</v>
      </c>
      <c r="F264" s="22">
        <f>$F253</f>
        <v>1814000000</v>
      </c>
      <c r="G264" s="23">
        <f t="shared" si="190"/>
        <v>20</v>
      </c>
      <c r="H264" s="4">
        <v>562000000</v>
      </c>
      <c r="J264" s="20">
        <f t="shared" si="185"/>
        <v>562000000</v>
      </c>
      <c r="K264" s="20">
        <f t="shared" si="187"/>
        <v>555000000</v>
      </c>
      <c r="L264" s="20">
        <f t="shared" si="191"/>
        <v>551000000</v>
      </c>
      <c r="M264" s="20">
        <f t="shared" si="192"/>
        <v>480000000</v>
      </c>
      <c r="N264" s="20">
        <f t="shared" si="193"/>
        <v>519000000</v>
      </c>
      <c r="O264" s="20">
        <f t="shared" si="194"/>
        <v>533000000</v>
      </c>
      <c r="P264" s="20">
        <f t="shared" si="195"/>
        <v>535000000</v>
      </c>
      <c r="Q264" s="20">
        <f>H257</f>
        <v>520000000</v>
      </c>
      <c r="R264" s="20">
        <f>H256</f>
        <v>554000000</v>
      </c>
      <c r="S264" s="20">
        <f>H255</f>
        <v>554000000</v>
      </c>
      <c r="T264" s="20">
        <f>H254</f>
        <v>528000000</v>
      </c>
      <c r="U264" s="20">
        <f>H253</f>
        <v>472000000</v>
      </c>
      <c r="V264" s="20">
        <f>$F253/4</f>
        <v>453500000</v>
      </c>
      <c r="W264" s="20">
        <f>$F253/4</f>
        <v>453500000</v>
      </c>
      <c r="X264" s="20">
        <f>$F253/4</f>
        <v>453500000</v>
      </c>
      <c r="Y264" s="20">
        <f>$F253/4</f>
        <v>453500000</v>
      </c>
      <c r="Z264" s="20">
        <f>$E253/4</f>
        <v>421500000</v>
      </c>
      <c r="AA264" s="20">
        <f>$E253/4</f>
        <v>421500000</v>
      </c>
      <c r="AB264" s="20">
        <f>$E253/4</f>
        <v>421500000</v>
      </c>
      <c r="AC264" s="20">
        <f>$E253/4</f>
        <v>421500000</v>
      </c>
      <c r="AE264" s="21">
        <f t="shared" si="188"/>
        <v>493150000</v>
      </c>
      <c r="AF264" s="21">
        <f t="shared" si="189"/>
        <v>5434400000</v>
      </c>
      <c r="AG264" s="21">
        <f t="shared" si="186"/>
        <v>68850000</v>
      </c>
    </row>
    <row r="267" spans="2:33" x14ac:dyDescent="0.2">
      <c r="C267" t="s">
        <v>386</v>
      </c>
    </row>
    <row r="268" spans="2:33" x14ac:dyDescent="0.2">
      <c r="C268" s="6" t="s">
        <v>107</v>
      </c>
      <c r="D268" s="6" t="s">
        <v>438</v>
      </c>
      <c r="E268" s="6" t="s">
        <v>439</v>
      </c>
      <c r="F268" s="6" t="s">
        <v>440</v>
      </c>
      <c r="G268" s="6" t="s">
        <v>441</v>
      </c>
      <c r="H268" s="6" t="s">
        <v>442</v>
      </c>
      <c r="I268" s="15"/>
      <c r="J268" s="6" t="s">
        <v>443</v>
      </c>
      <c r="K268" s="6" t="s">
        <v>444</v>
      </c>
      <c r="L268" s="6" t="s">
        <v>445</v>
      </c>
      <c r="M268" s="6" t="s">
        <v>446</v>
      </c>
      <c r="N268" s="6" t="s">
        <v>447</v>
      </c>
      <c r="O268" s="6" t="s">
        <v>448</v>
      </c>
      <c r="P268" s="6" t="s">
        <v>449</v>
      </c>
      <c r="Q268" s="6" t="s">
        <v>450</v>
      </c>
      <c r="R268" s="6" t="s">
        <v>451</v>
      </c>
      <c r="S268" s="6" t="s">
        <v>452</v>
      </c>
      <c r="T268" s="6" t="s">
        <v>453</v>
      </c>
      <c r="U268" s="6" t="s">
        <v>454</v>
      </c>
      <c r="V268" s="6" t="s">
        <v>455</v>
      </c>
      <c r="W268" s="6" t="s">
        <v>456</v>
      </c>
      <c r="X268" s="6" t="s">
        <v>457</v>
      </c>
      <c r="Y268" s="6" t="s">
        <v>458</v>
      </c>
      <c r="Z268" s="6" t="s">
        <v>459</v>
      </c>
      <c r="AA268" s="6" t="s">
        <v>460</v>
      </c>
      <c r="AB268" s="6" t="s">
        <v>461</v>
      </c>
      <c r="AC268" s="6" t="s">
        <v>462</v>
      </c>
      <c r="AD268" s="15"/>
      <c r="AE268" s="6" t="s">
        <v>106</v>
      </c>
      <c r="AF268" s="6" t="s">
        <v>105</v>
      </c>
      <c r="AG268" s="6" t="s">
        <v>463</v>
      </c>
    </row>
    <row r="269" spans="2:33" x14ac:dyDescent="0.2">
      <c r="C269" s="16" t="s">
        <v>464</v>
      </c>
      <c r="J269" s="17">
        <v>20</v>
      </c>
      <c r="K269" s="17">
        <v>19</v>
      </c>
      <c r="L269" s="17">
        <v>18</v>
      </c>
      <c r="M269" s="17">
        <v>17</v>
      </c>
      <c r="N269" s="17">
        <v>16</v>
      </c>
      <c r="O269" s="17">
        <v>15</v>
      </c>
      <c r="P269" s="17">
        <v>14</v>
      </c>
      <c r="Q269" s="17">
        <v>13</v>
      </c>
      <c r="R269" s="17">
        <v>12</v>
      </c>
      <c r="S269" s="17">
        <v>11</v>
      </c>
      <c r="T269" s="17">
        <v>10</v>
      </c>
      <c r="U269" s="17">
        <v>9</v>
      </c>
      <c r="V269" s="17">
        <v>8</v>
      </c>
      <c r="W269" s="17">
        <v>7</v>
      </c>
      <c r="X269" s="17">
        <v>6</v>
      </c>
      <c r="Y269" s="17">
        <v>5</v>
      </c>
      <c r="Z269" s="17">
        <v>4</v>
      </c>
      <c r="AA269" s="17">
        <v>3</v>
      </c>
      <c r="AB269" s="17">
        <v>2</v>
      </c>
      <c r="AC269" s="17">
        <v>1</v>
      </c>
    </row>
    <row r="270" spans="2:33" x14ac:dyDescent="0.2">
      <c r="B270" t="s">
        <v>386</v>
      </c>
      <c r="C270" s="5" t="s">
        <v>104</v>
      </c>
      <c r="D270" s="4">
        <v>27573000000</v>
      </c>
      <c r="E270" s="4">
        <v>31562000000</v>
      </c>
      <c r="F270" s="4">
        <v>39500000000</v>
      </c>
      <c r="G270" s="19">
        <v>20</v>
      </c>
      <c r="H270" s="4">
        <v>11468000000</v>
      </c>
      <c r="J270" s="20">
        <f t="shared" ref="J270:J281" si="196">H270</f>
        <v>11468000000</v>
      </c>
      <c r="K270" s="20">
        <f>$F270/4</f>
        <v>9875000000</v>
      </c>
      <c r="L270" s="20">
        <f>$F270/4</f>
        <v>9875000000</v>
      </c>
      <c r="M270" s="20">
        <f>$F270/4</f>
        <v>9875000000</v>
      </c>
      <c r="N270" s="20">
        <f>$F270/4</f>
        <v>9875000000</v>
      </c>
      <c r="O270" s="20">
        <f>$E270/4</f>
        <v>7890500000</v>
      </c>
      <c r="P270" s="20">
        <f>$E270/4</f>
        <v>7890500000</v>
      </c>
      <c r="Q270" s="20">
        <f>$E270/4</f>
        <v>7890500000</v>
      </c>
      <c r="R270" s="20">
        <f>$E270/4</f>
        <v>7890500000</v>
      </c>
      <c r="S270" s="20">
        <f>$D270/4</f>
        <v>6893250000</v>
      </c>
      <c r="T270" s="20">
        <f>$D270/4</f>
        <v>6893250000</v>
      </c>
      <c r="U270" s="20">
        <f>$D270/4</f>
        <v>6893250000</v>
      </c>
      <c r="V270" s="20">
        <f>$D270/4</f>
        <v>6893250000</v>
      </c>
      <c r="W270" s="20">
        <v>0</v>
      </c>
      <c r="X270" s="20">
        <v>0</v>
      </c>
      <c r="Y270" s="20">
        <v>0</v>
      </c>
      <c r="Z270" s="20">
        <v>0</v>
      </c>
      <c r="AA270" s="20">
        <v>0</v>
      </c>
      <c r="AB270" s="20">
        <v>0</v>
      </c>
      <c r="AC270" s="20">
        <v>0</v>
      </c>
      <c r="AE270" s="21">
        <f>SUM(J270:AC270)/$G270</f>
        <v>5505150000</v>
      </c>
      <c r="AF270" s="21">
        <f>SUMPRODUCT($J$269:$AC$269,J270:AC270)/$G270</f>
        <v>80432025000</v>
      </c>
      <c r="AG270" s="21">
        <f t="shared" ref="AG270:AG281" si="197">H270-AE270</f>
        <v>5962850000</v>
      </c>
    </row>
    <row r="271" spans="2:33" x14ac:dyDescent="0.2">
      <c r="B271" t="s">
        <v>386</v>
      </c>
      <c r="C271" s="5" t="s">
        <v>103</v>
      </c>
      <c r="D271" s="22">
        <f>$D270</f>
        <v>27573000000</v>
      </c>
      <c r="E271" s="22">
        <f>$E270</f>
        <v>31562000000</v>
      </c>
      <c r="F271" s="22">
        <f>$F270</f>
        <v>39500000000</v>
      </c>
      <c r="G271" s="23">
        <f>$G$270</f>
        <v>20</v>
      </c>
      <c r="H271" s="4">
        <v>10588000000</v>
      </c>
      <c r="J271" s="20">
        <f t="shared" si="196"/>
        <v>10588000000</v>
      </c>
      <c r="K271" s="20">
        <f t="shared" ref="K271:K281" si="198">H270</f>
        <v>11468000000</v>
      </c>
      <c r="L271" s="20">
        <f>$F270/4</f>
        <v>9875000000</v>
      </c>
      <c r="M271" s="20">
        <f>$F270/4</f>
        <v>9875000000</v>
      </c>
      <c r="N271" s="20">
        <f>$F270/4</f>
        <v>9875000000</v>
      </c>
      <c r="O271" s="20">
        <f>$F270/4</f>
        <v>9875000000</v>
      </c>
      <c r="P271" s="20">
        <f>$E270/4</f>
        <v>7890500000</v>
      </c>
      <c r="Q271" s="20">
        <f>$E270/4</f>
        <v>7890500000</v>
      </c>
      <c r="R271" s="20">
        <f>$E270/4</f>
        <v>7890500000</v>
      </c>
      <c r="S271" s="20">
        <f>$E270/4</f>
        <v>7890500000</v>
      </c>
      <c r="T271" s="20">
        <f>$D270/4</f>
        <v>6893250000</v>
      </c>
      <c r="U271" s="20">
        <f>$D270/4</f>
        <v>6893250000</v>
      </c>
      <c r="V271" s="20">
        <f>$D270/4</f>
        <v>6893250000</v>
      </c>
      <c r="W271" s="20">
        <f>$D270/4</f>
        <v>6893250000</v>
      </c>
      <c r="X271" s="20">
        <v>0</v>
      </c>
      <c r="Y271" s="20">
        <v>0</v>
      </c>
      <c r="Z271" s="20">
        <v>0</v>
      </c>
      <c r="AA271" s="20">
        <v>0</v>
      </c>
      <c r="AB271" s="20">
        <v>0</v>
      </c>
      <c r="AC271" s="20">
        <v>0</v>
      </c>
      <c r="AE271" s="21">
        <f t="shared" ref="AE271:AE281" si="199">SUM(J271:AC271)/$G271</f>
        <v>6034550000</v>
      </c>
      <c r="AF271" s="21">
        <f t="shared" ref="AF271:AF281" si="200">SUMPRODUCT($J$269:$AC$269,J271:AC271)/$G271</f>
        <v>85514875000</v>
      </c>
      <c r="AG271" s="21">
        <f t="shared" si="197"/>
        <v>4553450000</v>
      </c>
    </row>
    <row r="272" spans="2:33" x14ac:dyDescent="0.2">
      <c r="B272" t="s">
        <v>386</v>
      </c>
      <c r="C272" s="5" t="s">
        <v>102</v>
      </c>
      <c r="D272" s="22">
        <f>$D270</f>
        <v>27573000000</v>
      </c>
      <c r="E272" s="22">
        <f>$E270</f>
        <v>31562000000</v>
      </c>
      <c r="F272" s="22">
        <f>$F270</f>
        <v>39500000000</v>
      </c>
      <c r="G272" s="23">
        <f t="shared" ref="G272:G281" si="201">$G$270</f>
        <v>20</v>
      </c>
      <c r="H272" s="4">
        <v>11258000000</v>
      </c>
      <c r="J272" s="20">
        <f t="shared" si="196"/>
        <v>11258000000</v>
      </c>
      <c r="K272" s="20">
        <f t="shared" si="198"/>
        <v>10588000000</v>
      </c>
      <c r="L272" s="20">
        <f t="shared" ref="L272:L281" si="202">H270</f>
        <v>11468000000</v>
      </c>
      <c r="M272" s="20">
        <f>$F270/4</f>
        <v>9875000000</v>
      </c>
      <c r="N272" s="20">
        <f>$F270/4</f>
        <v>9875000000</v>
      </c>
      <c r="O272" s="20">
        <f>$F270/4</f>
        <v>9875000000</v>
      </c>
      <c r="P272" s="20">
        <f>$F270/4</f>
        <v>9875000000</v>
      </c>
      <c r="Q272" s="20">
        <f>$E270/4</f>
        <v>7890500000</v>
      </c>
      <c r="R272" s="20">
        <f>$E270/4</f>
        <v>7890500000</v>
      </c>
      <c r="S272" s="20">
        <f>$E270/4</f>
        <v>7890500000</v>
      </c>
      <c r="T272" s="20">
        <f>$E270/4</f>
        <v>7890500000</v>
      </c>
      <c r="U272" s="20">
        <f>$D270/4</f>
        <v>6893250000</v>
      </c>
      <c r="V272" s="20">
        <f>$D270/4</f>
        <v>6893250000</v>
      </c>
      <c r="W272" s="20">
        <f>$D270/4</f>
        <v>6893250000</v>
      </c>
      <c r="X272" s="20">
        <f>$D270/4</f>
        <v>6893250000</v>
      </c>
      <c r="Y272" s="20">
        <v>0</v>
      </c>
      <c r="Z272" s="20">
        <v>0</v>
      </c>
      <c r="AA272" s="20">
        <v>0</v>
      </c>
      <c r="AB272" s="20">
        <v>0</v>
      </c>
      <c r="AC272" s="20">
        <v>0</v>
      </c>
      <c r="AE272" s="21">
        <f t="shared" si="199"/>
        <v>6597450000</v>
      </c>
      <c r="AF272" s="21">
        <f t="shared" si="200"/>
        <v>90738325000</v>
      </c>
      <c r="AG272" s="21">
        <f t="shared" si="197"/>
        <v>4660550000</v>
      </c>
    </row>
    <row r="273" spans="2:33" x14ac:dyDescent="0.2">
      <c r="B273" t="s">
        <v>386</v>
      </c>
      <c r="C273" s="5" t="s">
        <v>101</v>
      </c>
      <c r="D273" s="22">
        <f>$D270</f>
        <v>27573000000</v>
      </c>
      <c r="E273" s="22">
        <f>$E270</f>
        <v>31562000000</v>
      </c>
      <c r="F273" s="22">
        <f>$F270</f>
        <v>39500000000</v>
      </c>
      <c r="G273" s="23">
        <f t="shared" si="201"/>
        <v>20</v>
      </c>
      <c r="H273" s="4">
        <v>12113000000</v>
      </c>
      <c r="J273" s="20">
        <f t="shared" si="196"/>
        <v>12113000000</v>
      </c>
      <c r="K273" s="20">
        <f t="shared" si="198"/>
        <v>11258000000</v>
      </c>
      <c r="L273" s="20">
        <f t="shared" si="202"/>
        <v>10588000000</v>
      </c>
      <c r="M273" s="20">
        <f t="shared" ref="M273:M281" si="203">H270</f>
        <v>11468000000</v>
      </c>
      <c r="N273" s="20">
        <f>$F270/4</f>
        <v>9875000000</v>
      </c>
      <c r="O273" s="20">
        <f>$F270/4</f>
        <v>9875000000</v>
      </c>
      <c r="P273" s="20">
        <f>$F270/4</f>
        <v>9875000000</v>
      </c>
      <c r="Q273" s="20">
        <f>$F270/4</f>
        <v>9875000000</v>
      </c>
      <c r="R273" s="20">
        <f>$E270/4</f>
        <v>7890500000</v>
      </c>
      <c r="S273" s="20">
        <f>$E270/4</f>
        <v>7890500000</v>
      </c>
      <c r="T273" s="20">
        <f>$E270/4</f>
        <v>7890500000</v>
      </c>
      <c r="U273" s="20">
        <f>$E270/4</f>
        <v>7890500000</v>
      </c>
      <c r="V273" s="20">
        <f>$D270/4</f>
        <v>6893250000</v>
      </c>
      <c r="W273" s="20">
        <f>$D270/4</f>
        <v>6893250000</v>
      </c>
      <c r="X273" s="20">
        <f>$D270/4</f>
        <v>6893250000</v>
      </c>
      <c r="Y273" s="20">
        <f>$D270/4</f>
        <v>6893250000</v>
      </c>
      <c r="Z273" s="20">
        <v>0</v>
      </c>
      <c r="AA273" s="20">
        <v>0</v>
      </c>
      <c r="AB273" s="20">
        <v>0</v>
      </c>
      <c r="AC273" s="20">
        <v>0</v>
      </c>
      <c r="AE273" s="21">
        <f t="shared" si="199"/>
        <v>7203100000</v>
      </c>
      <c r="AF273" s="21">
        <f t="shared" si="200"/>
        <v>96253875000</v>
      </c>
      <c r="AG273" s="21">
        <f t="shared" si="197"/>
        <v>4909900000</v>
      </c>
    </row>
    <row r="274" spans="2:33" x14ac:dyDescent="0.2">
      <c r="B274" t="s">
        <v>386</v>
      </c>
      <c r="C274" s="5" t="s">
        <v>100</v>
      </c>
      <c r="D274" s="22">
        <f>$D270</f>
        <v>27573000000</v>
      </c>
      <c r="E274" s="22">
        <f>$E270</f>
        <v>31562000000</v>
      </c>
      <c r="F274" s="22">
        <f>$F270</f>
        <v>39500000000</v>
      </c>
      <c r="G274" s="23">
        <f t="shared" si="201"/>
        <v>20</v>
      </c>
      <c r="H274" s="4">
        <v>11903000000</v>
      </c>
      <c r="J274" s="20">
        <f t="shared" si="196"/>
        <v>11903000000</v>
      </c>
      <c r="K274" s="20">
        <f t="shared" si="198"/>
        <v>12113000000</v>
      </c>
      <c r="L274" s="20">
        <f t="shared" si="202"/>
        <v>11258000000</v>
      </c>
      <c r="M274" s="20">
        <f t="shared" si="203"/>
        <v>10588000000</v>
      </c>
      <c r="N274" s="20">
        <f t="shared" ref="N274:N281" si="204">H270</f>
        <v>11468000000</v>
      </c>
      <c r="O274" s="20">
        <f>$F270/4</f>
        <v>9875000000</v>
      </c>
      <c r="P274" s="20">
        <f>$F270/4</f>
        <v>9875000000</v>
      </c>
      <c r="Q274" s="20">
        <f>$F270/4</f>
        <v>9875000000</v>
      </c>
      <c r="R274" s="20">
        <f>$F270/4</f>
        <v>9875000000</v>
      </c>
      <c r="S274" s="20">
        <f>$E270/4</f>
        <v>7890500000</v>
      </c>
      <c r="T274" s="20">
        <f>$E270/4</f>
        <v>7890500000</v>
      </c>
      <c r="U274" s="20">
        <f>$E270/4</f>
        <v>7890500000</v>
      </c>
      <c r="V274" s="20">
        <f>$E270/4</f>
        <v>7890500000</v>
      </c>
      <c r="W274" s="20">
        <f>$D270/4</f>
        <v>6893250000</v>
      </c>
      <c r="X274" s="20">
        <f>$D270/4</f>
        <v>6893250000</v>
      </c>
      <c r="Y274" s="20">
        <f>$D270/4</f>
        <v>6893250000</v>
      </c>
      <c r="Z274" s="20">
        <f>$D270/4</f>
        <v>6893250000</v>
      </c>
      <c r="AA274" s="20">
        <v>0</v>
      </c>
      <c r="AB274" s="20">
        <v>0</v>
      </c>
      <c r="AC274" s="20">
        <v>0</v>
      </c>
      <c r="AE274" s="21">
        <f t="shared" si="199"/>
        <v>7798250000</v>
      </c>
      <c r="AF274" s="21">
        <f t="shared" si="200"/>
        <v>100953775000</v>
      </c>
      <c r="AG274" s="21">
        <f t="shared" si="197"/>
        <v>4104750000</v>
      </c>
    </row>
    <row r="275" spans="2:33" x14ac:dyDescent="0.2">
      <c r="B275" t="s">
        <v>386</v>
      </c>
      <c r="C275" s="5" t="s">
        <v>99</v>
      </c>
      <c r="D275" s="22">
        <f>$D270</f>
        <v>27573000000</v>
      </c>
      <c r="E275" s="22">
        <f>$E270</f>
        <v>31562000000</v>
      </c>
      <c r="F275" s="22">
        <f>$F270</f>
        <v>39500000000</v>
      </c>
      <c r="G275" s="23">
        <f t="shared" si="201"/>
        <v>20</v>
      </c>
      <c r="H275" s="4">
        <v>11860000000</v>
      </c>
      <c r="J275" s="20">
        <f t="shared" si="196"/>
        <v>11860000000</v>
      </c>
      <c r="K275" s="20">
        <f t="shared" si="198"/>
        <v>11903000000</v>
      </c>
      <c r="L275" s="20">
        <f t="shared" si="202"/>
        <v>12113000000</v>
      </c>
      <c r="M275" s="20">
        <f t="shared" si="203"/>
        <v>11258000000</v>
      </c>
      <c r="N275" s="20">
        <f t="shared" si="204"/>
        <v>10588000000</v>
      </c>
      <c r="O275" s="20">
        <f t="shared" ref="O275:O281" si="205">H270</f>
        <v>11468000000</v>
      </c>
      <c r="P275" s="20">
        <f>$F270/4</f>
        <v>9875000000</v>
      </c>
      <c r="Q275" s="20">
        <f>$F270/4</f>
        <v>9875000000</v>
      </c>
      <c r="R275" s="20">
        <f>$F270/4</f>
        <v>9875000000</v>
      </c>
      <c r="S275" s="20">
        <f>$F270/4</f>
        <v>9875000000</v>
      </c>
      <c r="T275" s="20">
        <f>$E270/4</f>
        <v>7890500000</v>
      </c>
      <c r="U275" s="20">
        <f>$E270/4</f>
        <v>7890500000</v>
      </c>
      <c r="V275" s="20">
        <f>$E270/4</f>
        <v>7890500000</v>
      </c>
      <c r="W275" s="20">
        <f>$E270/4</f>
        <v>7890500000</v>
      </c>
      <c r="X275" s="20">
        <f>$D270/4</f>
        <v>6893250000</v>
      </c>
      <c r="Y275" s="20">
        <f>$D270/4</f>
        <v>6893250000</v>
      </c>
      <c r="Z275" s="20">
        <f>$D270/4</f>
        <v>6893250000</v>
      </c>
      <c r="AA275" s="20">
        <f>$D270/4</f>
        <v>6893250000</v>
      </c>
      <c r="AB275" s="20">
        <v>0</v>
      </c>
      <c r="AC275" s="20">
        <v>0</v>
      </c>
      <c r="AE275" s="21">
        <f t="shared" si="199"/>
        <v>8391250000</v>
      </c>
      <c r="AF275" s="21">
        <f t="shared" si="200"/>
        <v>105015525000</v>
      </c>
      <c r="AG275" s="21">
        <f t="shared" si="197"/>
        <v>3468750000</v>
      </c>
    </row>
    <row r="276" spans="2:33" x14ac:dyDescent="0.2">
      <c r="B276" t="s">
        <v>386</v>
      </c>
      <c r="C276" s="5" t="s">
        <v>98</v>
      </c>
      <c r="D276" s="22">
        <f>$D270</f>
        <v>27573000000</v>
      </c>
      <c r="E276" s="22">
        <f>$E270</f>
        <v>31562000000</v>
      </c>
      <c r="F276" s="22">
        <f>$F270</f>
        <v>39500000000</v>
      </c>
      <c r="G276" s="23">
        <f t="shared" si="201"/>
        <v>20</v>
      </c>
      <c r="H276" s="4">
        <v>12447000000</v>
      </c>
      <c r="J276" s="20">
        <f t="shared" si="196"/>
        <v>12447000000</v>
      </c>
      <c r="K276" s="20">
        <f t="shared" si="198"/>
        <v>11860000000</v>
      </c>
      <c r="L276" s="20">
        <f t="shared" si="202"/>
        <v>11903000000</v>
      </c>
      <c r="M276" s="20">
        <f t="shared" si="203"/>
        <v>12113000000</v>
      </c>
      <c r="N276" s="20">
        <f t="shared" si="204"/>
        <v>11258000000</v>
      </c>
      <c r="O276" s="20">
        <f t="shared" si="205"/>
        <v>10588000000</v>
      </c>
      <c r="P276" s="20">
        <f t="shared" ref="P276:P281" si="206">H270</f>
        <v>11468000000</v>
      </c>
      <c r="Q276" s="20">
        <f>$F270/4</f>
        <v>9875000000</v>
      </c>
      <c r="R276" s="20">
        <f>$F270/4</f>
        <v>9875000000</v>
      </c>
      <c r="S276" s="20">
        <f>$F270/4</f>
        <v>9875000000</v>
      </c>
      <c r="T276" s="20">
        <f>$F270/4</f>
        <v>9875000000</v>
      </c>
      <c r="U276" s="20">
        <f>$E270/4</f>
        <v>7890500000</v>
      </c>
      <c r="V276" s="20">
        <f>$E270/4</f>
        <v>7890500000</v>
      </c>
      <c r="W276" s="20">
        <f>$E270/4</f>
        <v>7890500000</v>
      </c>
      <c r="X276" s="20">
        <f>$E270/4</f>
        <v>7890500000</v>
      </c>
      <c r="Y276" s="20">
        <f>$D270/4</f>
        <v>6893250000</v>
      </c>
      <c r="Z276" s="20">
        <f>$D270/4</f>
        <v>6893250000</v>
      </c>
      <c r="AA276" s="20">
        <f>$D270/4</f>
        <v>6893250000</v>
      </c>
      <c r="AB276" s="20">
        <f>$D270/4</f>
        <v>6893250000</v>
      </c>
      <c r="AC276" s="20">
        <v>0</v>
      </c>
      <c r="AE276" s="21">
        <f t="shared" si="199"/>
        <v>9013600000</v>
      </c>
      <c r="AF276" s="21">
        <f t="shared" si="200"/>
        <v>109071275000</v>
      </c>
      <c r="AG276" s="21">
        <f t="shared" si="197"/>
        <v>3433400000</v>
      </c>
    </row>
    <row r="277" spans="2:33" x14ac:dyDescent="0.2">
      <c r="B277" t="s">
        <v>386</v>
      </c>
      <c r="C277" s="5" t="s">
        <v>97</v>
      </c>
      <c r="D277" s="22">
        <f>$D270</f>
        <v>27573000000</v>
      </c>
      <c r="E277" s="22">
        <f>$E270</f>
        <v>31562000000</v>
      </c>
      <c r="F277" s="22">
        <f>$F270</f>
        <v>39500000000</v>
      </c>
      <c r="G277" s="23">
        <f t="shared" si="201"/>
        <v>20</v>
      </c>
      <c r="H277" s="4">
        <v>13116000000</v>
      </c>
      <c r="J277" s="20">
        <f t="shared" si="196"/>
        <v>13116000000</v>
      </c>
      <c r="K277" s="20">
        <f t="shared" si="198"/>
        <v>12447000000</v>
      </c>
      <c r="L277" s="20">
        <f t="shared" si="202"/>
        <v>11860000000</v>
      </c>
      <c r="M277" s="20">
        <f t="shared" si="203"/>
        <v>11903000000</v>
      </c>
      <c r="N277" s="20">
        <f t="shared" si="204"/>
        <v>12113000000</v>
      </c>
      <c r="O277" s="20">
        <f t="shared" si="205"/>
        <v>11258000000</v>
      </c>
      <c r="P277" s="20">
        <f t="shared" si="206"/>
        <v>10588000000</v>
      </c>
      <c r="Q277" s="20">
        <f>H270</f>
        <v>11468000000</v>
      </c>
      <c r="R277" s="20">
        <f>$F270/4</f>
        <v>9875000000</v>
      </c>
      <c r="S277" s="20">
        <f>$F270/4</f>
        <v>9875000000</v>
      </c>
      <c r="T277" s="20">
        <f>$F270/4</f>
        <v>9875000000</v>
      </c>
      <c r="U277" s="20">
        <f>$F270/4</f>
        <v>9875000000</v>
      </c>
      <c r="V277" s="20">
        <f>$E270/4</f>
        <v>7890500000</v>
      </c>
      <c r="W277" s="20">
        <f>$E270/4</f>
        <v>7890500000</v>
      </c>
      <c r="X277" s="20">
        <f>$E270/4</f>
        <v>7890500000</v>
      </c>
      <c r="Y277" s="20">
        <f>$E270/4</f>
        <v>7890500000</v>
      </c>
      <c r="Z277" s="20">
        <f>$D270/4</f>
        <v>6893250000</v>
      </c>
      <c r="AA277" s="20">
        <f>$D270/4</f>
        <v>6893250000</v>
      </c>
      <c r="AB277" s="20">
        <f>$D270/4</f>
        <v>6893250000</v>
      </c>
      <c r="AC277" s="20">
        <f>$D270/4</f>
        <v>6893250000</v>
      </c>
      <c r="AE277" s="21">
        <f t="shared" si="199"/>
        <v>9669400000</v>
      </c>
      <c r="AF277" s="21">
        <f t="shared" si="200"/>
        <v>113173675000</v>
      </c>
      <c r="AG277" s="21">
        <f t="shared" si="197"/>
        <v>3446600000</v>
      </c>
    </row>
    <row r="278" spans="2:33" x14ac:dyDescent="0.2">
      <c r="B278" t="s">
        <v>386</v>
      </c>
      <c r="C278" s="5" t="s">
        <v>96</v>
      </c>
      <c r="D278" s="22">
        <f>$D270</f>
        <v>27573000000</v>
      </c>
      <c r="E278" s="22">
        <f>$E270</f>
        <v>31562000000</v>
      </c>
      <c r="F278" s="22">
        <f>$F270</f>
        <v>39500000000</v>
      </c>
      <c r="G278" s="23">
        <f t="shared" si="201"/>
        <v>20</v>
      </c>
      <c r="H278" s="4">
        <v>13556000000</v>
      </c>
      <c r="J278" s="20">
        <f t="shared" si="196"/>
        <v>13556000000</v>
      </c>
      <c r="K278" s="20">
        <f t="shared" si="198"/>
        <v>13116000000</v>
      </c>
      <c r="L278" s="20">
        <f t="shared" si="202"/>
        <v>12447000000</v>
      </c>
      <c r="M278" s="20">
        <f t="shared" si="203"/>
        <v>11860000000</v>
      </c>
      <c r="N278" s="20">
        <f t="shared" si="204"/>
        <v>11903000000</v>
      </c>
      <c r="O278" s="20">
        <f t="shared" si="205"/>
        <v>12113000000</v>
      </c>
      <c r="P278" s="20">
        <f t="shared" si="206"/>
        <v>11258000000</v>
      </c>
      <c r="Q278" s="20">
        <f>H271</f>
        <v>10588000000</v>
      </c>
      <c r="R278" s="20">
        <f>H270</f>
        <v>11468000000</v>
      </c>
      <c r="S278" s="20">
        <f>$F270/4</f>
        <v>9875000000</v>
      </c>
      <c r="T278" s="20">
        <f>$F270/4</f>
        <v>9875000000</v>
      </c>
      <c r="U278" s="20">
        <f>$F270/4</f>
        <v>9875000000</v>
      </c>
      <c r="V278" s="20">
        <f>$F270/4</f>
        <v>9875000000</v>
      </c>
      <c r="W278" s="20">
        <f>$E270/4</f>
        <v>7890500000</v>
      </c>
      <c r="X278" s="20">
        <f>$E270/4</f>
        <v>7890500000</v>
      </c>
      <c r="Y278" s="20">
        <f>$E270/4</f>
        <v>7890500000</v>
      </c>
      <c r="Z278" s="20">
        <f>$E270/4</f>
        <v>7890500000</v>
      </c>
      <c r="AA278" s="20">
        <f>$D270/4</f>
        <v>6893250000</v>
      </c>
      <c r="AB278" s="20">
        <f>$D270/4</f>
        <v>6893250000</v>
      </c>
      <c r="AC278" s="20">
        <f>$D270/4</f>
        <v>6893250000</v>
      </c>
      <c r="AE278" s="21">
        <f t="shared" si="199"/>
        <v>10002537500</v>
      </c>
      <c r="AF278" s="21">
        <f t="shared" si="200"/>
        <v>117060275000</v>
      </c>
      <c r="AG278" s="21">
        <f t="shared" si="197"/>
        <v>3553462500</v>
      </c>
    </row>
    <row r="279" spans="2:33" x14ac:dyDescent="0.2">
      <c r="B279" t="s">
        <v>386</v>
      </c>
      <c r="C279" s="5" t="s">
        <v>95</v>
      </c>
      <c r="D279" s="22">
        <f>$D270</f>
        <v>27573000000</v>
      </c>
      <c r="E279" s="22">
        <f>$E270</f>
        <v>31562000000</v>
      </c>
      <c r="F279" s="22">
        <f>$F270</f>
        <v>39500000000</v>
      </c>
      <c r="G279" s="23">
        <f t="shared" si="201"/>
        <v>20</v>
      </c>
      <c r="H279" s="4">
        <v>13808000000</v>
      </c>
      <c r="J279" s="20">
        <f t="shared" si="196"/>
        <v>13808000000</v>
      </c>
      <c r="K279" s="20">
        <f t="shared" si="198"/>
        <v>13556000000</v>
      </c>
      <c r="L279" s="20">
        <f t="shared" si="202"/>
        <v>13116000000</v>
      </c>
      <c r="M279" s="20">
        <f t="shared" si="203"/>
        <v>12447000000</v>
      </c>
      <c r="N279" s="20">
        <f t="shared" si="204"/>
        <v>11860000000</v>
      </c>
      <c r="O279" s="20">
        <f t="shared" si="205"/>
        <v>11903000000</v>
      </c>
      <c r="P279" s="20">
        <f t="shared" si="206"/>
        <v>12113000000</v>
      </c>
      <c r="Q279" s="20">
        <f>H272</f>
        <v>11258000000</v>
      </c>
      <c r="R279" s="20">
        <f>H271</f>
        <v>10588000000</v>
      </c>
      <c r="S279" s="20">
        <f>H270</f>
        <v>11468000000</v>
      </c>
      <c r="T279" s="20">
        <f>$F270/4</f>
        <v>9875000000</v>
      </c>
      <c r="U279" s="20">
        <f>$F270/4</f>
        <v>9875000000</v>
      </c>
      <c r="V279" s="20">
        <f>$F270/4</f>
        <v>9875000000</v>
      </c>
      <c r="W279" s="20">
        <f>$F270/4</f>
        <v>9875000000</v>
      </c>
      <c r="X279" s="20">
        <f>$E270/4</f>
        <v>7890500000</v>
      </c>
      <c r="Y279" s="20">
        <f>$E270/4</f>
        <v>7890500000</v>
      </c>
      <c r="Z279" s="20">
        <f>$E270/4</f>
        <v>7890500000</v>
      </c>
      <c r="AA279" s="20">
        <f>$E270/4</f>
        <v>7890500000</v>
      </c>
      <c r="AB279" s="20">
        <f>$D270/4</f>
        <v>6893250000</v>
      </c>
      <c r="AC279" s="20">
        <f>$D270/4</f>
        <v>6893250000</v>
      </c>
      <c r="AE279" s="21">
        <f t="shared" si="199"/>
        <v>10348275000</v>
      </c>
      <c r="AF279" s="21">
        <f t="shared" si="200"/>
        <v>120865737500</v>
      </c>
      <c r="AG279" s="21">
        <f t="shared" si="197"/>
        <v>3459725000</v>
      </c>
    </row>
    <row r="280" spans="2:33" x14ac:dyDescent="0.2">
      <c r="B280" t="s">
        <v>386</v>
      </c>
      <c r="C280" s="5" t="s">
        <v>94</v>
      </c>
      <c r="D280" s="22">
        <f>$D270</f>
        <v>27573000000</v>
      </c>
      <c r="E280" s="22">
        <f>$E270</f>
        <v>31562000000</v>
      </c>
      <c r="F280" s="22">
        <f>$F270</f>
        <v>39500000000</v>
      </c>
      <c r="G280" s="23">
        <f t="shared" si="201"/>
        <v>20</v>
      </c>
      <c r="H280" s="4">
        <v>15151000000</v>
      </c>
      <c r="J280" s="20">
        <f t="shared" si="196"/>
        <v>15151000000</v>
      </c>
      <c r="K280" s="20">
        <f t="shared" si="198"/>
        <v>13808000000</v>
      </c>
      <c r="L280" s="20">
        <f t="shared" si="202"/>
        <v>13556000000</v>
      </c>
      <c r="M280" s="20">
        <f t="shared" si="203"/>
        <v>13116000000</v>
      </c>
      <c r="N280" s="20">
        <f t="shared" si="204"/>
        <v>12447000000</v>
      </c>
      <c r="O280" s="20">
        <f t="shared" si="205"/>
        <v>11860000000</v>
      </c>
      <c r="P280" s="20">
        <f t="shared" si="206"/>
        <v>11903000000</v>
      </c>
      <c r="Q280" s="20">
        <f>H273</f>
        <v>12113000000</v>
      </c>
      <c r="R280" s="20">
        <f>H272</f>
        <v>11258000000</v>
      </c>
      <c r="S280" s="20">
        <f>H271</f>
        <v>10588000000</v>
      </c>
      <c r="T280" s="20">
        <f>H270</f>
        <v>11468000000</v>
      </c>
      <c r="U280" s="20">
        <f>$F270/4</f>
        <v>9875000000</v>
      </c>
      <c r="V280" s="20">
        <f>$F270/4</f>
        <v>9875000000</v>
      </c>
      <c r="W280" s="20">
        <f>$F270/4</f>
        <v>9875000000</v>
      </c>
      <c r="X280" s="20">
        <f>$F270/4</f>
        <v>9875000000</v>
      </c>
      <c r="Y280" s="20">
        <f>$E270/4</f>
        <v>7890500000</v>
      </c>
      <c r="Z280" s="20">
        <f>$E270/4</f>
        <v>7890500000</v>
      </c>
      <c r="AA280" s="20">
        <f>$E270/4</f>
        <v>7890500000</v>
      </c>
      <c r="AB280" s="20">
        <f>$E270/4</f>
        <v>7890500000</v>
      </c>
      <c r="AC280" s="20">
        <f>$D270/4</f>
        <v>6893250000</v>
      </c>
      <c r="AE280" s="21">
        <f t="shared" si="199"/>
        <v>10761162500</v>
      </c>
      <c r="AF280" s="21">
        <f t="shared" si="200"/>
        <v>125668462500</v>
      </c>
      <c r="AG280" s="21">
        <f t="shared" si="197"/>
        <v>4389837500</v>
      </c>
    </row>
    <row r="281" spans="2:33" x14ac:dyDescent="0.2">
      <c r="B281" t="s">
        <v>386</v>
      </c>
      <c r="C281" s="5" t="s">
        <v>93</v>
      </c>
      <c r="D281" s="22">
        <f>$D270</f>
        <v>27573000000</v>
      </c>
      <c r="E281" s="22">
        <f>$E270</f>
        <v>31562000000</v>
      </c>
      <c r="F281" s="22">
        <f>$F270</f>
        <v>39500000000</v>
      </c>
      <c r="G281" s="23">
        <f t="shared" si="201"/>
        <v>20</v>
      </c>
      <c r="H281" s="4">
        <v>18572000000</v>
      </c>
      <c r="J281" s="20">
        <f t="shared" si="196"/>
        <v>18572000000</v>
      </c>
      <c r="K281" s="20">
        <f t="shared" si="198"/>
        <v>15151000000</v>
      </c>
      <c r="L281" s="20">
        <f t="shared" si="202"/>
        <v>13808000000</v>
      </c>
      <c r="M281" s="20">
        <f t="shared" si="203"/>
        <v>13556000000</v>
      </c>
      <c r="N281" s="20">
        <f t="shared" si="204"/>
        <v>13116000000</v>
      </c>
      <c r="O281" s="20">
        <f t="shared" si="205"/>
        <v>12447000000</v>
      </c>
      <c r="P281" s="20">
        <f t="shared" si="206"/>
        <v>11860000000</v>
      </c>
      <c r="Q281" s="20">
        <f>H274</f>
        <v>11903000000</v>
      </c>
      <c r="R281" s="20">
        <f>H273</f>
        <v>12113000000</v>
      </c>
      <c r="S281" s="20">
        <f>H272</f>
        <v>11258000000</v>
      </c>
      <c r="T281" s="20">
        <f>H271</f>
        <v>10588000000</v>
      </c>
      <c r="U281" s="20">
        <f>H270</f>
        <v>11468000000</v>
      </c>
      <c r="V281" s="20">
        <f>$F270/4</f>
        <v>9875000000</v>
      </c>
      <c r="W281" s="20">
        <f>$F270/4</f>
        <v>9875000000</v>
      </c>
      <c r="X281" s="20">
        <f>$F270/4</f>
        <v>9875000000</v>
      </c>
      <c r="Y281" s="20">
        <f>$F270/4</f>
        <v>9875000000</v>
      </c>
      <c r="Z281" s="20">
        <f>$E270/4</f>
        <v>7890500000</v>
      </c>
      <c r="AA281" s="20">
        <f>$E270/4</f>
        <v>7890500000</v>
      </c>
      <c r="AB281" s="20">
        <f>$E270/4</f>
        <v>7890500000</v>
      </c>
      <c r="AC281" s="20">
        <f>$E270/4</f>
        <v>7890500000</v>
      </c>
      <c r="AE281" s="21">
        <f t="shared" si="199"/>
        <v>11345100000</v>
      </c>
      <c r="AF281" s="21">
        <f t="shared" si="200"/>
        <v>133479300000</v>
      </c>
      <c r="AG281" s="21">
        <f t="shared" si="197"/>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2026-04-13T10:22:24Z</dcterms:modified>
</cp:coreProperties>
</file>