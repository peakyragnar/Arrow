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B1311E00-9B4E-084E-9294-F6A2D706866F}" xr6:coauthVersionLast="47" xr6:coauthVersionMax="47" xr10:uidLastSave="{00000000-0000-0000-0000-000000000000}"/>
  <bookViews>
    <workbookView xWindow="3260" yWindow="840" windowWidth="33400" windowHeight="187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Z36" i="1" l="1"/>
  <c r="BB35" i="1"/>
  <c r="BB34" i="1"/>
  <c r="BB33" i="1"/>
  <c r="BA33" i="1"/>
  <c r="BA34" i="1"/>
  <c r="BA35" i="1"/>
  <c r="AZ35" i="1"/>
  <c r="AZ34" i="1"/>
  <c r="BC28" i="1"/>
  <c r="I73" i="2"/>
  <c r="AC73" i="2" s="1"/>
  <c r="G73" i="2"/>
  <c r="F73" i="2"/>
  <c r="E73" i="2"/>
  <c r="D73" i="2"/>
  <c r="I72" i="2"/>
  <c r="AB72" i="2" s="1"/>
  <c r="AC72" i="2" s="1"/>
  <c r="G72" i="2"/>
  <c r="F72" i="2"/>
  <c r="E72" i="2"/>
  <c r="D72" i="2"/>
  <c r="AA71" i="2"/>
  <c r="AB71" i="2" s="1"/>
  <c r="AC71" i="2" s="1"/>
  <c r="I71" i="2"/>
  <c r="G71" i="2"/>
  <c r="F71" i="2"/>
  <c r="E71" i="2"/>
  <c r="D71" i="2"/>
  <c r="I70" i="2"/>
  <c r="Z70" i="2" s="1"/>
  <c r="AA70" i="2" s="1"/>
  <c r="AB70" i="2" s="1"/>
  <c r="AC70" i="2" s="1"/>
  <c r="G70" i="2"/>
  <c r="F70" i="2"/>
  <c r="E70" i="2"/>
  <c r="D70" i="2"/>
  <c r="I69" i="2"/>
  <c r="Y69" i="2" s="1"/>
  <c r="Z69" i="2" s="1"/>
  <c r="AA69" i="2" s="1"/>
  <c r="AB69" i="2" s="1"/>
  <c r="AC69" i="2" s="1"/>
  <c r="G69" i="2"/>
  <c r="F69" i="2"/>
  <c r="E69" i="2"/>
  <c r="D69" i="2"/>
  <c r="I68" i="2"/>
  <c r="X68" i="2" s="1"/>
  <c r="Y68" i="2" s="1"/>
  <c r="Z68" i="2" s="1"/>
  <c r="AA68" i="2" s="1"/>
  <c r="AB68" i="2" s="1"/>
  <c r="AC68" i="2" s="1"/>
  <c r="G68" i="2"/>
  <c r="F68" i="2"/>
  <c r="E68" i="2"/>
  <c r="D68" i="2"/>
  <c r="I67" i="2"/>
  <c r="W67" i="2" s="1"/>
  <c r="X67" i="2" s="1"/>
  <c r="Y67" i="2" s="1"/>
  <c r="Z67" i="2" s="1"/>
  <c r="AA67" i="2" s="1"/>
  <c r="AB67" i="2" s="1"/>
  <c r="AC67" i="2" s="1"/>
  <c r="G67" i="2"/>
  <c r="F67" i="2"/>
  <c r="E67" i="2"/>
  <c r="D67" i="2"/>
  <c r="I66" i="2"/>
  <c r="G66" i="2"/>
  <c r="F66" i="2"/>
  <c r="E66" i="2"/>
  <c r="D66" i="2"/>
  <c r="I65" i="2"/>
  <c r="U65" i="2" s="1"/>
  <c r="V65" i="2" s="1"/>
  <c r="W65" i="2" s="1"/>
  <c r="X65" i="2" s="1"/>
  <c r="Y65" i="2" s="1"/>
  <c r="Z65" i="2" s="1"/>
  <c r="AA65" i="2" s="1"/>
  <c r="AB65" i="2" s="1"/>
  <c r="AC65" i="2" s="1"/>
  <c r="G65" i="2"/>
  <c r="F65" i="2"/>
  <c r="E65" i="2"/>
  <c r="D65" i="2"/>
  <c r="I64" i="2"/>
  <c r="T64" i="2" s="1"/>
  <c r="U64" i="2" s="1"/>
  <c r="V64" i="2" s="1"/>
  <c r="W64" i="2" s="1"/>
  <c r="X64" i="2" s="1"/>
  <c r="Y64" i="2" s="1"/>
  <c r="Z64" i="2" s="1"/>
  <c r="AA64" i="2" s="1"/>
  <c r="AB64" i="2" s="1"/>
  <c r="AC64" i="2" s="1"/>
  <c r="G64" i="2"/>
  <c r="F64" i="2"/>
  <c r="E64" i="2"/>
  <c r="D64" i="2"/>
  <c r="I63" i="2"/>
  <c r="S63" i="2" s="1"/>
  <c r="T63" i="2" s="1"/>
  <c r="U63" i="2" s="1"/>
  <c r="V63" i="2" s="1"/>
  <c r="W63" i="2" s="1"/>
  <c r="X63" i="2" s="1"/>
  <c r="Y63" i="2" s="1"/>
  <c r="Z63" i="2" s="1"/>
  <c r="AA63" i="2" s="1"/>
  <c r="AB63" i="2" s="1"/>
  <c r="AC63" i="2" s="1"/>
  <c r="G63" i="2"/>
  <c r="F63" i="2"/>
  <c r="E63" i="2"/>
  <c r="D63" i="2"/>
  <c r="I62" i="2"/>
  <c r="R62" i="2" s="1"/>
  <c r="S62" i="2" s="1"/>
  <c r="T62" i="2" s="1"/>
  <c r="U62" i="2" s="1"/>
  <c r="V62" i="2" s="1"/>
  <c r="W62" i="2" s="1"/>
  <c r="X62" i="2" s="1"/>
  <c r="Y62" i="2" s="1"/>
  <c r="Z62" i="2" s="1"/>
  <c r="AA62" i="2" s="1"/>
  <c r="AB62" i="2" s="1"/>
  <c r="AC62" i="2" s="1"/>
  <c r="I61" i="2"/>
  <c r="Q61" i="2" s="1"/>
  <c r="R61" i="2" s="1"/>
  <c r="S61" i="2" s="1"/>
  <c r="T61" i="2" s="1"/>
  <c r="U61" i="2" s="1"/>
  <c r="V61" i="2" s="1"/>
  <c r="W61" i="2" s="1"/>
  <c r="X61" i="2" s="1"/>
  <c r="Y61" i="2" s="1"/>
  <c r="Z61" i="2" s="1"/>
  <c r="AA61" i="2" s="1"/>
  <c r="AB61" i="2" s="1"/>
  <c r="AC61" i="2" s="1"/>
  <c r="G61" i="2"/>
  <c r="I60" i="2"/>
  <c r="P60" i="2" s="1"/>
  <c r="Q60" i="2" s="1"/>
  <c r="R60" i="2" s="1"/>
  <c r="S60" i="2" s="1"/>
  <c r="T60" i="2" s="1"/>
  <c r="U60" i="2" s="1"/>
  <c r="V60" i="2" s="1"/>
  <c r="W60" i="2" s="1"/>
  <c r="X60" i="2" s="1"/>
  <c r="Y60" i="2" s="1"/>
  <c r="Z60" i="2" s="1"/>
  <c r="AA60" i="2" s="1"/>
  <c r="AB60" i="2" s="1"/>
  <c r="AC60" i="2" s="1"/>
  <c r="G60" i="2"/>
  <c r="I59" i="2"/>
  <c r="G59" i="2"/>
  <c r="I58" i="2"/>
  <c r="G58" i="2"/>
  <c r="I57" i="2"/>
  <c r="M57" i="2" s="1"/>
  <c r="N57" i="2" s="1"/>
  <c r="O57" i="2" s="1"/>
  <c r="P57" i="2" s="1"/>
  <c r="Q57" i="2" s="1"/>
  <c r="R57" i="2" s="1"/>
  <c r="S57" i="2" s="1"/>
  <c r="T57" i="2" s="1"/>
  <c r="U57" i="2" s="1"/>
  <c r="V57" i="2" s="1"/>
  <c r="W57" i="2" s="1"/>
  <c r="X57" i="2" s="1"/>
  <c r="Y57" i="2" s="1"/>
  <c r="Z57" i="2" s="1"/>
  <c r="AA57" i="2" s="1"/>
  <c r="AB57" i="2" s="1"/>
  <c r="AC57" i="2" s="1"/>
  <c r="G57" i="2"/>
  <c r="I56" i="2"/>
  <c r="L56" i="2" s="1"/>
  <c r="M56" i="2" s="1"/>
  <c r="N56" i="2" s="1"/>
  <c r="O56" i="2" s="1"/>
  <c r="P56" i="2" s="1"/>
  <c r="Q56" i="2" s="1"/>
  <c r="R56" i="2" s="1"/>
  <c r="S56" i="2" s="1"/>
  <c r="T56" i="2" s="1"/>
  <c r="U56" i="2" s="1"/>
  <c r="V56" i="2" s="1"/>
  <c r="W56" i="2" s="1"/>
  <c r="X56" i="2" s="1"/>
  <c r="Y56" i="2" s="1"/>
  <c r="Z56" i="2" s="1"/>
  <c r="AA56" i="2" s="1"/>
  <c r="AB56" i="2" s="1"/>
  <c r="AC56" i="2" s="1"/>
  <c r="G56" i="2"/>
  <c r="N55" i="2"/>
  <c r="O55" i="2" s="1"/>
  <c r="P55" i="2" s="1"/>
  <c r="Q55" i="2" s="1"/>
  <c r="R55" i="2" s="1"/>
  <c r="S55" i="2" s="1"/>
  <c r="T55" i="2" s="1"/>
  <c r="U55" i="2" s="1"/>
  <c r="V55" i="2" s="1"/>
  <c r="W55" i="2" s="1"/>
  <c r="X55" i="2" s="1"/>
  <c r="Y55" i="2" s="1"/>
  <c r="Z55" i="2" s="1"/>
  <c r="AA55" i="2" s="1"/>
  <c r="AB55" i="2" s="1"/>
  <c r="AC55" i="2" s="1"/>
  <c r="I55" i="2"/>
  <c r="K55" i="2" s="1"/>
  <c r="L55" i="2" s="1"/>
  <c r="M55" i="2" s="1"/>
  <c r="G55" i="2"/>
  <c r="I54" i="2"/>
  <c r="G54" i="2"/>
  <c r="AE67" i="2" l="1"/>
  <c r="AG67" i="2" s="1"/>
  <c r="AE62" i="2"/>
  <c r="AG62" i="2" s="1"/>
  <c r="AE54" i="2"/>
  <c r="AG54" i="2" s="1"/>
  <c r="AE63" i="2"/>
  <c r="AG63" i="2" s="1"/>
  <c r="AE55" i="2"/>
  <c r="AG55" i="2" s="1"/>
  <c r="AE60" i="2"/>
  <c r="AG60" i="2" s="1"/>
  <c r="AE56" i="2"/>
  <c r="AG56" i="2" s="1"/>
  <c r="AE57" i="2"/>
  <c r="AG57" i="2" s="1"/>
  <c r="AE72" i="2"/>
  <c r="AG72" i="2" s="1"/>
  <c r="V66" i="2"/>
  <c r="W66" i="2" s="1"/>
  <c r="X66" i="2" s="1"/>
  <c r="Y66" i="2" s="1"/>
  <c r="Z66" i="2" s="1"/>
  <c r="AA66" i="2" s="1"/>
  <c r="AB66" i="2" s="1"/>
  <c r="AC66" i="2" s="1"/>
  <c r="O59" i="2"/>
  <c r="P59" i="2" s="1"/>
  <c r="Q59" i="2" s="1"/>
  <c r="R59" i="2" s="1"/>
  <c r="S59" i="2" s="1"/>
  <c r="T59" i="2" s="1"/>
  <c r="U59" i="2" s="1"/>
  <c r="V59" i="2" s="1"/>
  <c r="W59" i="2" s="1"/>
  <c r="X59" i="2" s="1"/>
  <c r="Y59" i="2" s="1"/>
  <c r="Z59" i="2" s="1"/>
  <c r="AA59" i="2" s="1"/>
  <c r="AB59" i="2" s="1"/>
  <c r="AC59" i="2" s="1"/>
  <c r="AE71" i="2"/>
  <c r="AG71" i="2" s="1"/>
  <c r="AE68" i="2"/>
  <c r="AG68" i="2" s="1"/>
  <c r="AE69" i="2"/>
  <c r="AG69" i="2" s="1"/>
  <c r="AE70" i="2"/>
  <c r="AG70" i="2" s="1"/>
  <c r="AE64" i="2"/>
  <c r="AG64" i="2" s="1"/>
  <c r="AE59" i="2"/>
  <c r="AG59" i="2" s="1"/>
  <c r="AE66" i="2"/>
  <c r="AG66" i="2" s="1"/>
  <c r="AE73" i="2"/>
  <c r="AG73" i="2" s="1"/>
  <c r="N58" i="2"/>
  <c r="O58" i="2" s="1"/>
  <c r="P58" i="2" s="1"/>
  <c r="Q58" i="2" s="1"/>
  <c r="R58" i="2" s="1"/>
  <c r="S58" i="2" s="1"/>
  <c r="T58" i="2" s="1"/>
  <c r="U58" i="2" s="1"/>
  <c r="V58" i="2" s="1"/>
  <c r="W58" i="2" s="1"/>
  <c r="X58" i="2" s="1"/>
  <c r="Y58" i="2" s="1"/>
  <c r="Z58" i="2" s="1"/>
  <c r="AA58" i="2" s="1"/>
  <c r="AB58" i="2" s="1"/>
  <c r="AC58" i="2" s="1"/>
  <c r="AE58" i="2"/>
  <c r="AG58" i="2" s="1"/>
  <c r="AE65" i="2"/>
  <c r="AG65" i="2" s="1"/>
  <c r="AE61" i="2"/>
  <c r="AG61" i="2" s="1"/>
  <c r="J54" i="2"/>
  <c r="I48" i="2"/>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I37" i="2"/>
  <c r="R37" i="2" s="1"/>
  <c r="S37" i="2" s="1"/>
  <c r="T37" i="2" s="1"/>
  <c r="U37" i="2" s="1"/>
  <c r="V37" i="2" s="1"/>
  <c r="W37" i="2" s="1"/>
  <c r="X37" i="2" s="1"/>
  <c r="Y37" i="2" s="1"/>
  <c r="Z37" i="2" s="1"/>
  <c r="AA37" i="2" s="1"/>
  <c r="AB37" i="2" s="1"/>
  <c r="AC37" i="2" s="1"/>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55" i="2"/>
  <c r="AC155" i="2" s="1"/>
  <c r="G155" i="2"/>
  <c r="F155" i="2"/>
  <c r="E155" i="2"/>
  <c r="D155" i="2"/>
  <c r="I154" i="2"/>
  <c r="AB154" i="2" s="1"/>
  <c r="AC154" i="2" s="1"/>
  <c r="G154" i="2"/>
  <c r="F154" i="2"/>
  <c r="E154" i="2"/>
  <c r="D154" i="2"/>
  <c r="I153" i="2"/>
  <c r="AA153" i="2" s="1"/>
  <c r="AB153" i="2" s="1"/>
  <c r="AC153" i="2" s="1"/>
  <c r="G153" i="2"/>
  <c r="F153" i="2"/>
  <c r="E153" i="2"/>
  <c r="D153" i="2"/>
  <c r="I152" i="2"/>
  <c r="Z152" i="2" s="1"/>
  <c r="AA152" i="2" s="1"/>
  <c r="AB152" i="2" s="1"/>
  <c r="AC152" i="2" s="1"/>
  <c r="G152" i="2"/>
  <c r="F152" i="2"/>
  <c r="E152" i="2"/>
  <c r="D152" i="2"/>
  <c r="I151" i="2"/>
  <c r="Y151" i="2" s="1"/>
  <c r="Z151" i="2" s="1"/>
  <c r="AA151" i="2" s="1"/>
  <c r="AB151" i="2" s="1"/>
  <c r="AC151" i="2" s="1"/>
  <c r="G151" i="2"/>
  <c r="F151" i="2"/>
  <c r="E151" i="2"/>
  <c r="D151" i="2"/>
  <c r="I150" i="2"/>
  <c r="X150" i="2" s="1"/>
  <c r="Y150" i="2" s="1"/>
  <c r="Z150" i="2" s="1"/>
  <c r="AA150" i="2" s="1"/>
  <c r="AB150" i="2" s="1"/>
  <c r="AC150" i="2" s="1"/>
  <c r="G150" i="2"/>
  <c r="F150" i="2"/>
  <c r="E150" i="2"/>
  <c r="D150" i="2"/>
  <c r="I149" i="2"/>
  <c r="W149" i="2" s="1"/>
  <c r="X149" i="2" s="1"/>
  <c r="Y149" i="2" s="1"/>
  <c r="Z149" i="2" s="1"/>
  <c r="AA149" i="2" s="1"/>
  <c r="AB149" i="2" s="1"/>
  <c r="AC149" i="2" s="1"/>
  <c r="G149" i="2"/>
  <c r="F149" i="2"/>
  <c r="E149" i="2"/>
  <c r="D149" i="2"/>
  <c r="I148" i="2"/>
  <c r="V148" i="2" s="1"/>
  <c r="W148" i="2" s="1"/>
  <c r="X148" i="2" s="1"/>
  <c r="Y148" i="2" s="1"/>
  <c r="Z148" i="2" s="1"/>
  <c r="AA148" i="2" s="1"/>
  <c r="AB148" i="2" s="1"/>
  <c r="AC148" i="2" s="1"/>
  <c r="G148" i="2"/>
  <c r="F148" i="2"/>
  <c r="E148" i="2"/>
  <c r="D148" i="2"/>
  <c r="I147" i="2"/>
  <c r="U147" i="2" s="1"/>
  <c r="V147" i="2" s="1"/>
  <c r="W147" i="2" s="1"/>
  <c r="X147" i="2" s="1"/>
  <c r="Y147" i="2" s="1"/>
  <c r="Z147" i="2" s="1"/>
  <c r="AA147" i="2" s="1"/>
  <c r="AB147" i="2" s="1"/>
  <c r="AC147" i="2" s="1"/>
  <c r="G147" i="2"/>
  <c r="F147" i="2"/>
  <c r="E147" i="2"/>
  <c r="D147" i="2"/>
  <c r="I146" i="2"/>
  <c r="T146" i="2" s="1"/>
  <c r="U146" i="2" s="1"/>
  <c r="V146" i="2" s="1"/>
  <c r="W146" i="2" s="1"/>
  <c r="X146" i="2" s="1"/>
  <c r="Y146" i="2" s="1"/>
  <c r="Z146" i="2" s="1"/>
  <c r="AA146" i="2" s="1"/>
  <c r="AB146" i="2" s="1"/>
  <c r="AC146" i="2" s="1"/>
  <c r="G146" i="2"/>
  <c r="F146" i="2"/>
  <c r="E146" i="2"/>
  <c r="D146" i="2"/>
  <c r="I145" i="2"/>
  <c r="S145" i="2" s="1"/>
  <c r="T145" i="2" s="1"/>
  <c r="U145" i="2" s="1"/>
  <c r="V145" i="2" s="1"/>
  <c r="W145" i="2" s="1"/>
  <c r="X145" i="2" s="1"/>
  <c r="Y145" i="2" s="1"/>
  <c r="Z145" i="2" s="1"/>
  <c r="AA145" i="2" s="1"/>
  <c r="AB145" i="2" s="1"/>
  <c r="AC145" i="2" s="1"/>
  <c r="G145" i="2"/>
  <c r="F145" i="2"/>
  <c r="E145" i="2"/>
  <c r="D145" i="2"/>
  <c r="I144" i="2"/>
  <c r="R144" i="2" s="1"/>
  <c r="S144" i="2" s="1"/>
  <c r="T144" i="2" s="1"/>
  <c r="U144" i="2" s="1"/>
  <c r="V144" i="2" s="1"/>
  <c r="W144" i="2" s="1"/>
  <c r="X144" i="2" s="1"/>
  <c r="Y144" i="2" s="1"/>
  <c r="Z144" i="2" s="1"/>
  <c r="AA144" i="2" s="1"/>
  <c r="AB144" i="2" s="1"/>
  <c r="AC144" i="2" s="1"/>
  <c r="I143" i="2"/>
  <c r="Q143" i="2" s="1"/>
  <c r="R143" i="2" s="1"/>
  <c r="S143" i="2" s="1"/>
  <c r="T143" i="2" s="1"/>
  <c r="U143" i="2" s="1"/>
  <c r="V143" i="2" s="1"/>
  <c r="W143" i="2" s="1"/>
  <c r="X143" i="2" s="1"/>
  <c r="Y143" i="2" s="1"/>
  <c r="Z143" i="2" s="1"/>
  <c r="AA143" i="2" s="1"/>
  <c r="AB143" i="2" s="1"/>
  <c r="AC143" i="2" s="1"/>
  <c r="G143" i="2"/>
  <c r="I142" i="2"/>
  <c r="P142" i="2" s="1"/>
  <c r="Q142" i="2" s="1"/>
  <c r="R142" i="2" s="1"/>
  <c r="S142" i="2" s="1"/>
  <c r="T142" i="2" s="1"/>
  <c r="U142" i="2" s="1"/>
  <c r="V142" i="2" s="1"/>
  <c r="W142" i="2" s="1"/>
  <c r="X142" i="2" s="1"/>
  <c r="Y142" i="2" s="1"/>
  <c r="Z142" i="2" s="1"/>
  <c r="AA142" i="2" s="1"/>
  <c r="AB142" i="2" s="1"/>
  <c r="AC142" i="2" s="1"/>
  <c r="G142" i="2"/>
  <c r="I141" i="2"/>
  <c r="O141" i="2" s="1"/>
  <c r="P141" i="2" s="1"/>
  <c r="Q141" i="2" s="1"/>
  <c r="R141" i="2" s="1"/>
  <c r="S141" i="2" s="1"/>
  <c r="T141" i="2" s="1"/>
  <c r="U141" i="2" s="1"/>
  <c r="V141" i="2" s="1"/>
  <c r="W141" i="2" s="1"/>
  <c r="X141" i="2" s="1"/>
  <c r="Y141" i="2" s="1"/>
  <c r="Z141" i="2" s="1"/>
  <c r="AA141" i="2" s="1"/>
  <c r="AB141" i="2" s="1"/>
  <c r="AC141" i="2" s="1"/>
  <c r="G141" i="2"/>
  <c r="I140" i="2"/>
  <c r="G140" i="2"/>
  <c r="I139" i="2"/>
  <c r="M139" i="2" s="1"/>
  <c r="N139" i="2" s="1"/>
  <c r="O139" i="2" s="1"/>
  <c r="P139" i="2" s="1"/>
  <c r="Q139" i="2" s="1"/>
  <c r="R139" i="2" s="1"/>
  <c r="S139" i="2" s="1"/>
  <c r="T139" i="2" s="1"/>
  <c r="U139" i="2" s="1"/>
  <c r="V139" i="2" s="1"/>
  <c r="W139" i="2" s="1"/>
  <c r="X139" i="2" s="1"/>
  <c r="Y139" i="2" s="1"/>
  <c r="Z139" i="2" s="1"/>
  <c r="AA139" i="2" s="1"/>
  <c r="AB139" i="2" s="1"/>
  <c r="AC139" i="2" s="1"/>
  <c r="G139" i="2"/>
  <c r="I138" i="2"/>
  <c r="L138" i="2" s="1"/>
  <c r="M138" i="2" s="1"/>
  <c r="N138" i="2" s="1"/>
  <c r="O138" i="2" s="1"/>
  <c r="P138" i="2" s="1"/>
  <c r="Q138" i="2" s="1"/>
  <c r="R138" i="2" s="1"/>
  <c r="S138" i="2" s="1"/>
  <c r="T138" i="2" s="1"/>
  <c r="U138" i="2" s="1"/>
  <c r="V138" i="2" s="1"/>
  <c r="W138" i="2" s="1"/>
  <c r="X138" i="2" s="1"/>
  <c r="Y138" i="2" s="1"/>
  <c r="Z138" i="2" s="1"/>
  <c r="AA138" i="2" s="1"/>
  <c r="AB138" i="2" s="1"/>
  <c r="AC138" i="2" s="1"/>
  <c r="G138" i="2"/>
  <c r="I137" i="2"/>
  <c r="K137" i="2" s="1"/>
  <c r="L137" i="2" s="1"/>
  <c r="M137" i="2" s="1"/>
  <c r="N137" i="2" s="1"/>
  <c r="O137" i="2" s="1"/>
  <c r="P137" i="2" s="1"/>
  <c r="Q137" i="2" s="1"/>
  <c r="R137" i="2" s="1"/>
  <c r="S137" i="2" s="1"/>
  <c r="T137" i="2" s="1"/>
  <c r="U137" i="2" s="1"/>
  <c r="V137" i="2" s="1"/>
  <c r="W137" i="2" s="1"/>
  <c r="X137" i="2" s="1"/>
  <c r="Y137" i="2" s="1"/>
  <c r="Z137" i="2" s="1"/>
  <c r="AA137" i="2" s="1"/>
  <c r="AB137" i="2" s="1"/>
  <c r="AC137" i="2" s="1"/>
  <c r="G137" i="2"/>
  <c r="I136" i="2"/>
  <c r="AE136" i="2" s="1"/>
  <c r="AG136" i="2" s="1"/>
  <c r="G136" i="2"/>
  <c r="I214" i="2"/>
  <c r="AC214" i="2" s="1"/>
  <c r="G214" i="2"/>
  <c r="F214" i="2"/>
  <c r="E214" i="2"/>
  <c r="D214" i="2"/>
  <c r="I213" i="2"/>
  <c r="AB213" i="2" s="1"/>
  <c r="AC213" i="2" s="1"/>
  <c r="G213" i="2"/>
  <c r="F213" i="2"/>
  <c r="E213" i="2"/>
  <c r="D213" i="2"/>
  <c r="I212" i="2"/>
  <c r="AA212" i="2" s="1"/>
  <c r="AB212" i="2" s="1"/>
  <c r="AC212" i="2" s="1"/>
  <c r="G212" i="2"/>
  <c r="F212" i="2"/>
  <c r="E212" i="2"/>
  <c r="D212" i="2"/>
  <c r="I211" i="2"/>
  <c r="Z211" i="2" s="1"/>
  <c r="AA211" i="2" s="1"/>
  <c r="AB211" i="2" s="1"/>
  <c r="AC211" i="2" s="1"/>
  <c r="G211" i="2"/>
  <c r="F211" i="2"/>
  <c r="E211" i="2"/>
  <c r="D211" i="2"/>
  <c r="I210" i="2"/>
  <c r="Y210" i="2" s="1"/>
  <c r="Z210" i="2" s="1"/>
  <c r="AA210" i="2" s="1"/>
  <c r="AB210" i="2" s="1"/>
  <c r="AC210" i="2" s="1"/>
  <c r="G210" i="2"/>
  <c r="F210" i="2"/>
  <c r="E210" i="2"/>
  <c r="D210" i="2"/>
  <c r="I209" i="2"/>
  <c r="X209" i="2" s="1"/>
  <c r="Y209" i="2" s="1"/>
  <c r="Z209" i="2" s="1"/>
  <c r="AA209" i="2" s="1"/>
  <c r="AB209" i="2" s="1"/>
  <c r="AC209" i="2" s="1"/>
  <c r="G209" i="2"/>
  <c r="F209" i="2"/>
  <c r="E209" i="2"/>
  <c r="D209" i="2"/>
  <c r="I208" i="2"/>
  <c r="W208" i="2" s="1"/>
  <c r="X208" i="2" s="1"/>
  <c r="Y208" i="2" s="1"/>
  <c r="Z208" i="2" s="1"/>
  <c r="AA208" i="2" s="1"/>
  <c r="AB208" i="2" s="1"/>
  <c r="AC208" i="2" s="1"/>
  <c r="G208" i="2"/>
  <c r="F208" i="2"/>
  <c r="E208" i="2"/>
  <c r="D208" i="2"/>
  <c r="I207" i="2"/>
  <c r="V207" i="2" s="1"/>
  <c r="W207" i="2" s="1"/>
  <c r="X207" i="2" s="1"/>
  <c r="Y207" i="2" s="1"/>
  <c r="Z207" i="2" s="1"/>
  <c r="AA207" i="2" s="1"/>
  <c r="AB207" i="2" s="1"/>
  <c r="AC207" i="2" s="1"/>
  <c r="G207" i="2"/>
  <c r="F207" i="2"/>
  <c r="E207" i="2"/>
  <c r="D207" i="2"/>
  <c r="I206" i="2"/>
  <c r="U206" i="2" s="1"/>
  <c r="V206" i="2" s="1"/>
  <c r="W206" i="2" s="1"/>
  <c r="X206" i="2" s="1"/>
  <c r="Y206" i="2" s="1"/>
  <c r="Z206" i="2" s="1"/>
  <c r="AA206" i="2" s="1"/>
  <c r="AB206" i="2" s="1"/>
  <c r="AC206" i="2" s="1"/>
  <c r="G206" i="2"/>
  <c r="F206" i="2"/>
  <c r="E206" i="2"/>
  <c r="D206" i="2"/>
  <c r="I205" i="2"/>
  <c r="T205" i="2" s="1"/>
  <c r="U205" i="2" s="1"/>
  <c r="V205" i="2" s="1"/>
  <c r="W205" i="2" s="1"/>
  <c r="X205" i="2" s="1"/>
  <c r="Y205" i="2" s="1"/>
  <c r="Z205" i="2" s="1"/>
  <c r="AA205" i="2" s="1"/>
  <c r="AB205" i="2" s="1"/>
  <c r="AC205" i="2" s="1"/>
  <c r="G205" i="2"/>
  <c r="F205" i="2"/>
  <c r="E205" i="2"/>
  <c r="D205" i="2"/>
  <c r="I204" i="2"/>
  <c r="S204" i="2" s="1"/>
  <c r="T204" i="2" s="1"/>
  <c r="U204" i="2" s="1"/>
  <c r="V204" i="2" s="1"/>
  <c r="W204" i="2" s="1"/>
  <c r="X204" i="2" s="1"/>
  <c r="Y204" i="2" s="1"/>
  <c r="Z204" i="2" s="1"/>
  <c r="AA204" i="2" s="1"/>
  <c r="AB204" i="2" s="1"/>
  <c r="AC204" i="2" s="1"/>
  <c r="G204" i="2"/>
  <c r="F204" i="2"/>
  <c r="E204" i="2"/>
  <c r="D204" i="2"/>
  <c r="I203" i="2"/>
  <c r="R203" i="2" s="1"/>
  <c r="S203" i="2" s="1"/>
  <c r="T203" i="2" s="1"/>
  <c r="U203" i="2" s="1"/>
  <c r="V203" i="2" s="1"/>
  <c r="W203" i="2" s="1"/>
  <c r="X203" i="2" s="1"/>
  <c r="Y203" i="2" s="1"/>
  <c r="Z203" i="2" s="1"/>
  <c r="AA203" i="2" s="1"/>
  <c r="AB203" i="2" s="1"/>
  <c r="AC203" i="2" s="1"/>
  <c r="I202" i="2"/>
  <c r="Q202" i="2" s="1"/>
  <c r="R202" i="2" s="1"/>
  <c r="S202" i="2" s="1"/>
  <c r="T202" i="2" s="1"/>
  <c r="U202" i="2" s="1"/>
  <c r="V202" i="2" s="1"/>
  <c r="W202" i="2" s="1"/>
  <c r="X202" i="2" s="1"/>
  <c r="Y202" i="2" s="1"/>
  <c r="Z202" i="2" s="1"/>
  <c r="AA202" i="2" s="1"/>
  <c r="AB202" i="2" s="1"/>
  <c r="AC202" i="2" s="1"/>
  <c r="G202" i="2"/>
  <c r="I201" i="2"/>
  <c r="P201" i="2" s="1"/>
  <c r="Q201" i="2" s="1"/>
  <c r="R201" i="2" s="1"/>
  <c r="S201" i="2" s="1"/>
  <c r="T201" i="2" s="1"/>
  <c r="U201" i="2" s="1"/>
  <c r="V201" i="2" s="1"/>
  <c r="W201" i="2" s="1"/>
  <c r="X201" i="2" s="1"/>
  <c r="Y201" i="2" s="1"/>
  <c r="Z201" i="2" s="1"/>
  <c r="AA201" i="2" s="1"/>
  <c r="AB201" i="2" s="1"/>
  <c r="AC201" i="2" s="1"/>
  <c r="G201" i="2"/>
  <c r="I200" i="2"/>
  <c r="O200" i="2" s="1"/>
  <c r="P200" i="2" s="1"/>
  <c r="Q200" i="2" s="1"/>
  <c r="R200" i="2" s="1"/>
  <c r="S200" i="2" s="1"/>
  <c r="T200" i="2" s="1"/>
  <c r="U200" i="2" s="1"/>
  <c r="V200" i="2" s="1"/>
  <c r="W200" i="2" s="1"/>
  <c r="X200" i="2" s="1"/>
  <c r="Y200" i="2" s="1"/>
  <c r="Z200" i="2" s="1"/>
  <c r="AA200" i="2" s="1"/>
  <c r="AB200" i="2" s="1"/>
  <c r="AC200" i="2" s="1"/>
  <c r="G200" i="2"/>
  <c r="I199" i="2"/>
  <c r="N199" i="2" s="1"/>
  <c r="O199" i="2" s="1"/>
  <c r="P199" i="2" s="1"/>
  <c r="Q199" i="2" s="1"/>
  <c r="R199" i="2" s="1"/>
  <c r="S199" i="2" s="1"/>
  <c r="T199" i="2" s="1"/>
  <c r="U199" i="2" s="1"/>
  <c r="V199" i="2" s="1"/>
  <c r="W199" i="2" s="1"/>
  <c r="X199" i="2" s="1"/>
  <c r="Y199" i="2" s="1"/>
  <c r="Z199" i="2" s="1"/>
  <c r="AA199" i="2" s="1"/>
  <c r="AB199" i="2" s="1"/>
  <c r="AC199" i="2" s="1"/>
  <c r="G199" i="2"/>
  <c r="I198" i="2"/>
  <c r="M198" i="2" s="1"/>
  <c r="N198" i="2" s="1"/>
  <c r="O198" i="2" s="1"/>
  <c r="P198" i="2" s="1"/>
  <c r="Q198" i="2" s="1"/>
  <c r="R198" i="2" s="1"/>
  <c r="S198" i="2" s="1"/>
  <c r="T198" i="2" s="1"/>
  <c r="U198" i="2" s="1"/>
  <c r="V198" i="2" s="1"/>
  <c r="W198" i="2" s="1"/>
  <c r="X198" i="2" s="1"/>
  <c r="Y198" i="2" s="1"/>
  <c r="Z198" i="2" s="1"/>
  <c r="AA198" i="2" s="1"/>
  <c r="AB198" i="2" s="1"/>
  <c r="AC198" i="2" s="1"/>
  <c r="G198" i="2"/>
  <c r="I197" i="2"/>
  <c r="L197" i="2" s="1"/>
  <c r="M197" i="2" s="1"/>
  <c r="N197" i="2" s="1"/>
  <c r="O197" i="2" s="1"/>
  <c r="P197" i="2" s="1"/>
  <c r="Q197" i="2" s="1"/>
  <c r="R197" i="2" s="1"/>
  <c r="S197" i="2" s="1"/>
  <c r="T197" i="2" s="1"/>
  <c r="U197" i="2" s="1"/>
  <c r="V197" i="2" s="1"/>
  <c r="W197" i="2" s="1"/>
  <c r="X197" i="2" s="1"/>
  <c r="Y197" i="2" s="1"/>
  <c r="Z197" i="2" s="1"/>
  <c r="AA197" i="2" s="1"/>
  <c r="AB197" i="2" s="1"/>
  <c r="AC197" i="2" s="1"/>
  <c r="G197" i="2"/>
  <c r="I196" i="2"/>
  <c r="K196" i="2" s="1"/>
  <c r="L196" i="2" s="1"/>
  <c r="M196" i="2" s="1"/>
  <c r="N196" i="2" s="1"/>
  <c r="O196" i="2" s="1"/>
  <c r="P196" i="2" s="1"/>
  <c r="Q196" i="2" s="1"/>
  <c r="R196" i="2" s="1"/>
  <c r="S196" i="2" s="1"/>
  <c r="T196" i="2" s="1"/>
  <c r="U196" i="2" s="1"/>
  <c r="V196" i="2" s="1"/>
  <c r="W196" i="2" s="1"/>
  <c r="X196" i="2" s="1"/>
  <c r="Y196" i="2" s="1"/>
  <c r="Z196" i="2" s="1"/>
  <c r="AA196" i="2" s="1"/>
  <c r="AB196" i="2" s="1"/>
  <c r="AC196" i="2" s="1"/>
  <c r="G196" i="2"/>
  <c r="I195" i="2"/>
  <c r="G195" i="2"/>
  <c r="I114" i="2"/>
  <c r="AC114" i="2" s="1"/>
  <c r="G114" i="2"/>
  <c r="F114" i="2"/>
  <c r="E114" i="2"/>
  <c r="D114" i="2"/>
  <c r="I113" i="2"/>
  <c r="AB113" i="2" s="1"/>
  <c r="AC113" i="2" s="1"/>
  <c r="G113" i="2"/>
  <c r="F113" i="2"/>
  <c r="E113" i="2"/>
  <c r="D113" i="2"/>
  <c r="I112" i="2"/>
  <c r="AA112" i="2" s="1"/>
  <c r="AB112" i="2" s="1"/>
  <c r="AC112" i="2" s="1"/>
  <c r="G112" i="2"/>
  <c r="F112" i="2"/>
  <c r="E112" i="2"/>
  <c r="D112" i="2"/>
  <c r="I111" i="2"/>
  <c r="Z111" i="2" s="1"/>
  <c r="AA111" i="2" s="1"/>
  <c r="AB111" i="2" s="1"/>
  <c r="AC111" i="2" s="1"/>
  <c r="G111" i="2"/>
  <c r="F111" i="2"/>
  <c r="E111" i="2"/>
  <c r="D111" i="2"/>
  <c r="I110" i="2"/>
  <c r="Y110" i="2" s="1"/>
  <c r="Z110" i="2" s="1"/>
  <c r="AA110" i="2" s="1"/>
  <c r="AB110" i="2" s="1"/>
  <c r="AC110" i="2" s="1"/>
  <c r="G110" i="2"/>
  <c r="F110" i="2"/>
  <c r="E110" i="2"/>
  <c r="D110" i="2"/>
  <c r="I109" i="2"/>
  <c r="X109" i="2" s="1"/>
  <c r="Y109" i="2" s="1"/>
  <c r="Z109" i="2" s="1"/>
  <c r="AA109" i="2" s="1"/>
  <c r="AB109" i="2" s="1"/>
  <c r="AC109" i="2" s="1"/>
  <c r="G109" i="2"/>
  <c r="F109" i="2"/>
  <c r="E109" i="2"/>
  <c r="D109" i="2"/>
  <c r="I108" i="2"/>
  <c r="W108" i="2" s="1"/>
  <c r="X108" i="2" s="1"/>
  <c r="Y108" i="2" s="1"/>
  <c r="Z108" i="2" s="1"/>
  <c r="AA108" i="2" s="1"/>
  <c r="AB108" i="2" s="1"/>
  <c r="AC108" i="2" s="1"/>
  <c r="G108" i="2"/>
  <c r="F108" i="2"/>
  <c r="E108" i="2"/>
  <c r="D108" i="2"/>
  <c r="I107" i="2"/>
  <c r="V107" i="2" s="1"/>
  <c r="W107" i="2" s="1"/>
  <c r="X107" i="2" s="1"/>
  <c r="Y107" i="2" s="1"/>
  <c r="Z107" i="2" s="1"/>
  <c r="AA107" i="2" s="1"/>
  <c r="AB107" i="2" s="1"/>
  <c r="AC107" i="2" s="1"/>
  <c r="G107" i="2"/>
  <c r="F107" i="2"/>
  <c r="E107" i="2"/>
  <c r="D107" i="2"/>
  <c r="I106" i="2"/>
  <c r="U106" i="2" s="1"/>
  <c r="V106" i="2" s="1"/>
  <c r="W106" i="2" s="1"/>
  <c r="X106" i="2" s="1"/>
  <c r="Y106" i="2" s="1"/>
  <c r="Z106" i="2" s="1"/>
  <c r="AA106" i="2" s="1"/>
  <c r="AB106" i="2" s="1"/>
  <c r="AC106" i="2" s="1"/>
  <c r="G106" i="2"/>
  <c r="F106" i="2"/>
  <c r="E106" i="2"/>
  <c r="D106" i="2"/>
  <c r="I105" i="2"/>
  <c r="T105" i="2" s="1"/>
  <c r="U105" i="2" s="1"/>
  <c r="V105" i="2" s="1"/>
  <c r="W105" i="2" s="1"/>
  <c r="X105" i="2" s="1"/>
  <c r="Y105" i="2" s="1"/>
  <c r="Z105" i="2" s="1"/>
  <c r="AA105" i="2" s="1"/>
  <c r="AB105" i="2" s="1"/>
  <c r="AC105" i="2" s="1"/>
  <c r="G105" i="2"/>
  <c r="F105" i="2"/>
  <c r="E105" i="2"/>
  <c r="D105" i="2"/>
  <c r="I104" i="2"/>
  <c r="S104" i="2" s="1"/>
  <c r="T104" i="2" s="1"/>
  <c r="U104" i="2" s="1"/>
  <c r="V104" i="2" s="1"/>
  <c r="W104" i="2" s="1"/>
  <c r="X104" i="2" s="1"/>
  <c r="Y104" i="2" s="1"/>
  <c r="Z104" i="2" s="1"/>
  <c r="AA104" i="2" s="1"/>
  <c r="AB104" i="2" s="1"/>
  <c r="AC104" i="2" s="1"/>
  <c r="G104" i="2"/>
  <c r="F104" i="2"/>
  <c r="E104" i="2"/>
  <c r="D104" i="2"/>
  <c r="I103" i="2"/>
  <c r="R103" i="2" s="1"/>
  <c r="S103" i="2" s="1"/>
  <c r="T103" i="2" s="1"/>
  <c r="U103" i="2" s="1"/>
  <c r="V103" i="2" s="1"/>
  <c r="W103" i="2" s="1"/>
  <c r="X103" i="2" s="1"/>
  <c r="Y103" i="2" s="1"/>
  <c r="Z103" i="2" s="1"/>
  <c r="AA103" i="2" s="1"/>
  <c r="AB103" i="2" s="1"/>
  <c r="AC103" i="2" s="1"/>
  <c r="I102" i="2"/>
  <c r="Q102" i="2" s="1"/>
  <c r="R102" i="2" s="1"/>
  <c r="S102" i="2" s="1"/>
  <c r="T102" i="2" s="1"/>
  <c r="U102" i="2" s="1"/>
  <c r="V102" i="2" s="1"/>
  <c r="W102" i="2" s="1"/>
  <c r="X102" i="2" s="1"/>
  <c r="Y102" i="2" s="1"/>
  <c r="Z102" i="2" s="1"/>
  <c r="AA102" i="2" s="1"/>
  <c r="AB102" i="2" s="1"/>
  <c r="AC102" i="2" s="1"/>
  <c r="G102" i="2"/>
  <c r="I101" i="2"/>
  <c r="P101" i="2" s="1"/>
  <c r="Q101" i="2" s="1"/>
  <c r="R101" i="2" s="1"/>
  <c r="S101" i="2" s="1"/>
  <c r="T101" i="2" s="1"/>
  <c r="U101" i="2" s="1"/>
  <c r="V101" i="2" s="1"/>
  <c r="W101" i="2" s="1"/>
  <c r="X101" i="2" s="1"/>
  <c r="Y101" i="2" s="1"/>
  <c r="Z101" i="2" s="1"/>
  <c r="AA101" i="2" s="1"/>
  <c r="AB101" i="2" s="1"/>
  <c r="AC101" i="2" s="1"/>
  <c r="G101" i="2"/>
  <c r="I100" i="2"/>
  <c r="O100" i="2" s="1"/>
  <c r="P100" i="2" s="1"/>
  <c r="Q100" i="2" s="1"/>
  <c r="R100" i="2" s="1"/>
  <c r="S100" i="2" s="1"/>
  <c r="T100" i="2" s="1"/>
  <c r="U100" i="2" s="1"/>
  <c r="V100" i="2" s="1"/>
  <c r="W100" i="2" s="1"/>
  <c r="X100" i="2" s="1"/>
  <c r="Y100" i="2" s="1"/>
  <c r="Z100" i="2" s="1"/>
  <c r="AA100" i="2" s="1"/>
  <c r="AB100" i="2" s="1"/>
  <c r="AC100" i="2" s="1"/>
  <c r="G100" i="2"/>
  <c r="I99" i="2"/>
  <c r="N99" i="2" s="1"/>
  <c r="O99" i="2" s="1"/>
  <c r="P99" i="2" s="1"/>
  <c r="Q99" i="2" s="1"/>
  <c r="R99" i="2" s="1"/>
  <c r="S99" i="2" s="1"/>
  <c r="T99" i="2" s="1"/>
  <c r="U99" i="2" s="1"/>
  <c r="V99" i="2" s="1"/>
  <c r="W99" i="2" s="1"/>
  <c r="X99" i="2" s="1"/>
  <c r="Y99" i="2" s="1"/>
  <c r="Z99" i="2" s="1"/>
  <c r="AA99" i="2" s="1"/>
  <c r="AB99" i="2" s="1"/>
  <c r="AC99" i="2" s="1"/>
  <c r="G99" i="2"/>
  <c r="I98" i="2"/>
  <c r="M98" i="2" s="1"/>
  <c r="N98" i="2" s="1"/>
  <c r="O98" i="2" s="1"/>
  <c r="P98" i="2" s="1"/>
  <c r="Q98" i="2" s="1"/>
  <c r="R98" i="2" s="1"/>
  <c r="S98" i="2" s="1"/>
  <c r="T98" i="2" s="1"/>
  <c r="U98" i="2" s="1"/>
  <c r="V98" i="2" s="1"/>
  <c r="W98" i="2" s="1"/>
  <c r="X98" i="2" s="1"/>
  <c r="Y98" i="2" s="1"/>
  <c r="Z98" i="2" s="1"/>
  <c r="AA98" i="2" s="1"/>
  <c r="AB98" i="2" s="1"/>
  <c r="AC98" i="2" s="1"/>
  <c r="G98" i="2"/>
  <c r="I97" i="2"/>
  <c r="L97" i="2" s="1"/>
  <c r="M97" i="2" s="1"/>
  <c r="N97" i="2" s="1"/>
  <c r="O97" i="2" s="1"/>
  <c r="P97" i="2" s="1"/>
  <c r="Q97" i="2" s="1"/>
  <c r="R97" i="2" s="1"/>
  <c r="S97" i="2" s="1"/>
  <c r="T97" i="2" s="1"/>
  <c r="U97" i="2" s="1"/>
  <c r="V97" i="2" s="1"/>
  <c r="W97" i="2" s="1"/>
  <c r="X97" i="2" s="1"/>
  <c r="Y97" i="2" s="1"/>
  <c r="Z97" i="2" s="1"/>
  <c r="AA97" i="2" s="1"/>
  <c r="AB97" i="2" s="1"/>
  <c r="AC97" i="2" s="1"/>
  <c r="G97" i="2"/>
  <c r="I96" i="2"/>
  <c r="K96" i="2" s="1"/>
  <c r="L96" i="2" s="1"/>
  <c r="M96" i="2" s="1"/>
  <c r="N96" i="2" s="1"/>
  <c r="O96" i="2" s="1"/>
  <c r="P96" i="2" s="1"/>
  <c r="Q96" i="2" s="1"/>
  <c r="R96" i="2" s="1"/>
  <c r="S96" i="2" s="1"/>
  <c r="T96" i="2" s="1"/>
  <c r="U96" i="2" s="1"/>
  <c r="V96" i="2" s="1"/>
  <c r="W96" i="2" s="1"/>
  <c r="X96" i="2" s="1"/>
  <c r="Y96" i="2" s="1"/>
  <c r="Z96" i="2" s="1"/>
  <c r="AA96" i="2" s="1"/>
  <c r="AB96" i="2" s="1"/>
  <c r="AC96" i="2" s="1"/>
  <c r="G96" i="2"/>
  <c r="I95" i="2"/>
  <c r="G95"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56" i="2"/>
  <c r="G257" i="2"/>
  <c r="G258" i="2"/>
  <c r="G259" i="2"/>
  <c r="G260" i="2"/>
  <c r="G261" i="2"/>
  <c r="G262" i="2"/>
  <c r="G263" i="2"/>
  <c r="G264" i="2"/>
  <c r="G265" i="2"/>
  <c r="G255" i="2"/>
  <c r="G239" i="2"/>
  <c r="G240" i="2"/>
  <c r="G241" i="2"/>
  <c r="G242" i="2"/>
  <c r="G243" i="2"/>
  <c r="G244" i="2"/>
  <c r="G245" i="2"/>
  <c r="G246" i="2"/>
  <c r="G247" i="2"/>
  <c r="G248" i="2"/>
  <c r="G238" i="2"/>
  <c r="G222" i="2"/>
  <c r="G223" i="2"/>
  <c r="G224" i="2"/>
  <c r="G225" i="2"/>
  <c r="G226" i="2"/>
  <c r="G227" i="2"/>
  <c r="G228" i="2"/>
  <c r="G229" i="2"/>
  <c r="G230" i="2"/>
  <c r="G231" i="2"/>
  <c r="G221" i="2"/>
  <c r="G181" i="2"/>
  <c r="G182" i="2"/>
  <c r="G183" i="2"/>
  <c r="G184" i="2"/>
  <c r="G185" i="2"/>
  <c r="G186" i="2"/>
  <c r="G187" i="2"/>
  <c r="G188" i="2"/>
  <c r="G189" i="2"/>
  <c r="G190" i="2"/>
  <c r="G180" i="2"/>
  <c r="G164" i="2"/>
  <c r="G165" i="2"/>
  <c r="G166" i="2"/>
  <c r="G167" i="2"/>
  <c r="G168" i="2"/>
  <c r="G169" i="2"/>
  <c r="G170" i="2"/>
  <c r="G171" i="2"/>
  <c r="G172" i="2"/>
  <c r="G173" i="2"/>
  <c r="G163" i="2"/>
  <c r="G122" i="2"/>
  <c r="G123" i="2"/>
  <c r="G124" i="2"/>
  <c r="G125" i="2"/>
  <c r="G126" i="2"/>
  <c r="G127" i="2"/>
  <c r="G128" i="2"/>
  <c r="G129" i="2"/>
  <c r="G130" i="2"/>
  <c r="G131" i="2"/>
  <c r="G121" i="2"/>
  <c r="AC265" i="2"/>
  <c r="AB265" i="2"/>
  <c r="AA265" i="2"/>
  <c r="Z265" i="2"/>
  <c r="Y265" i="2"/>
  <c r="X265" i="2"/>
  <c r="W265" i="2"/>
  <c r="V265" i="2"/>
  <c r="U265" i="2"/>
  <c r="T265" i="2"/>
  <c r="S265" i="2"/>
  <c r="R265" i="2"/>
  <c r="Q265" i="2"/>
  <c r="P265" i="2"/>
  <c r="O265" i="2"/>
  <c r="N265" i="2"/>
  <c r="M265" i="2"/>
  <c r="L265" i="2"/>
  <c r="K265" i="2"/>
  <c r="J265" i="2"/>
  <c r="F265" i="2"/>
  <c r="E265" i="2"/>
  <c r="D265" i="2"/>
  <c r="AC264" i="2"/>
  <c r="AB264" i="2"/>
  <c r="AA264" i="2"/>
  <c r="Z264" i="2"/>
  <c r="Y264" i="2"/>
  <c r="X264" i="2"/>
  <c r="W264" i="2"/>
  <c r="V264" i="2"/>
  <c r="U264" i="2"/>
  <c r="T264" i="2"/>
  <c r="S264" i="2"/>
  <c r="R264" i="2"/>
  <c r="Q264" i="2"/>
  <c r="P264" i="2"/>
  <c r="O264" i="2"/>
  <c r="N264" i="2"/>
  <c r="M264" i="2"/>
  <c r="L264" i="2"/>
  <c r="K264" i="2"/>
  <c r="J264" i="2"/>
  <c r="F264" i="2"/>
  <c r="E264" i="2"/>
  <c r="D264" i="2"/>
  <c r="AC263" i="2"/>
  <c r="AB263" i="2"/>
  <c r="AA263" i="2"/>
  <c r="Z263" i="2"/>
  <c r="Y263" i="2"/>
  <c r="X263" i="2"/>
  <c r="W263" i="2"/>
  <c r="V263" i="2"/>
  <c r="U263" i="2"/>
  <c r="T263" i="2"/>
  <c r="S263" i="2"/>
  <c r="R263" i="2"/>
  <c r="Q263" i="2"/>
  <c r="P263" i="2"/>
  <c r="O263" i="2"/>
  <c r="N263" i="2"/>
  <c r="M263" i="2"/>
  <c r="L263" i="2"/>
  <c r="K263" i="2"/>
  <c r="J263" i="2"/>
  <c r="F263" i="2"/>
  <c r="E263" i="2"/>
  <c r="D263"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B260" i="2"/>
  <c r="AA260" i="2"/>
  <c r="Z260" i="2"/>
  <c r="Y260" i="2"/>
  <c r="X260" i="2"/>
  <c r="W260" i="2"/>
  <c r="V260" i="2"/>
  <c r="U260" i="2"/>
  <c r="T260" i="2"/>
  <c r="S260" i="2"/>
  <c r="R260" i="2"/>
  <c r="Q260" i="2"/>
  <c r="P260" i="2"/>
  <c r="O260" i="2"/>
  <c r="N260" i="2"/>
  <c r="M260" i="2"/>
  <c r="L260" i="2"/>
  <c r="K260" i="2"/>
  <c r="J260" i="2"/>
  <c r="F260" i="2"/>
  <c r="E260" i="2"/>
  <c r="D260" i="2"/>
  <c r="AA259" i="2"/>
  <c r="Z259" i="2"/>
  <c r="Y259" i="2"/>
  <c r="X259" i="2"/>
  <c r="W259" i="2"/>
  <c r="V259" i="2"/>
  <c r="U259" i="2"/>
  <c r="T259" i="2"/>
  <c r="S259" i="2"/>
  <c r="R259" i="2"/>
  <c r="Q259" i="2"/>
  <c r="P259" i="2"/>
  <c r="O259" i="2"/>
  <c r="N259" i="2"/>
  <c r="M259" i="2"/>
  <c r="L259" i="2"/>
  <c r="K259" i="2"/>
  <c r="J259" i="2"/>
  <c r="F259" i="2"/>
  <c r="E259" i="2"/>
  <c r="D259" i="2"/>
  <c r="Z258" i="2"/>
  <c r="Y258" i="2"/>
  <c r="X258" i="2"/>
  <c r="W258" i="2"/>
  <c r="V258" i="2"/>
  <c r="U258" i="2"/>
  <c r="T258" i="2"/>
  <c r="S258" i="2"/>
  <c r="R258" i="2"/>
  <c r="Q258" i="2"/>
  <c r="P258" i="2"/>
  <c r="O258" i="2"/>
  <c r="N258" i="2"/>
  <c r="M258" i="2"/>
  <c r="L258" i="2"/>
  <c r="K258" i="2"/>
  <c r="J258" i="2"/>
  <c r="F258" i="2"/>
  <c r="E258" i="2"/>
  <c r="D258" i="2"/>
  <c r="Y257" i="2"/>
  <c r="X257" i="2"/>
  <c r="W257" i="2"/>
  <c r="V257" i="2"/>
  <c r="U257" i="2"/>
  <c r="T257" i="2"/>
  <c r="S257" i="2"/>
  <c r="R257" i="2"/>
  <c r="Q257" i="2"/>
  <c r="P257" i="2"/>
  <c r="O257" i="2"/>
  <c r="N257" i="2"/>
  <c r="M257" i="2"/>
  <c r="L257" i="2"/>
  <c r="K257" i="2"/>
  <c r="J257" i="2"/>
  <c r="F257" i="2"/>
  <c r="E257" i="2"/>
  <c r="D257" i="2"/>
  <c r="X256" i="2"/>
  <c r="W256" i="2"/>
  <c r="V256" i="2"/>
  <c r="U256" i="2"/>
  <c r="T256" i="2"/>
  <c r="S256" i="2"/>
  <c r="R256" i="2"/>
  <c r="Q256" i="2"/>
  <c r="P256" i="2"/>
  <c r="O256" i="2"/>
  <c r="N256" i="2"/>
  <c r="M256" i="2"/>
  <c r="L256" i="2"/>
  <c r="K256" i="2"/>
  <c r="J256" i="2"/>
  <c r="F256" i="2"/>
  <c r="E256" i="2"/>
  <c r="D256" i="2"/>
  <c r="W255" i="2"/>
  <c r="V255" i="2"/>
  <c r="U255" i="2"/>
  <c r="T255" i="2"/>
  <c r="S255" i="2"/>
  <c r="R255" i="2"/>
  <c r="Q255" i="2"/>
  <c r="P255" i="2"/>
  <c r="O255" i="2"/>
  <c r="N255" i="2"/>
  <c r="M255" i="2"/>
  <c r="L255" i="2"/>
  <c r="K255" i="2"/>
  <c r="J255" i="2"/>
  <c r="F255" i="2"/>
  <c r="E255" i="2"/>
  <c r="D255" i="2"/>
  <c r="V254" i="2"/>
  <c r="U254" i="2"/>
  <c r="T254" i="2"/>
  <c r="S254" i="2"/>
  <c r="R254" i="2"/>
  <c r="Q254" i="2"/>
  <c r="P254" i="2"/>
  <c r="O254" i="2"/>
  <c r="N254" i="2"/>
  <c r="M254" i="2"/>
  <c r="L254" i="2"/>
  <c r="K254" i="2"/>
  <c r="J254" i="2"/>
  <c r="AC248" i="2"/>
  <c r="AB248" i="2"/>
  <c r="AA248" i="2"/>
  <c r="Z248" i="2"/>
  <c r="Y248" i="2"/>
  <c r="X248" i="2"/>
  <c r="W248" i="2"/>
  <c r="V248" i="2"/>
  <c r="U248" i="2"/>
  <c r="T248" i="2"/>
  <c r="S248" i="2"/>
  <c r="R248" i="2"/>
  <c r="Q248" i="2"/>
  <c r="P248" i="2"/>
  <c r="O248" i="2"/>
  <c r="N248" i="2"/>
  <c r="M248" i="2"/>
  <c r="L248" i="2"/>
  <c r="K248" i="2"/>
  <c r="J248" i="2"/>
  <c r="F248" i="2"/>
  <c r="E248" i="2"/>
  <c r="D248" i="2"/>
  <c r="AC247" i="2"/>
  <c r="AB247" i="2"/>
  <c r="AA247" i="2"/>
  <c r="Z247" i="2"/>
  <c r="Y247" i="2"/>
  <c r="X247" i="2"/>
  <c r="W247" i="2"/>
  <c r="V247" i="2"/>
  <c r="U247" i="2"/>
  <c r="T247" i="2"/>
  <c r="S247" i="2"/>
  <c r="R247" i="2"/>
  <c r="Q247" i="2"/>
  <c r="P247" i="2"/>
  <c r="O247" i="2"/>
  <c r="N247" i="2"/>
  <c r="M247" i="2"/>
  <c r="L247" i="2"/>
  <c r="K247" i="2"/>
  <c r="J247" i="2"/>
  <c r="F247" i="2"/>
  <c r="E247" i="2"/>
  <c r="D247" i="2"/>
  <c r="AC246" i="2"/>
  <c r="AB246" i="2"/>
  <c r="AA246" i="2"/>
  <c r="Z246" i="2"/>
  <c r="Y246" i="2"/>
  <c r="X246" i="2"/>
  <c r="W246" i="2"/>
  <c r="V246" i="2"/>
  <c r="U246" i="2"/>
  <c r="T246" i="2"/>
  <c r="S246" i="2"/>
  <c r="R246" i="2"/>
  <c r="Q246" i="2"/>
  <c r="P246" i="2"/>
  <c r="O246" i="2"/>
  <c r="N246" i="2"/>
  <c r="M246" i="2"/>
  <c r="L246" i="2"/>
  <c r="K246" i="2"/>
  <c r="J246" i="2"/>
  <c r="F246" i="2"/>
  <c r="E246" i="2"/>
  <c r="D246"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B243" i="2"/>
  <c r="AA243" i="2"/>
  <c r="Z243" i="2"/>
  <c r="Y243" i="2"/>
  <c r="X243" i="2"/>
  <c r="W243" i="2"/>
  <c r="V243" i="2"/>
  <c r="U243" i="2"/>
  <c r="T243" i="2"/>
  <c r="S243" i="2"/>
  <c r="R243" i="2"/>
  <c r="Q243" i="2"/>
  <c r="P243" i="2"/>
  <c r="O243" i="2"/>
  <c r="N243" i="2"/>
  <c r="M243" i="2"/>
  <c r="L243" i="2"/>
  <c r="K243" i="2"/>
  <c r="J243" i="2"/>
  <c r="F243" i="2"/>
  <c r="E243" i="2"/>
  <c r="D243" i="2"/>
  <c r="AA242" i="2"/>
  <c r="Z242" i="2"/>
  <c r="Y242" i="2"/>
  <c r="X242" i="2"/>
  <c r="W242" i="2"/>
  <c r="V242" i="2"/>
  <c r="U242" i="2"/>
  <c r="T242" i="2"/>
  <c r="S242" i="2"/>
  <c r="R242" i="2"/>
  <c r="Q242" i="2"/>
  <c r="P242" i="2"/>
  <c r="O242" i="2"/>
  <c r="N242" i="2"/>
  <c r="M242" i="2"/>
  <c r="L242" i="2"/>
  <c r="K242" i="2"/>
  <c r="J242" i="2"/>
  <c r="F242" i="2"/>
  <c r="E242" i="2"/>
  <c r="D242" i="2"/>
  <c r="Z241" i="2"/>
  <c r="Y241" i="2"/>
  <c r="X241" i="2"/>
  <c r="W241" i="2"/>
  <c r="V241" i="2"/>
  <c r="U241" i="2"/>
  <c r="T241" i="2"/>
  <c r="S241" i="2"/>
  <c r="R241" i="2"/>
  <c r="Q241" i="2"/>
  <c r="P241" i="2"/>
  <c r="O241" i="2"/>
  <c r="N241" i="2"/>
  <c r="M241" i="2"/>
  <c r="L241" i="2"/>
  <c r="K241" i="2"/>
  <c r="J241" i="2"/>
  <c r="F241" i="2"/>
  <c r="E241" i="2"/>
  <c r="D241" i="2"/>
  <c r="Y240" i="2"/>
  <c r="X240" i="2"/>
  <c r="W240" i="2"/>
  <c r="V240" i="2"/>
  <c r="U240" i="2"/>
  <c r="T240" i="2"/>
  <c r="S240" i="2"/>
  <c r="R240" i="2"/>
  <c r="Q240" i="2"/>
  <c r="P240" i="2"/>
  <c r="O240" i="2"/>
  <c r="N240" i="2"/>
  <c r="M240" i="2"/>
  <c r="L240" i="2"/>
  <c r="K240" i="2"/>
  <c r="J240" i="2"/>
  <c r="F240" i="2"/>
  <c r="E240" i="2"/>
  <c r="D240" i="2"/>
  <c r="X239" i="2"/>
  <c r="W239" i="2"/>
  <c r="V239" i="2"/>
  <c r="U239" i="2"/>
  <c r="T239" i="2"/>
  <c r="S239" i="2"/>
  <c r="R239" i="2"/>
  <c r="Q239" i="2"/>
  <c r="P239" i="2"/>
  <c r="O239" i="2"/>
  <c r="N239" i="2"/>
  <c r="M239" i="2"/>
  <c r="L239" i="2"/>
  <c r="K239" i="2"/>
  <c r="J239" i="2"/>
  <c r="F239" i="2"/>
  <c r="E239" i="2"/>
  <c r="D239" i="2"/>
  <c r="W238" i="2"/>
  <c r="V238" i="2"/>
  <c r="U238" i="2"/>
  <c r="T238" i="2"/>
  <c r="S238" i="2"/>
  <c r="R238" i="2"/>
  <c r="Q238" i="2"/>
  <c r="P238" i="2"/>
  <c r="O238" i="2"/>
  <c r="N238" i="2"/>
  <c r="M238" i="2"/>
  <c r="L238" i="2"/>
  <c r="K238" i="2"/>
  <c r="J238" i="2"/>
  <c r="F238" i="2"/>
  <c r="E238" i="2"/>
  <c r="D238" i="2"/>
  <c r="V237" i="2"/>
  <c r="U237" i="2"/>
  <c r="T237" i="2"/>
  <c r="S237" i="2"/>
  <c r="R237" i="2"/>
  <c r="Q237" i="2"/>
  <c r="P237" i="2"/>
  <c r="O237" i="2"/>
  <c r="N237" i="2"/>
  <c r="M237" i="2"/>
  <c r="L237" i="2"/>
  <c r="K237" i="2"/>
  <c r="J237"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C227" i="2"/>
  <c r="AB227" i="2"/>
  <c r="AA227" i="2"/>
  <c r="Z227" i="2"/>
  <c r="Y227" i="2"/>
  <c r="X227" i="2"/>
  <c r="W227" i="2"/>
  <c r="V227" i="2"/>
  <c r="U227" i="2"/>
  <c r="T227" i="2"/>
  <c r="S227" i="2"/>
  <c r="R227" i="2"/>
  <c r="Q227" i="2"/>
  <c r="P227" i="2"/>
  <c r="O227" i="2"/>
  <c r="N227" i="2"/>
  <c r="M227" i="2"/>
  <c r="L227" i="2"/>
  <c r="K227" i="2"/>
  <c r="J227" i="2"/>
  <c r="F227" i="2"/>
  <c r="E227" i="2"/>
  <c r="D227" i="2"/>
  <c r="AB226" i="2"/>
  <c r="AA226" i="2"/>
  <c r="Z226" i="2"/>
  <c r="Y226" i="2"/>
  <c r="X226" i="2"/>
  <c r="W226" i="2"/>
  <c r="V226" i="2"/>
  <c r="U226" i="2"/>
  <c r="T226" i="2"/>
  <c r="S226" i="2"/>
  <c r="R226" i="2"/>
  <c r="Q226" i="2"/>
  <c r="P226" i="2"/>
  <c r="O226" i="2"/>
  <c r="N226" i="2"/>
  <c r="M226" i="2"/>
  <c r="L226" i="2"/>
  <c r="K226" i="2"/>
  <c r="J226" i="2"/>
  <c r="F226" i="2"/>
  <c r="E226" i="2"/>
  <c r="D226" i="2"/>
  <c r="AA225" i="2"/>
  <c r="Z225" i="2"/>
  <c r="Y225" i="2"/>
  <c r="X225" i="2"/>
  <c r="W225" i="2"/>
  <c r="V225" i="2"/>
  <c r="U225" i="2"/>
  <c r="T225" i="2"/>
  <c r="S225" i="2"/>
  <c r="R225" i="2"/>
  <c r="Q225" i="2"/>
  <c r="P225" i="2"/>
  <c r="O225" i="2"/>
  <c r="N225" i="2"/>
  <c r="M225" i="2"/>
  <c r="L225" i="2"/>
  <c r="K225" i="2"/>
  <c r="J225" i="2"/>
  <c r="F225" i="2"/>
  <c r="E225" i="2"/>
  <c r="D225" i="2"/>
  <c r="Z224" i="2"/>
  <c r="Y224" i="2"/>
  <c r="X224" i="2"/>
  <c r="W224" i="2"/>
  <c r="V224" i="2"/>
  <c r="U224" i="2"/>
  <c r="T224" i="2"/>
  <c r="S224" i="2"/>
  <c r="R224" i="2"/>
  <c r="Q224" i="2"/>
  <c r="P224" i="2"/>
  <c r="O224" i="2"/>
  <c r="N224" i="2"/>
  <c r="M224" i="2"/>
  <c r="L224" i="2"/>
  <c r="K224" i="2"/>
  <c r="J224" i="2"/>
  <c r="F224" i="2"/>
  <c r="E224" i="2"/>
  <c r="D224" i="2"/>
  <c r="Y223" i="2"/>
  <c r="X223" i="2"/>
  <c r="W223" i="2"/>
  <c r="V223" i="2"/>
  <c r="U223" i="2"/>
  <c r="T223" i="2"/>
  <c r="S223" i="2"/>
  <c r="R223" i="2"/>
  <c r="Q223" i="2"/>
  <c r="P223" i="2"/>
  <c r="O223" i="2"/>
  <c r="N223" i="2"/>
  <c r="M223" i="2"/>
  <c r="L223" i="2"/>
  <c r="K223" i="2"/>
  <c r="J223" i="2"/>
  <c r="F223" i="2"/>
  <c r="E223" i="2"/>
  <c r="D223" i="2"/>
  <c r="X222" i="2"/>
  <c r="W222" i="2"/>
  <c r="V222" i="2"/>
  <c r="U222" i="2"/>
  <c r="T222" i="2"/>
  <c r="S222" i="2"/>
  <c r="R222" i="2"/>
  <c r="Q222" i="2"/>
  <c r="P222" i="2"/>
  <c r="O222" i="2"/>
  <c r="N222" i="2"/>
  <c r="M222" i="2"/>
  <c r="L222" i="2"/>
  <c r="K222" i="2"/>
  <c r="J222" i="2"/>
  <c r="F222" i="2"/>
  <c r="E222" i="2"/>
  <c r="D222" i="2"/>
  <c r="W221" i="2"/>
  <c r="V221" i="2"/>
  <c r="U221" i="2"/>
  <c r="T221" i="2"/>
  <c r="S221" i="2"/>
  <c r="R221" i="2"/>
  <c r="Q221" i="2"/>
  <c r="P221" i="2"/>
  <c r="O221" i="2"/>
  <c r="N221" i="2"/>
  <c r="M221" i="2"/>
  <c r="L221" i="2"/>
  <c r="K221" i="2"/>
  <c r="J221" i="2"/>
  <c r="F221" i="2"/>
  <c r="E221" i="2"/>
  <c r="D221" i="2"/>
  <c r="V220" i="2"/>
  <c r="U220" i="2"/>
  <c r="T220" i="2"/>
  <c r="S220" i="2"/>
  <c r="R220" i="2"/>
  <c r="Q220" i="2"/>
  <c r="P220" i="2"/>
  <c r="O220" i="2"/>
  <c r="N220" i="2"/>
  <c r="M220" i="2"/>
  <c r="L220" i="2"/>
  <c r="K220" i="2"/>
  <c r="J220" i="2"/>
  <c r="AC190" i="2"/>
  <c r="AB190" i="2"/>
  <c r="AA190" i="2"/>
  <c r="Z190" i="2"/>
  <c r="Y190" i="2"/>
  <c r="X190" i="2"/>
  <c r="W190" i="2"/>
  <c r="V190" i="2"/>
  <c r="U190" i="2"/>
  <c r="T190" i="2"/>
  <c r="S190" i="2"/>
  <c r="R190" i="2"/>
  <c r="Q190" i="2"/>
  <c r="P190" i="2"/>
  <c r="O190" i="2"/>
  <c r="N190" i="2"/>
  <c r="M190" i="2"/>
  <c r="L190" i="2"/>
  <c r="K190" i="2"/>
  <c r="J190" i="2"/>
  <c r="F190" i="2"/>
  <c r="E190" i="2"/>
  <c r="D190" i="2"/>
  <c r="AC189" i="2"/>
  <c r="AB189" i="2"/>
  <c r="AA189" i="2"/>
  <c r="Z189" i="2"/>
  <c r="Y189" i="2"/>
  <c r="X189" i="2"/>
  <c r="W189" i="2"/>
  <c r="V189" i="2"/>
  <c r="U189" i="2"/>
  <c r="T189" i="2"/>
  <c r="S189" i="2"/>
  <c r="R189" i="2"/>
  <c r="Q189" i="2"/>
  <c r="P189" i="2"/>
  <c r="O189" i="2"/>
  <c r="N189" i="2"/>
  <c r="M189" i="2"/>
  <c r="L189" i="2"/>
  <c r="K189" i="2"/>
  <c r="J189" i="2"/>
  <c r="F189" i="2"/>
  <c r="E189" i="2"/>
  <c r="D189" i="2"/>
  <c r="AC188" i="2"/>
  <c r="AB188" i="2"/>
  <c r="AA188" i="2"/>
  <c r="Z188" i="2"/>
  <c r="Y188" i="2"/>
  <c r="X188" i="2"/>
  <c r="W188" i="2"/>
  <c r="V188" i="2"/>
  <c r="U188" i="2"/>
  <c r="T188" i="2"/>
  <c r="S188" i="2"/>
  <c r="R188" i="2"/>
  <c r="Q188" i="2"/>
  <c r="P188" i="2"/>
  <c r="O188" i="2"/>
  <c r="N188" i="2"/>
  <c r="M188" i="2"/>
  <c r="L188" i="2"/>
  <c r="K188" i="2"/>
  <c r="J188" i="2"/>
  <c r="F188" i="2"/>
  <c r="E188" i="2"/>
  <c r="D188"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B185" i="2"/>
  <c r="AA185" i="2"/>
  <c r="Z185" i="2"/>
  <c r="Y185" i="2"/>
  <c r="X185" i="2"/>
  <c r="W185" i="2"/>
  <c r="V185" i="2"/>
  <c r="U185" i="2"/>
  <c r="T185" i="2"/>
  <c r="S185" i="2"/>
  <c r="R185" i="2"/>
  <c r="Q185" i="2"/>
  <c r="P185" i="2"/>
  <c r="O185" i="2"/>
  <c r="N185" i="2"/>
  <c r="M185" i="2"/>
  <c r="L185" i="2"/>
  <c r="K185" i="2"/>
  <c r="J185" i="2"/>
  <c r="F185" i="2"/>
  <c r="E185" i="2"/>
  <c r="D185" i="2"/>
  <c r="AA184" i="2"/>
  <c r="Z184" i="2"/>
  <c r="Y184" i="2"/>
  <c r="X184" i="2"/>
  <c r="W184" i="2"/>
  <c r="V184" i="2"/>
  <c r="U184" i="2"/>
  <c r="T184" i="2"/>
  <c r="S184" i="2"/>
  <c r="R184" i="2"/>
  <c r="Q184" i="2"/>
  <c r="P184" i="2"/>
  <c r="O184" i="2"/>
  <c r="N184" i="2"/>
  <c r="M184" i="2"/>
  <c r="L184" i="2"/>
  <c r="K184" i="2"/>
  <c r="J184" i="2"/>
  <c r="F184" i="2"/>
  <c r="E184" i="2"/>
  <c r="D184" i="2"/>
  <c r="Z183" i="2"/>
  <c r="Y183" i="2"/>
  <c r="X183" i="2"/>
  <c r="W183" i="2"/>
  <c r="V183" i="2"/>
  <c r="U183" i="2"/>
  <c r="T183" i="2"/>
  <c r="S183" i="2"/>
  <c r="R183" i="2"/>
  <c r="Q183" i="2"/>
  <c r="P183" i="2"/>
  <c r="O183" i="2"/>
  <c r="N183" i="2"/>
  <c r="M183" i="2"/>
  <c r="L183" i="2"/>
  <c r="K183" i="2"/>
  <c r="J183" i="2"/>
  <c r="F183" i="2"/>
  <c r="E183" i="2"/>
  <c r="D183" i="2"/>
  <c r="Y182" i="2"/>
  <c r="X182" i="2"/>
  <c r="W182" i="2"/>
  <c r="V182" i="2"/>
  <c r="U182" i="2"/>
  <c r="T182" i="2"/>
  <c r="S182" i="2"/>
  <c r="R182" i="2"/>
  <c r="Q182" i="2"/>
  <c r="P182" i="2"/>
  <c r="O182" i="2"/>
  <c r="N182" i="2"/>
  <c r="M182" i="2"/>
  <c r="L182" i="2"/>
  <c r="K182" i="2"/>
  <c r="J182" i="2"/>
  <c r="F182" i="2"/>
  <c r="E182" i="2"/>
  <c r="D182" i="2"/>
  <c r="X181" i="2"/>
  <c r="W181" i="2"/>
  <c r="V181" i="2"/>
  <c r="U181" i="2"/>
  <c r="T181" i="2"/>
  <c r="S181" i="2"/>
  <c r="R181" i="2"/>
  <c r="Q181" i="2"/>
  <c r="P181" i="2"/>
  <c r="O181" i="2"/>
  <c r="N181" i="2"/>
  <c r="M181" i="2"/>
  <c r="L181" i="2"/>
  <c r="K181" i="2"/>
  <c r="J181" i="2"/>
  <c r="F181" i="2"/>
  <c r="E181" i="2"/>
  <c r="D181" i="2"/>
  <c r="W180" i="2"/>
  <c r="V180" i="2"/>
  <c r="U180" i="2"/>
  <c r="T180" i="2"/>
  <c r="S180" i="2"/>
  <c r="R180" i="2"/>
  <c r="Q180" i="2"/>
  <c r="P180" i="2"/>
  <c r="O180" i="2"/>
  <c r="N180" i="2"/>
  <c r="M180" i="2"/>
  <c r="L180" i="2"/>
  <c r="K180" i="2"/>
  <c r="J180" i="2"/>
  <c r="F180" i="2"/>
  <c r="E180" i="2"/>
  <c r="D180" i="2"/>
  <c r="V179" i="2"/>
  <c r="U179" i="2"/>
  <c r="T179" i="2"/>
  <c r="S179" i="2"/>
  <c r="R179" i="2"/>
  <c r="Q179" i="2"/>
  <c r="P179" i="2"/>
  <c r="O179" i="2"/>
  <c r="N179" i="2"/>
  <c r="M179" i="2"/>
  <c r="L179" i="2"/>
  <c r="K179" i="2"/>
  <c r="J179" i="2"/>
  <c r="AC173" i="2"/>
  <c r="AB173" i="2"/>
  <c r="AA173" i="2"/>
  <c r="Z173" i="2"/>
  <c r="Y173" i="2"/>
  <c r="X173" i="2"/>
  <c r="W173" i="2"/>
  <c r="V173" i="2"/>
  <c r="U173" i="2"/>
  <c r="T173" i="2"/>
  <c r="S173" i="2"/>
  <c r="R173" i="2"/>
  <c r="Q173" i="2"/>
  <c r="P173" i="2"/>
  <c r="O173" i="2"/>
  <c r="N173" i="2"/>
  <c r="M173" i="2"/>
  <c r="L173" i="2"/>
  <c r="K173" i="2"/>
  <c r="J173" i="2"/>
  <c r="F173" i="2"/>
  <c r="E173" i="2"/>
  <c r="D173" i="2"/>
  <c r="AC172" i="2"/>
  <c r="AB172" i="2"/>
  <c r="AA172" i="2"/>
  <c r="Z172" i="2"/>
  <c r="Y172" i="2"/>
  <c r="X172" i="2"/>
  <c r="W172" i="2"/>
  <c r="V172" i="2"/>
  <c r="U172" i="2"/>
  <c r="T172" i="2"/>
  <c r="S172" i="2"/>
  <c r="R172" i="2"/>
  <c r="Q172" i="2"/>
  <c r="P172" i="2"/>
  <c r="O172" i="2"/>
  <c r="N172" i="2"/>
  <c r="M172" i="2"/>
  <c r="L172" i="2"/>
  <c r="K172" i="2"/>
  <c r="J172" i="2"/>
  <c r="F172" i="2"/>
  <c r="E172" i="2"/>
  <c r="D172" i="2"/>
  <c r="AC171" i="2"/>
  <c r="AB171" i="2"/>
  <c r="AA171" i="2"/>
  <c r="Z171" i="2"/>
  <c r="Y171" i="2"/>
  <c r="X171" i="2"/>
  <c r="W171" i="2"/>
  <c r="V171" i="2"/>
  <c r="U171" i="2"/>
  <c r="T171" i="2"/>
  <c r="S171" i="2"/>
  <c r="R171" i="2"/>
  <c r="Q171" i="2"/>
  <c r="P171" i="2"/>
  <c r="O171" i="2"/>
  <c r="N171" i="2"/>
  <c r="M171" i="2"/>
  <c r="L171" i="2"/>
  <c r="K171" i="2"/>
  <c r="J171" i="2"/>
  <c r="F171" i="2"/>
  <c r="E171" i="2"/>
  <c r="D171" i="2"/>
  <c r="AC170" i="2"/>
  <c r="AB170" i="2"/>
  <c r="AA170" i="2"/>
  <c r="Z170" i="2"/>
  <c r="Y170" i="2"/>
  <c r="X170" i="2"/>
  <c r="W170" i="2"/>
  <c r="V170" i="2"/>
  <c r="U170" i="2"/>
  <c r="T170" i="2"/>
  <c r="S170" i="2"/>
  <c r="R170" i="2"/>
  <c r="Q170" i="2"/>
  <c r="P170" i="2"/>
  <c r="O170" i="2"/>
  <c r="N170" i="2"/>
  <c r="M170" i="2"/>
  <c r="L170" i="2"/>
  <c r="K170" i="2"/>
  <c r="J170" i="2"/>
  <c r="F170" i="2"/>
  <c r="E170" i="2"/>
  <c r="D170" i="2"/>
  <c r="AC169" i="2"/>
  <c r="AB169" i="2"/>
  <c r="AA169" i="2"/>
  <c r="Z169" i="2"/>
  <c r="Y169" i="2"/>
  <c r="X169" i="2"/>
  <c r="W169" i="2"/>
  <c r="V169" i="2"/>
  <c r="U169" i="2"/>
  <c r="T169" i="2"/>
  <c r="S169" i="2"/>
  <c r="R169" i="2"/>
  <c r="Q169" i="2"/>
  <c r="P169" i="2"/>
  <c r="O169" i="2"/>
  <c r="N169" i="2"/>
  <c r="M169" i="2"/>
  <c r="L169" i="2"/>
  <c r="K169" i="2"/>
  <c r="J169" i="2"/>
  <c r="F169" i="2"/>
  <c r="E169" i="2"/>
  <c r="D169" i="2"/>
  <c r="AB168" i="2"/>
  <c r="AA168" i="2"/>
  <c r="Z168" i="2"/>
  <c r="Y168" i="2"/>
  <c r="X168" i="2"/>
  <c r="W168" i="2"/>
  <c r="V168" i="2"/>
  <c r="U168" i="2"/>
  <c r="T168" i="2"/>
  <c r="S168" i="2"/>
  <c r="R168" i="2"/>
  <c r="Q168" i="2"/>
  <c r="P168" i="2"/>
  <c r="O168" i="2"/>
  <c r="N168" i="2"/>
  <c r="M168" i="2"/>
  <c r="L168" i="2"/>
  <c r="K168" i="2"/>
  <c r="J168" i="2"/>
  <c r="F168" i="2"/>
  <c r="E168" i="2"/>
  <c r="D168" i="2"/>
  <c r="AA167" i="2"/>
  <c r="Z167" i="2"/>
  <c r="Y167" i="2"/>
  <c r="X167" i="2"/>
  <c r="W167" i="2"/>
  <c r="V167" i="2"/>
  <c r="U167" i="2"/>
  <c r="T167" i="2"/>
  <c r="S167" i="2"/>
  <c r="R167" i="2"/>
  <c r="Q167" i="2"/>
  <c r="P167" i="2"/>
  <c r="O167" i="2"/>
  <c r="N167" i="2"/>
  <c r="M167" i="2"/>
  <c r="L167" i="2"/>
  <c r="K167" i="2"/>
  <c r="J167" i="2"/>
  <c r="F167" i="2"/>
  <c r="E167" i="2"/>
  <c r="D167" i="2"/>
  <c r="Z166" i="2"/>
  <c r="Y166" i="2"/>
  <c r="X166" i="2"/>
  <c r="W166" i="2"/>
  <c r="V166" i="2"/>
  <c r="U166" i="2"/>
  <c r="T166" i="2"/>
  <c r="S166" i="2"/>
  <c r="R166" i="2"/>
  <c r="Q166" i="2"/>
  <c r="P166" i="2"/>
  <c r="O166" i="2"/>
  <c r="N166" i="2"/>
  <c r="M166" i="2"/>
  <c r="L166" i="2"/>
  <c r="K166" i="2"/>
  <c r="J166" i="2"/>
  <c r="F166" i="2"/>
  <c r="E166" i="2"/>
  <c r="D166" i="2"/>
  <c r="Y165" i="2"/>
  <c r="X165" i="2"/>
  <c r="W165" i="2"/>
  <c r="V165" i="2"/>
  <c r="U165" i="2"/>
  <c r="T165" i="2"/>
  <c r="S165" i="2"/>
  <c r="R165" i="2"/>
  <c r="Q165" i="2"/>
  <c r="P165" i="2"/>
  <c r="O165" i="2"/>
  <c r="N165" i="2"/>
  <c r="M165" i="2"/>
  <c r="L165" i="2"/>
  <c r="K165" i="2"/>
  <c r="J165" i="2"/>
  <c r="F165" i="2"/>
  <c r="E165" i="2"/>
  <c r="D165" i="2"/>
  <c r="X164" i="2"/>
  <c r="W164" i="2"/>
  <c r="V164" i="2"/>
  <c r="U164" i="2"/>
  <c r="T164" i="2"/>
  <c r="S164" i="2"/>
  <c r="R164" i="2"/>
  <c r="Q164" i="2"/>
  <c r="P164" i="2"/>
  <c r="O164" i="2"/>
  <c r="N164" i="2"/>
  <c r="M164" i="2"/>
  <c r="L164" i="2"/>
  <c r="K164" i="2"/>
  <c r="J164" i="2"/>
  <c r="F164" i="2"/>
  <c r="E164" i="2"/>
  <c r="D164" i="2"/>
  <c r="W163" i="2"/>
  <c r="V163" i="2"/>
  <c r="U163" i="2"/>
  <c r="T163" i="2"/>
  <c r="S163" i="2"/>
  <c r="R163" i="2"/>
  <c r="Q163" i="2"/>
  <c r="P163" i="2"/>
  <c r="O163" i="2"/>
  <c r="N163" i="2"/>
  <c r="M163" i="2"/>
  <c r="L163" i="2"/>
  <c r="K163" i="2"/>
  <c r="J163" i="2"/>
  <c r="F163" i="2"/>
  <c r="E163" i="2"/>
  <c r="D163" i="2"/>
  <c r="V162" i="2"/>
  <c r="U162" i="2"/>
  <c r="T162" i="2"/>
  <c r="S162" i="2"/>
  <c r="R162" i="2"/>
  <c r="Q162" i="2"/>
  <c r="P162" i="2"/>
  <c r="O162" i="2"/>
  <c r="N162" i="2"/>
  <c r="M162" i="2"/>
  <c r="L162" i="2"/>
  <c r="K162" i="2"/>
  <c r="J162" i="2"/>
  <c r="AC131" i="2"/>
  <c r="AB131" i="2"/>
  <c r="AA131" i="2"/>
  <c r="Z131" i="2"/>
  <c r="Y131" i="2"/>
  <c r="X131" i="2"/>
  <c r="W131" i="2"/>
  <c r="V131" i="2"/>
  <c r="U131" i="2"/>
  <c r="T131" i="2"/>
  <c r="S131" i="2"/>
  <c r="R131" i="2"/>
  <c r="Q131" i="2"/>
  <c r="P131" i="2"/>
  <c r="O131" i="2"/>
  <c r="N131" i="2"/>
  <c r="M131" i="2"/>
  <c r="L131" i="2"/>
  <c r="K131" i="2"/>
  <c r="J131" i="2"/>
  <c r="F131" i="2"/>
  <c r="E131" i="2"/>
  <c r="D131" i="2"/>
  <c r="AC130" i="2"/>
  <c r="AB130" i="2"/>
  <c r="AA130" i="2"/>
  <c r="Z130" i="2"/>
  <c r="Y130" i="2"/>
  <c r="X130" i="2"/>
  <c r="W130" i="2"/>
  <c r="V130" i="2"/>
  <c r="U130" i="2"/>
  <c r="T130" i="2"/>
  <c r="S130" i="2"/>
  <c r="R130" i="2"/>
  <c r="Q130" i="2"/>
  <c r="P130" i="2"/>
  <c r="O130" i="2"/>
  <c r="N130" i="2"/>
  <c r="M130" i="2"/>
  <c r="L130" i="2"/>
  <c r="K130" i="2"/>
  <c r="J130" i="2"/>
  <c r="F130" i="2"/>
  <c r="E130" i="2"/>
  <c r="D130" i="2"/>
  <c r="AC129" i="2"/>
  <c r="AB129" i="2"/>
  <c r="AA129" i="2"/>
  <c r="Z129" i="2"/>
  <c r="Y129" i="2"/>
  <c r="X129" i="2"/>
  <c r="W129" i="2"/>
  <c r="V129" i="2"/>
  <c r="U129" i="2"/>
  <c r="T129" i="2"/>
  <c r="S129" i="2"/>
  <c r="R129" i="2"/>
  <c r="Q129" i="2"/>
  <c r="P129" i="2"/>
  <c r="O129" i="2"/>
  <c r="N129" i="2"/>
  <c r="M129" i="2"/>
  <c r="L129" i="2"/>
  <c r="K129" i="2"/>
  <c r="J129" i="2"/>
  <c r="F129" i="2"/>
  <c r="E129" i="2"/>
  <c r="D129" i="2"/>
  <c r="AC128" i="2"/>
  <c r="AB128" i="2"/>
  <c r="AA128" i="2"/>
  <c r="Z128" i="2"/>
  <c r="Y128" i="2"/>
  <c r="X128" i="2"/>
  <c r="W128" i="2"/>
  <c r="V128" i="2"/>
  <c r="U128" i="2"/>
  <c r="T128" i="2"/>
  <c r="S128" i="2"/>
  <c r="R128" i="2"/>
  <c r="Q128" i="2"/>
  <c r="P128" i="2"/>
  <c r="O128" i="2"/>
  <c r="N128" i="2"/>
  <c r="M128" i="2"/>
  <c r="L128" i="2"/>
  <c r="K128" i="2"/>
  <c r="J128" i="2"/>
  <c r="F128" i="2"/>
  <c r="E128" i="2"/>
  <c r="D128" i="2"/>
  <c r="AC127" i="2"/>
  <c r="AB127" i="2"/>
  <c r="AA127" i="2"/>
  <c r="Z127" i="2"/>
  <c r="Y127" i="2"/>
  <c r="X127" i="2"/>
  <c r="W127" i="2"/>
  <c r="V127" i="2"/>
  <c r="U127" i="2"/>
  <c r="T127" i="2"/>
  <c r="S127" i="2"/>
  <c r="R127" i="2"/>
  <c r="Q127" i="2"/>
  <c r="P127" i="2"/>
  <c r="O127" i="2"/>
  <c r="N127" i="2"/>
  <c r="M127" i="2"/>
  <c r="L127" i="2"/>
  <c r="K127" i="2"/>
  <c r="J127" i="2"/>
  <c r="F127" i="2"/>
  <c r="E127" i="2"/>
  <c r="D127" i="2"/>
  <c r="AB126" i="2"/>
  <c r="AA126" i="2"/>
  <c r="Z126" i="2"/>
  <c r="Y126" i="2"/>
  <c r="X126" i="2"/>
  <c r="W126" i="2"/>
  <c r="V126" i="2"/>
  <c r="U126" i="2"/>
  <c r="T126" i="2"/>
  <c r="S126" i="2"/>
  <c r="R126" i="2"/>
  <c r="Q126" i="2"/>
  <c r="P126" i="2"/>
  <c r="O126" i="2"/>
  <c r="N126" i="2"/>
  <c r="M126" i="2"/>
  <c r="L126" i="2"/>
  <c r="K126" i="2"/>
  <c r="J126" i="2"/>
  <c r="F126" i="2"/>
  <c r="E126" i="2"/>
  <c r="D126" i="2"/>
  <c r="AA125" i="2"/>
  <c r="Z125" i="2"/>
  <c r="Y125" i="2"/>
  <c r="X125" i="2"/>
  <c r="W125" i="2"/>
  <c r="V125" i="2"/>
  <c r="U125" i="2"/>
  <c r="T125" i="2"/>
  <c r="S125" i="2"/>
  <c r="R125" i="2"/>
  <c r="Q125" i="2"/>
  <c r="P125" i="2"/>
  <c r="O125" i="2"/>
  <c r="N125" i="2"/>
  <c r="M125" i="2"/>
  <c r="L125" i="2"/>
  <c r="K125" i="2"/>
  <c r="J125" i="2"/>
  <c r="F125" i="2"/>
  <c r="E125" i="2"/>
  <c r="D125" i="2"/>
  <c r="Z124" i="2"/>
  <c r="Y124" i="2"/>
  <c r="X124" i="2"/>
  <c r="W124" i="2"/>
  <c r="V124" i="2"/>
  <c r="U124" i="2"/>
  <c r="T124" i="2"/>
  <c r="S124" i="2"/>
  <c r="R124" i="2"/>
  <c r="Q124" i="2"/>
  <c r="P124" i="2"/>
  <c r="O124" i="2"/>
  <c r="N124" i="2"/>
  <c r="M124" i="2"/>
  <c r="L124" i="2"/>
  <c r="K124" i="2"/>
  <c r="J124" i="2"/>
  <c r="F124" i="2"/>
  <c r="E124" i="2"/>
  <c r="D124" i="2"/>
  <c r="Y123" i="2"/>
  <c r="X123" i="2"/>
  <c r="W123" i="2"/>
  <c r="V123" i="2"/>
  <c r="U123" i="2"/>
  <c r="T123" i="2"/>
  <c r="S123" i="2"/>
  <c r="R123" i="2"/>
  <c r="Q123" i="2"/>
  <c r="P123" i="2"/>
  <c r="O123" i="2"/>
  <c r="N123" i="2"/>
  <c r="M123" i="2"/>
  <c r="L123" i="2"/>
  <c r="K123" i="2"/>
  <c r="J123" i="2"/>
  <c r="F123" i="2"/>
  <c r="E123" i="2"/>
  <c r="D123" i="2"/>
  <c r="X122" i="2"/>
  <c r="W122" i="2"/>
  <c r="V122" i="2"/>
  <c r="U122" i="2"/>
  <c r="T122" i="2"/>
  <c r="S122" i="2"/>
  <c r="R122" i="2"/>
  <c r="Q122" i="2"/>
  <c r="P122" i="2"/>
  <c r="O122" i="2"/>
  <c r="N122" i="2"/>
  <c r="M122" i="2"/>
  <c r="L122" i="2"/>
  <c r="K122" i="2"/>
  <c r="J122" i="2"/>
  <c r="F122" i="2"/>
  <c r="E122" i="2"/>
  <c r="D122" i="2"/>
  <c r="W121" i="2"/>
  <c r="V121" i="2"/>
  <c r="U121" i="2"/>
  <c r="T121" i="2"/>
  <c r="S121" i="2"/>
  <c r="R121" i="2"/>
  <c r="Q121" i="2"/>
  <c r="P121" i="2"/>
  <c r="O121" i="2"/>
  <c r="N121" i="2"/>
  <c r="M121" i="2"/>
  <c r="L121" i="2"/>
  <c r="K121" i="2"/>
  <c r="J121" i="2"/>
  <c r="F121" i="2"/>
  <c r="E121" i="2"/>
  <c r="D121" i="2"/>
  <c r="V120" i="2"/>
  <c r="U120" i="2"/>
  <c r="T120" i="2"/>
  <c r="S120" i="2"/>
  <c r="R120" i="2"/>
  <c r="Q120" i="2"/>
  <c r="P120" i="2"/>
  <c r="O120" i="2"/>
  <c r="N120" i="2"/>
  <c r="M120" i="2"/>
  <c r="L120" i="2"/>
  <c r="K120" i="2"/>
  <c r="J120"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89" i="2"/>
  <c r="F88" i="2"/>
  <c r="F87" i="2"/>
  <c r="F86" i="2"/>
  <c r="F85" i="2"/>
  <c r="F84" i="2"/>
  <c r="F83" i="2"/>
  <c r="F82" i="2"/>
  <c r="F81" i="2"/>
  <c r="F80" i="2"/>
  <c r="F79" i="2"/>
  <c r="E89" i="2"/>
  <c r="E88" i="2"/>
  <c r="E87" i="2"/>
  <c r="E86" i="2"/>
  <c r="E85" i="2"/>
  <c r="E84" i="2"/>
  <c r="E83" i="2"/>
  <c r="E82" i="2"/>
  <c r="E81" i="2"/>
  <c r="E80" i="2"/>
  <c r="E79" i="2"/>
  <c r="D89" i="2"/>
  <c r="D88" i="2"/>
  <c r="D87" i="2"/>
  <c r="D86" i="2"/>
  <c r="D85" i="2"/>
  <c r="D84" i="2"/>
  <c r="D83" i="2"/>
  <c r="D82" i="2"/>
  <c r="D81" i="2"/>
  <c r="D80" i="2"/>
  <c r="D79" i="2"/>
  <c r="AC89" i="2"/>
  <c r="AC88" i="2"/>
  <c r="AC87" i="2"/>
  <c r="AC86" i="2"/>
  <c r="AC85" i="2"/>
  <c r="AB89" i="2"/>
  <c r="AB88" i="2"/>
  <c r="AB87" i="2"/>
  <c r="AB86" i="2"/>
  <c r="AB85" i="2"/>
  <c r="AB84" i="2"/>
  <c r="AA89" i="2"/>
  <c r="AA88" i="2"/>
  <c r="AA87" i="2"/>
  <c r="AA86" i="2"/>
  <c r="AA85" i="2"/>
  <c r="AA84" i="2"/>
  <c r="AA83" i="2"/>
  <c r="Z89" i="2"/>
  <c r="Z88" i="2"/>
  <c r="Z87" i="2"/>
  <c r="Z86" i="2"/>
  <c r="Z85" i="2"/>
  <c r="Z84" i="2"/>
  <c r="Z83" i="2"/>
  <c r="Z82" i="2"/>
  <c r="Y89" i="2"/>
  <c r="Y88" i="2"/>
  <c r="Y87" i="2"/>
  <c r="Y86" i="2"/>
  <c r="Y85" i="2"/>
  <c r="Y84" i="2"/>
  <c r="Y83" i="2"/>
  <c r="Y82" i="2"/>
  <c r="Y81" i="2"/>
  <c r="X89" i="2"/>
  <c r="X88" i="2"/>
  <c r="X87" i="2"/>
  <c r="X86" i="2"/>
  <c r="X85" i="2"/>
  <c r="X84" i="2"/>
  <c r="X83" i="2"/>
  <c r="X82" i="2"/>
  <c r="X81" i="2"/>
  <c r="X80" i="2"/>
  <c r="W89" i="2"/>
  <c r="W88" i="2"/>
  <c r="W87" i="2"/>
  <c r="W86" i="2"/>
  <c r="W85" i="2"/>
  <c r="W84" i="2"/>
  <c r="W83" i="2"/>
  <c r="W82" i="2"/>
  <c r="W81" i="2"/>
  <c r="W80" i="2"/>
  <c r="W79" i="2"/>
  <c r="V89" i="2"/>
  <c r="V88" i="2"/>
  <c r="V87" i="2"/>
  <c r="V86" i="2"/>
  <c r="V85" i="2"/>
  <c r="V84" i="2"/>
  <c r="V83" i="2"/>
  <c r="V82" i="2"/>
  <c r="V81" i="2"/>
  <c r="V80" i="2"/>
  <c r="V79" i="2"/>
  <c r="U88" i="2"/>
  <c r="U87" i="2"/>
  <c r="U86" i="2"/>
  <c r="U85" i="2"/>
  <c r="U84" i="2"/>
  <c r="U83" i="2"/>
  <c r="U82" i="2"/>
  <c r="U81" i="2"/>
  <c r="U80" i="2"/>
  <c r="U79" i="2"/>
  <c r="T87" i="2"/>
  <c r="T86" i="2"/>
  <c r="T85" i="2"/>
  <c r="T84" i="2"/>
  <c r="T83" i="2"/>
  <c r="T82" i="2"/>
  <c r="T81" i="2"/>
  <c r="T80" i="2"/>
  <c r="T79" i="2"/>
  <c r="S86" i="2"/>
  <c r="S85" i="2"/>
  <c r="S84" i="2"/>
  <c r="S83" i="2"/>
  <c r="S82" i="2"/>
  <c r="S81" i="2"/>
  <c r="S80" i="2"/>
  <c r="S79" i="2"/>
  <c r="R85" i="2"/>
  <c r="R84" i="2"/>
  <c r="R83" i="2"/>
  <c r="R82" i="2"/>
  <c r="R81" i="2"/>
  <c r="R80" i="2"/>
  <c r="R79" i="2"/>
  <c r="Q84" i="2"/>
  <c r="Q83" i="2"/>
  <c r="Q82" i="2"/>
  <c r="Q81" i="2"/>
  <c r="Q80" i="2"/>
  <c r="Q79" i="2"/>
  <c r="P83" i="2"/>
  <c r="P82" i="2"/>
  <c r="P81" i="2"/>
  <c r="P80" i="2"/>
  <c r="P79" i="2"/>
  <c r="O82" i="2"/>
  <c r="O81" i="2"/>
  <c r="O80" i="2"/>
  <c r="O79" i="2"/>
  <c r="N81" i="2"/>
  <c r="N80" i="2"/>
  <c r="N79" i="2"/>
  <c r="M80" i="2"/>
  <c r="M79" i="2"/>
  <c r="L79" i="2"/>
  <c r="V78" i="2"/>
  <c r="U78" i="2"/>
  <c r="T78" i="2"/>
  <c r="S78" i="2"/>
  <c r="R78" i="2"/>
  <c r="Q78" i="2"/>
  <c r="P78" i="2"/>
  <c r="O78" i="2"/>
  <c r="N78" i="2"/>
  <c r="M78" i="2"/>
  <c r="L78" i="2"/>
  <c r="K78" i="2"/>
  <c r="J78" i="2"/>
  <c r="G79" i="2"/>
  <c r="J79" i="2"/>
  <c r="K79" i="2"/>
  <c r="G80" i="2"/>
  <c r="J80" i="2"/>
  <c r="K80" i="2"/>
  <c r="L80" i="2"/>
  <c r="G81" i="2"/>
  <c r="J81" i="2"/>
  <c r="K81" i="2"/>
  <c r="L81" i="2"/>
  <c r="M81" i="2"/>
  <c r="G82" i="2"/>
  <c r="J82" i="2"/>
  <c r="K82" i="2"/>
  <c r="L82" i="2"/>
  <c r="M82" i="2"/>
  <c r="N82" i="2"/>
  <c r="G83" i="2"/>
  <c r="J83" i="2"/>
  <c r="K83" i="2"/>
  <c r="L83" i="2"/>
  <c r="M83" i="2"/>
  <c r="N83" i="2"/>
  <c r="O83" i="2"/>
  <c r="G84" i="2"/>
  <c r="J84" i="2"/>
  <c r="K84" i="2"/>
  <c r="L84" i="2"/>
  <c r="M84" i="2"/>
  <c r="N84" i="2"/>
  <c r="O84" i="2"/>
  <c r="P84" i="2"/>
  <c r="G85" i="2"/>
  <c r="J85" i="2"/>
  <c r="K85" i="2"/>
  <c r="L85" i="2"/>
  <c r="M85" i="2"/>
  <c r="N85" i="2"/>
  <c r="O85" i="2"/>
  <c r="P85" i="2"/>
  <c r="Q85" i="2"/>
  <c r="G86" i="2"/>
  <c r="J86" i="2"/>
  <c r="K86" i="2"/>
  <c r="L86" i="2"/>
  <c r="M86" i="2"/>
  <c r="N86" i="2"/>
  <c r="O86" i="2"/>
  <c r="P86" i="2"/>
  <c r="Q86" i="2"/>
  <c r="R86" i="2"/>
  <c r="G87" i="2"/>
  <c r="J87" i="2"/>
  <c r="K87" i="2"/>
  <c r="L87" i="2"/>
  <c r="M87" i="2"/>
  <c r="N87" i="2"/>
  <c r="O87" i="2"/>
  <c r="P87" i="2"/>
  <c r="Q87" i="2"/>
  <c r="R87" i="2"/>
  <c r="S87" i="2"/>
  <c r="G88" i="2"/>
  <c r="J88" i="2"/>
  <c r="K88" i="2"/>
  <c r="L88" i="2"/>
  <c r="M88" i="2"/>
  <c r="N88" i="2"/>
  <c r="O88" i="2"/>
  <c r="P88" i="2"/>
  <c r="Q88" i="2"/>
  <c r="R88" i="2"/>
  <c r="S88" i="2"/>
  <c r="T88" i="2"/>
  <c r="G89" i="2"/>
  <c r="J89" i="2"/>
  <c r="K89" i="2"/>
  <c r="L89" i="2"/>
  <c r="M89" i="2"/>
  <c r="N89" i="2"/>
  <c r="O89" i="2"/>
  <c r="P89" i="2"/>
  <c r="Q89" i="2"/>
  <c r="R89" i="2"/>
  <c r="S89" i="2"/>
  <c r="T89" i="2"/>
  <c r="U89" i="2"/>
  <c r="K54" i="2" l="1"/>
  <c r="AF54" i="2"/>
  <c r="AE30" i="2"/>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45" i="2"/>
  <c r="AG145" i="2" s="1"/>
  <c r="AE144" i="2"/>
  <c r="AG144" i="2" s="1"/>
  <c r="AE137" i="2"/>
  <c r="AG137" i="2" s="1"/>
  <c r="J136" i="2"/>
  <c r="AE146" i="2"/>
  <c r="AG146" i="2" s="1"/>
  <c r="AE149" i="2"/>
  <c r="AG149" i="2" s="1"/>
  <c r="AE154" i="2"/>
  <c r="AG154" i="2" s="1"/>
  <c r="AE139" i="2"/>
  <c r="AG139" i="2" s="1"/>
  <c r="AE142" i="2"/>
  <c r="AG142" i="2" s="1"/>
  <c r="AE150" i="2"/>
  <c r="AG150" i="2" s="1"/>
  <c r="AE153" i="2"/>
  <c r="AG153" i="2" s="1"/>
  <c r="AE138" i="2"/>
  <c r="AG138" i="2" s="1"/>
  <c r="AE151" i="2"/>
  <c r="AG151" i="2" s="1"/>
  <c r="AE152" i="2"/>
  <c r="AG152" i="2" s="1"/>
  <c r="AE147" i="2"/>
  <c r="AG147" i="2" s="1"/>
  <c r="N140" i="2"/>
  <c r="O140" i="2" s="1"/>
  <c r="P140" i="2" s="1"/>
  <c r="Q140" i="2" s="1"/>
  <c r="R140" i="2" s="1"/>
  <c r="S140" i="2" s="1"/>
  <c r="T140" i="2" s="1"/>
  <c r="U140" i="2" s="1"/>
  <c r="V140" i="2" s="1"/>
  <c r="W140" i="2" s="1"/>
  <c r="X140" i="2" s="1"/>
  <c r="Y140" i="2" s="1"/>
  <c r="Z140" i="2" s="1"/>
  <c r="AA140" i="2" s="1"/>
  <c r="AB140" i="2" s="1"/>
  <c r="AC140" i="2" s="1"/>
  <c r="AE141" i="2"/>
  <c r="AG141" i="2" s="1"/>
  <c r="AE143" i="2"/>
  <c r="AG143" i="2" s="1"/>
  <c r="AE148" i="2"/>
  <c r="AG148" i="2" s="1"/>
  <c r="AE155" i="2"/>
  <c r="AG155" i="2" s="1"/>
  <c r="AE140" i="2"/>
  <c r="AG140" i="2" s="1"/>
  <c r="AE203" i="2"/>
  <c r="AG203" i="2" s="1"/>
  <c r="AE198" i="2"/>
  <c r="AG198" i="2" s="1"/>
  <c r="AE205" i="2"/>
  <c r="AG205" i="2" s="1"/>
  <c r="AE208" i="2"/>
  <c r="AG208" i="2" s="1"/>
  <c r="AE213" i="2"/>
  <c r="AG213" i="2" s="1"/>
  <c r="AE201" i="2"/>
  <c r="AG201" i="2" s="1"/>
  <c r="AE209" i="2"/>
  <c r="AG209" i="2" s="1"/>
  <c r="AE212" i="2"/>
  <c r="AG212" i="2" s="1"/>
  <c r="AE197" i="2"/>
  <c r="AG197" i="2" s="1"/>
  <c r="AE210" i="2"/>
  <c r="AG210" i="2" s="1"/>
  <c r="AE211" i="2"/>
  <c r="AG211" i="2" s="1"/>
  <c r="AE195" i="2"/>
  <c r="AG195" i="2" s="1"/>
  <c r="AE196" i="2"/>
  <c r="AG196" i="2" s="1"/>
  <c r="AE206" i="2"/>
  <c r="AG206" i="2" s="1"/>
  <c r="AE200" i="2"/>
  <c r="AG200" i="2" s="1"/>
  <c r="AE204" i="2"/>
  <c r="AG204" i="2" s="1"/>
  <c r="AE202" i="2"/>
  <c r="AG202" i="2" s="1"/>
  <c r="J195" i="2"/>
  <c r="AE207" i="2"/>
  <c r="AG207" i="2" s="1"/>
  <c r="AE214" i="2"/>
  <c r="AG214" i="2" s="1"/>
  <c r="AE199" i="2"/>
  <c r="AG199" i="2" s="1"/>
  <c r="AE103" i="2"/>
  <c r="AG103" i="2" s="1"/>
  <c r="AE102" i="2"/>
  <c r="AG102" i="2" s="1"/>
  <c r="AE105" i="2"/>
  <c r="AG105" i="2" s="1"/>
  <c r="AE108" i="2"/>
  <c r="AG108" i="2" s="1"/>
  <c r="AE113" i="2"/>
  <c r="AG113" i="2" s="1"/>
  <c r="AE98" i="2"/>
  <c r="AG98" i="2" s="1"/>
  <c r="AE101" i="2"/>
  <c r="AG101" i="2" s="1"/>
  <c r="AE109" i="2"/>
  <c r="AG109" i="2" s="1"/>
  <c r="AE112" i="2"/>
  <c r="AG112" i="2" s="1"/>
  <c r="AE97" i="2"/>
  <c r="AG97" i="2" s="1"/>
  <c r="AE110" i="2"/>
  <c r="AG110" i="2" s="1"/>
  <c r="AE111" i="2"/>
  <c r="AG111" i="2" s="1"/>
  <c r="AE95" i="2"/>
  <c r="AG95" i="2" s="1"/>
  <c r="AE96" i="2"/>
  <c r="AG96" i="2" s="1"/>
  <c r="AE106" i="2"/>
  <c r="AG106" i="2" s="1"/>
  <c r="AE100" i="2"/>
  <c r="AG100" i="2" s="1"/>
  <c r="AE104" i="2"/>
  <c r="AG104" i="2" s="1"/>
  <c r="AE107" i="2"/>
  <c r="AG107" i="2" s="1"/>
  <c r="AE114" i="2"/>
  <c r="AG114" i="2" s="1"/>
  <c r="AE99" i="2"/>
  <c r="AG99" i="2" s="1"/>
  <c r="J95"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84" i="2"/>
  <c r="AG84" i="2" s="1"/>
  <c r="AE164" i="2"/>
  <c r="AG164" i="2" s="1"/>
  <c r="AF166" i="2"/>
  <c r="AF245" i="2"/>
  <c r="AF259" i="2"/>
  <c r="AF221" i="2"/>
  <c r="AF164" i="2"/>
  <c r="AF242" i="2"/>
  <c r="AE261" i="2"/>
  <c r="AG261" i="2" s="1"/>
  <c r="AE181" i="2"/>
  <c r="AG181" i="2" s="1"/>
  <c r="AE238" i="2"/>
  <c r="AG238" i="2" s="1"/>
  <c r="AF220" i="2"/>
  <c r="AE228" i="2"/>
  <c r="AG228" i="2" s="1"/>
  <c r="AE229" i="2"/>
  <c r="AG229" i="2" s="1"/>
  <c r="AE124" i="2"/>
  <c r="AG124" i="2" s="1"/>
  <c r="AF83" i="2"/>
  <c r="AF82" i="2"/>
  <c r="AF79" i="2"/>
  <c r="AE131" i="2"/>
  <c r="AG131" i="2" s="1"/>
  <c r="AE184" i="2"/>
  <c r="AG184" i="2" s="1"/>
  <c r="AF227" i="2"/>
  <c r="AE257" i="2"/>
  <c r="AG257" i="2" s="1"/>
  <c r="AE260" i="2"/>
  <c r="AG260" i="2" s="1"/>
  <c r="AE123" i="2"/>
  <c r="AG123" i="2" s="1"/>
  <c r="AF180" i="2"/>
  <c r="AE263" i="2"/>
  <c r="AG263" i="2" s="1"/>
  <c r="AF124" i="2"/>
  <c r="AE130" i="2"/>
  <c r="AG130" i="2" s="1"/>
  <c r="AE162" i="2"/>
  <c r="AG162" i="2" s="1"/>
  <c r="AE239" i="2"/>
  <c r="AG239" i="2" s="1"/>
  <c r="AE255" i="2"/>
  <c r="AG255" i="2" s="1"/>
  <c r="AE122" i="2"/>
  <c r="AG122" i="2" s="1"/>
  <c r="AF163" i="2"/>
  <c r="AF78" i="2"/>
  <c r="AE223" i="2"/>
  <c r="AG223" i="2" s="1"/>
  <c r="AF121" i="2"/>
  <c r="AF260" i="2"/>
  <c r="AF131" i="2"/>
  <c r="AE227" i="2"/>
  <c r="AG227" i="2" s="1"/>
  <c r="AF243" i="2"/>
  <c r="AF237" i="2"/>
  <c r="AE221" i="2"/>
  <c r="AG221" i="2" s="1"/>
  <c r="AE86" i="2"/>
  <c r="AG86" i="2" s="1"/>
  <c r="AE126" i="2"/>
  <c r="AG126" i="2" s="1"/>
  <c r="AE169" i="2"/>
  <c r="AG169" i="2" s="1"/>
  <c r="AF179" i="2"/>
  <c r="AF225" i="2"/>
  <c r="AF185" i="2"/>
  <c r="AE225" i="2"/>
  <c r="AG225" i="2" s="1"/>
  <c r="AE81" i="2"/>
  <c r="AG81" i="2" s="1"/>
  <c r="AF87" i="2"/>
  <c r="AE183" i="2"/>
  <c r="AG183" i="2" s="1"/>
  <c r="AE79" i="2"/>
  <c r="AG79" i="2" s="1"/>
  <c r="AE120" i="2"/>
  <c r="AG120" i="2" s="1"/>
  <c r="AF128" i="2"/>
  <c r="AF130" i="2"/>
  <c r="AE163" i="2"/>
  <c r="AG163" i="2" s="1"/>
  <c r="AF165" i="2"/>
  <c r="AE167" i="2"/>
  <c r="AG167" i="2" s="1"/>
  <c r="AE179" i="2"/>
  <c r="AG179" i="2" s="1"/>
  <c r="AE180" i="2"/>
  <c r="AG180" i="2" s="1"/>
  <c r="AF181" i="2"/>
  <c r="AF182" i="2"/>
  <c r="AF222" i="2"/>
  <c r="AF226" i="2"/>
  <c r="AE237" i="2"/>
  <c r="AG237" i="2" s="1"/>
  <c r="AF240" i="2"/>
  <c r="AF241" i="2"/>
  <c r="AE243" i="2"/>
  <c r="AG243" i="2" s="1"/>
  <c r="AE248" i="2"/>
  <c r="AG248" i="2" s="1"/>
  <c r="AF255" i="2"/>
  <c r="AF256" i="2"/>
  <c r="AE258" i="2"/>
  <c r="AG258" i="2" s="1"/>
  <c r="AE259" i="2"/>
  <c r="AG259" i="2" s="1"/>
  <c r="AE262" i="2"/>
  <c r="AG262" i="2" s="1"/>
  <c r="AF263" i="2"/>
  <c r="AE264" i="2"/>
  <c r="AG264" i="2" s="1"/>
  <c r="AF85" i="2"/>
  <c r="AF86" i="2"/>
  <c r="AE168" i="2"/>
  <c r="AG168" i="2" s="1"/>
  <c r="AE226" i="2"/>
  <c r="AG226" i="2" s="1"/>
  <c r="AE87" i="2"/>
  <c r="AG87" i="2" s="1"/>
  <c r="AE85" i="2"/>
  <c r="AG85" i="2" s="1"/>
  <c r="AE89" i="2"/>
  <c r="AG89" i="2" s="1"/>
  <c r="AF88" i="2"/>
  <c r="AF80" i="2"/>
  <c r="AE182" i="2"/>
  <c r="AG182" i="2" s="1"/>
  <c r="AE224" i="2"/>
  <c r="AG224" i="2" s="1"/>
  <c r="AE230" i="2"/>
  <c r="AG230" i="2" s="1"/>
  <c r="AE254" i="2"/>
  <c r="AG254" i="2" s="1"/>
  <c r="AF262" i="2"/>
  <c r="AE83" i="2"/>
  <c r="AG83" i="2" s="1"/>
  <c r="AE241" i="2"/>
  <c r="AG241" i="2" s="1"/>
  <c r="AE80" i="2"/>
  <c r="AG80" i="2" s="1"/>
  <c r="AE121" i="2"/>
  <c r="AG121" i="2" s="1"/>
  <c r="AE222" i="2"/>
  <c r="AG222" i="2" s="1"/>
  <c r="AF184" i="2"/>
  <c r="AF261" i="2"/>
  <c r="AF125" i="2"/>
  <c r="AF265" i="2"/>
  <c r="AF183" i="2"/>
  <c r="AF248" i="2"/>
  <c r="AF264" i="2"/>
  <c r="AE78" i="2"/>
  <c r="AG78" i="2" s="1"/>
  <c r="AF84" i="2"/>
  <c r="AE166" i="2"/>
  <c r="AG166" i="2" s="1"/>
  <c r="AE220" i="2"/>
  <c r="AG220" i="2" s="1"/>
  <c r="AF120" i="2"/>
  <c r="AF258" i="2"/>
  <c r="AE190" i="2"/>
  <c r="AG190" i="2" s="1"/>
  <c r="AF230" i="2"/>
  <c r="AF246" i="2"/>
  <c r="AF247" i="2"/>
  <c r="AE165" i="2"/>
  <c r="AG165" i="2" s="1"/>
  <c r="AE247" i="2"/>
  <c r="AG247" i="2" s="1"/>
  <c r="AF162" i="2"/>
  <c r="AF257" i="2"/>
  <c r="AF173" i="2"/>
  <c r="AF189" i="2"/>
  <c r="AF229" i="2"/>
  <c r="AE245" i="2"/>
  <c r="AG245" i="2" s="1"/>
  <c r="AF89" i="2"/>
  <c r="AF167" i="2"/>
  <c r="AF172" i="2"/>
  <c r="AE188" i="2"/>
  <c r="AG188" i="2" s="1"/>
  <c r="AF228" i="2"/>
  <c r="AE244" i="2"/>
  <c r="AG244" i="2" s="1"/>
  <c r="AE240" i="2"/>
  <c r="AG240" i="2" s="1"/>
  <c r="AF239" i="2"/>
  <c r="AF170" i="2"/>
  <c r="AF186" i="2"/>
  <c r="AE242" i="2"/>
  <c r="AG242" i="2" s="1"/>
  <c r="AF171" i="2"/>
  <c r="AE88" i="2"/>
  <c r="AG88" i="2" s="1"/>
  <c r="AE186" i="2"/>
  <c r="AG186" i="2" s="1"/>
  <c r="AF238" i="2"/>
  <c r="AF129" i="2"/>
  <c r="AF169" i="2"/>
  <c r="AF81" i="2"/>
  <c r="AE172" i="2"/>
  <c r="AG172" i="2" s="1"/>
  <c r="AE185" i="2"/>
  <c r="AG185" i="2" s="1"/>
  <c r="AF122" i="2"/>
  <c r="AF224" i="2"/>
  <c r="AF254" i="2"/>
  <c r="AE128" i="2"/>
  <c r="AG128" i="2" s="1"/>
  <c r="AF168" i="2"/>
  <c r="AE256" i="2"/>
  <c r="AG256" i="2" s="1"/>
  <c r="AF231" i="2"/>
  <c r="AE187" i="2"/>
  <c r="AG187" i="2" s="1"/>
  <c r="AE82" i="2"/>
  <c r="AG82" i="2" s="1"/>
  <c r="AE173" i="2"/>
  <c r="AG173" i="2" s="1"/>
  <c r="AF123" i="2"/>
  <c r="AE171" i="2"/>
  <c r="AG171" i="2" s="1"/>
  <c r="AF223" i="2"/>
  <c r="AF127" i="2"/>
  <c r="AE170" i="2"/>
  <c r="AG170" i="2" s="1"/>
  <c r="AE265" i="2"/>
  <c r="AG265" i="2" s="1"/>
  <c r="AF126" i="2"/>
  <c r="AF244" i="2"/>
  <c r="AE246" i="2"/>
  <c r="AG246" i="2" s="1"/>
  <c r="AE231" i="2"/>
  <c r="AG231" i="2" s="1"/>
  <c r="AF190" i="2"/>
  <c r="AE189" i="2"/>
  <c r="AG189" i="2" s="1"/>
  <c r="AF188" i="2"/>
  <c r="AF187" i="2"/>
  <c r="AE129" i="2"/>
  <c r="AG129" i="2" s="1"/>
  <c r="AE127" i="2"/>
  <c r="AG127" i="2" s="1"/>
  <c r="AE125" i="2"/>
  <c r="AG125" i="2" s="1"/>
  <c r="AF55" i="2" l="1"/>
  <c r="L54" i="2"/>
  <c r="K29" i="2"/>
  <c r="AF29" i="2"/>
  <c r="K136" i="2"/>
  <c r="AF136" i="2"/>
  <c r="K195" i="2"/>
  <c r="AF195" i="2"/>
  <c r="K95" i="2"/>
  <c r="AF95" i="2"/>
  <c r="M6" i="2"/>
  <c r="AF7" i="2"/>
  <c r="M54" i="2" l="1"/>
  <c r="AF56" i="2"/>
  <c r="L29" i="2"/>
  <c r="AF30" i="2"/>
  <c r="L136" i="2"/>
  <c r="AF137" i="2"/>
  <c r="L195" i="2"/>
  <c r="AF196" i="2"/>
  <c r="L95" i="2"/>
  <c r="AF96" i="2"/>
  <c r="AF8" i="2"/>
  <c r="N6" i="2"/>
  <c r="AF57" i="2" l="1"/>
  <c r="N54" i="2"/>
  <c r="M29" i="2"/>
  <c r="AF31" i="2"/>
  <c r="M136" i="2"/>
  <c r="AF138" i="2"/>
  <c r="M195" i="2"/>
  <c r="AF197" i="2"/>
  <c r="M95" i="2"/>
  <c r="AF97" i="2"/>
  <c r="AF9" i="2"/>
  <c r="O6" i="2"/>
  <c r="AF58" i="2" l="1"/>
  <c r="O54" i="2"/>
  <c r="AF32" i="2"/>
  <c r="N29" i="2"/>
  <c r="AF139" i="2"/>
  <c r="N136" i="2"/>
  <c r="AF198" i="2"/>
  <c r="N195" i="2"/>
  <c r="AF98" i="2"/>
  <c r="N95" i="2"/>
  <c r="AF10" i="2"/>
  <c r="P6" i="2"/>
  <c r="AF59" i="2" l="1"/>
  <c r="P54" i="2"/>
  <c r="AF33" i="2"/>
  <c r="O29" i="2"/>
  <c r="AF140" i="2"/>
  <c r="O136" i="2"/>
  <c r="AF199" i="2"/>
  <c r="O195" i="2"/>
  <c r="AF99" i="2"/>
  <c r="O95" i="2"/>
  <c r="AF11" i="2"/>
  <c r="Q6" i="2"/>
  <c r="Q54" i="2" l="1"/>
  <c r="AF60" i="2"/>
  <c r="AF34" i="2"/>
  <c r="P29" i="2"/>
  <c r="P136" i="2"/>
  <c r="AF141" i="2"/>
  <c r="AF200" i="2"/>
  <c r="P195" i="2"/>
  <c r="AF100" i="2"/>
  <c r="P95" i="2"/>
  <c r="AF12" i="2"/>
  <c r="R6" i="2"/>
  <c r="AF61" i="2" l="1"/>
  <c r="R54" i="2"/>
  <c r="Q29" i="2"/>
  <c r="AF35" i="2"/>
  <c r="Q136" i="2"/>
  <c r="AF142" i="2"/>
  <c r="Q195" i="2"/>
  <c r="AF201" i="2"/>
  <c r="Q95" i="2"/>
  <c r="AF101" i="2"/>
  <c r="AF13" i="2"/>
  <c r="S6" i="2"/>
  <c r="S54" i="2" l="1"/>
  <c r="AF62" i="2"/>
  <c r="AF36" i="2"/>
  <c r="R29" i="2"/>
  <c r="R136" i="2"/>
  <c r="AF143" i="2"/>
  <c r="AF202" i="2"/>
  <c r="R195" i="2"/>
  <c r="AF102" i="2"/>
  <c r="R95" i="2"/>
  <c r="AF14" i="2"/>
  <c r="T6" i="2"/>
  <c r="AF63" i="2" l="1"/>
  <c r="T54" i="2"/>
  <c r="S29" i="2"/>
  <c r="AF37" i="2"/>
  <c r="S136" i="2"/>
  <c r="AF144" i="2"/>
  <c r="S195" i="2"/>
  <c r="AF203" i="2"/>
  <c r="S95" i="2"/>
  <c r="AF103" i="2"/>
  <c r="AF15" i="2"/>
  <c r="U6" i="2"/>
  <c r="U54" i="2" l="1"/>
  <c r="AF64" i="2"/>
  <c r="T29" i="2"/>
  <c r="AF38" i="2"/>
  <c r="AF145" i="2"/>
  <c r="T136" i="2"/>
  <c r="AF204" i="2"/>
  <c r="T195" i="2"/>
  <c r="AF104" i="2"/>
  <c r="T95" i="2"/>
  <c r="AF16" i="2"/>
  <c r="V6" i="2"/>
  <c r="V54" i="2" l="1"/>
  <c r="AF65" i="2"/>
  <c r="U29" i="2"/>
  <c r="AF39" i="2"/>
  <c r="U136" i="2"/>
  <c r="AF146" i="2"/>
  <c r="U195" i="2"/>
  <c r="AF205" i="2"/>
  <c r="AF105" i="2"/>
  <c r="U95" i="2"/>
  <c r="AF17" i="2"/>
  <c r="W6" i="2"/>
  <c r="AF66" i="2" l="1"/>
  <c r="W54" i="2"/>
  <c r="V29" i="2"/>
  <c r="AF40" i="2"/>
  <c r="AF147" i="2"/>
  <c r="V136" i="2"/>
  <c r="V195" i="2"/>
  <c r="AF206" i="2"/>
  <c r="V95" i="2"/>
  <c r="AF106" i="2"/>
  <c r="AF18" i="2"/>
  <c r="X6" i="2"/>
  <c r="X54" i="2" l="1"/>
  <c r="AF67" i="2"/>
  <c r="AF41" i="2"/>
  <c r="W29" i="2"/>
  <c r="AF148" i="2"/>
  <c r="W136" i="2"/>
  <c r="AF207" i="2"/>
  <c r="W195" i="2"/>
  <c r="AF107" i="2"/>
  <c r="W95" i="2"/>
  <c r="AF19" i="2"/>
  <c r="Y6" i="2"/>
  <c r="Y54" i="2" l="1"/>
  <c r="AF68" i="2"/>
  <c r="X29" i="2"/>
  <c r="AF42" i="2"/>
  <c r="X136" i="2"/>
  <c r="AF149" i="2"/>
  <c r="X195" i="2"/>
  <c r="AF208" i="2"/>
  <c r="X95" i="2"/>
  <c r="AF108" i="2"/>
  <c r="AF20" i="2"/>
  <c r="Z6" i="2"/>
  <c r="AF69" i="2" l="1"/>
  <c r="Z54" i="2"/>
  <c r="Y29" i="2"/>
  <c r="AF43" i="2"/>
  <c r="Y136" i="2"/>
  <c r="AF150" i="2"/>
  <c r="Y195" i="2"/>
  <c r="AF209" i="2"/>
  <c r="Y95" i="2"/>
  <c r="AF109" i="2"/>
  <c r="AF21" i="2"/>
  <c r="AA6" i="2"/>
  <c r="AF70" i="2" l="1"/>
  <c r="AA54" i="2"/>
  <c r="AF44" i="2"/>
  <c r="Z29" i="2"/>
  <c r="AF151" i="2"/>
  <c r="Z136" i="2"/>
  <c r="AF210" i="2"/>
  <c r="Z195" i="2"/>
  <c r="AF110" i="2"/>
  <c r="Z95" i="2"/>
  <c r="AF22" i="2"/>
  <c r="AB6" i="2"/>
  <c r="AF71" i="2" l="1"/>
  <c r="AB54" i="2"/>
  <c r="AF45" i="2"/>
  <c r="AA29" i="2"/>
  <c r="AF152" i="2"/>
  <c r="AA136" i="2"/>
  <c r="AF211" i="2"/>
  <c r="AA195" i="2"/>
  <c r="AF111" i="2"/>
  <c r="AA95" i="2"/>
  <c r="AF23" i="2"/>
  <c r="AC6" i="2"/>
  <c r="AF24" i="2" s="1"/>
  <c r="AC54" i="2" l="1"/>
  <c r="AF73" i="2" s="1"/>
  <c r="AF72" i="2"/>
  <c r="AF46" i="2"/>
  <c r="AB29" i="2"/>
  <c r="AF153" i="2"/>
  <c r="AB136" i="2"/>
  <c r="AF212" i="2"/>
  <c r="AB195" i="2"/>
  <c r="AF112" i="2"/>
  <c r="AB95" i="2"/>
  <c r="AC29" i="2" l="1"/>
  <c r="AF48" i="2" s="1"/>
  <c r="AF47" i="2"/>
  <c r="AC136" i="2"/>
  <c r="AF155" i="2" s="1"/>
  <c r="AF154" i="2"/>
  <c r="AC195" i="2"/>
  <c r="AF214" i="2" s="1"/>
  <c r="AF213" i="2"/>
  <c r="AC95" i="2"/>
  <c r="AF114" i="2" s="1"/>
  <c r="AF113" i="2"/>
</calcChain>
</file>

<file path=xl/sharedStrings.xml><?xml version="1.0" encoding="utf-8"?>
<sst xmlns="http://purl.oclc.org/ooxml/spreadsheetml/main" count="4176" uniqueCount="494">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</sst>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R1" workbookViewId="0">
      <pane ySplit="1" topLeftCell="A7" activePane="bottomLeft" state="frozen"/>
      <selection pane="bottomLeft" activeCell="Y33" sqref="Y33"/>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5"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5"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5"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5"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5"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5"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5"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5"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5"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c r="BC25">
        <v>50740000</v>
      </c>
    </row>
    <row r="26" spans="1:55"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8950400</v>
      </c>
      <c r="AT26" s="3">
        <v>157903400</v>
      </c>
      <c r="AU26" s="3">
        <v>40715600</v>
      </c>
      <c r="AV26" s="3" t="s">
        <v>473</v>
      </c>
      <c r="AW26">
        <v>1120</v>
      </c>
      <c r="BA26" s="3"/>
      <c r="BB26" s="3"/>
      <c r="BC26">
        <v>49666000</v>
      </c>
    </row>
    <row r="27" spans="1:55"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11392650</v>
      </c>
      <c r="AT27" s="3">
        <v>195355750</v>
      </c>
      <c r="AU27" s="3">
        <v>37452350</v>
      </c>
      <c r="AV27" s="3" t="s">
        <v>473</v>
      </c>
      <c r="AW27">
        <v>1120</v>
      </c>
      <c r="BA27" s="3"/>
      <c r="BB27" s="3"/>
      <c r="BC27">
        <v>48845000</v>
      </c>
    </row>
    <row r="28" spans="1:55"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45791000</v>
      </c>
      <c r="Y28">
        <v>-4859000</v>
      </c>
      <c r="Z28">
        <v>-50274000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13682200</v>
      </c>
      <c r="AT28" s="3">
        <v>227464550</v>
      </c>
      <c r="AU28" s="3">
        <v>32108800</v>
      </c>
      <c r="AV28" s="3" t="s">
        <v>473</v>
      </c>
      <c r="AW28">
        <v>1300</v>
      </c>
      <c r="BA28" s="3"/>
      <c r="BB28" s="3"/>
      <c r="BC28">
        <f>195042000-BC27-BC26-BC25</f>
        <v>45791000</v>
      </c>
    </row>
    <row r="29" spans="1:55"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15789400</v>
      </c>
      <c r="AT29" s="3">
        <v>253819150</v>
      </c>
      <c r="AU29" s="3">
        <v>26354600</v>
      </c>
      <c r="AV29" s="3" t="s">
        <v>473</v>
      </c>
      <c r="AW29">
        <v>1300</v>
      </c>
      <c r="BA29" s="3"/>
      <c r="BB29" s="3"/>
    </row>
    <row r="30" spans="1:55"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18112500</v>
      </c>
      <c r="AT30" s="3">
        <v>282168650</v>
      </c>
      <c r="AU30" s="3">
        <v>28349500</v>
      </c>
      <c r="AV30" s="3" t="s">
        <v>473</v>
      </c>
      <c r="AW30">
        <v>1300</v>
      </c>
      <c r="BA30" s="3"/>
      <c r="BB30" s="3"/>
    </row>
    <row r="31" spans="1:55"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20348600</v>
      </c>
      <c r="AT31" s="3">
        <v>306542050</v>
      </c>
      <c r="AU31" s="3">
        <v>24373400</v>
      </c>
      <c r="AV31" s="3" t="s">
        <v>473</v>
      </c>
      <c r="AW31">
        <v>1300</v>
      </c>
      <c r="BA31" s="3"/>
      <c r="BB31" s="3"/>
    </row>
    <row r="32" spans="1:55"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22355050</v>
      </c>
      <c r="AT32" s="3">
        <v>324316000</v>
      </c>
      <c r="AU32" s="3">
        <v>17773950</v>
      </c>
      <c r="AV32" s="3" t="s">
        <v>473</v>
      </c>
      <c r="AW32" s="7">
        <v>1650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24534650</v>
      </c>
      <c r="AT33" s="3">
        <v>343373350</v>
      </c>
      <c r="AU33" s="3">
        <v>19057350</v>
      </c>
      <c r="AV33" s="3" t="s">
        <v>473</v>
      </c>
      <c r="AW33" s="7">
        <v>1650</v>
      </c>
      <c r="AZ33">
        <v>7645</v>
      </c>
      <c r="BA33" s="3">
        <f>+AZ33*1000</f>
        <v>7645000</v>
      </c>
      <c r="BB33" s="3">
        <f>+AI33-BA33</f>
        <v>0</v>
      </c>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27611650</v>
      </c>
      <c r="AT34" s="3">
        <v>377301700</v>
      </c>
      <c r="AU34" s="3">
        <v>33928350</v>
      </c>
      <c r="AV34" s="3" t="s">
        <v>473</v>
      </c>
      <c r="AW34" s="7">
        <v>1650</v>
      </c>
      <c r="AZ34">
        <f>19924-AZ33</f>
        <v>12279</v>
      </c>
      <c r="BA34" s="3">
        <f>+AZ34*1000</f>
        <v>12279000</v>
      </c>
      <c r="BB34" s="3">
        <f>+AI34-BA34</f>
        <v>0</v>
      </c>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30219000</v>
      </c>
      <c r="AT35" s="3">
        <v>399229700</v>
      </c>
      <c r="AU35" s="3">
        <v>21928000</v>
      </c>
      <c r="AV35" s="3" t="s">
        <v>473</v>
      </c>
      <c r="AW35" s="7">
        <v>1650</v>
      </c>
      <c r="AZ35">
        <f>34126-AZ34-AZ33</f>
        <v>14202</v>
      </c>
      <c r="BA35" s="3">
        <f>+AZ35*1000</f>
        <v>14202000</v>
      </c>
      <c r="BB35" s="3">
        <f>+AI35-BA35</f>
        <v>0</v>
      </c>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-423000</v>
      </c>
      <c r="Z36">
        <v>-13687000</v>
      </c>
      <c r="AA36" s="9">
        <v>483213000</v>
      </c>
      <c r="AB36">
        <v>0</v>
      </c>
      <c r="AC36">
        <v>0</v>
      </c>
      <c r="AD36">
        <v>31680000</v>
      </c>
      <c r="AE36">
        <v>1244993000</v>
      </c>
      <c r="AF36">
        <v>0</v>
      </c>
      <c r="AG36">
        <v>530680000</v>
      </c>
      <c r="AH36">
        <v>-36246000</v>
      </c>
      <c r="AI36">
        <v>10003000</v>
      </c>
      <c r="AJ36">
        <v>-29487000</v>
      </c>
      <c r="AK36">
        <v>186705000</v>
      </c>
      <c r="AL36">
        <v>164390000</v>
      </c>
      <c r="AM36">
        <v>286669000</v>
      </c>
      <c r="AN36">
        <v>-19149000</v>
      </c>
      <c r="AO36">
        <v>2401197000</v>
      </c>
      <c r="AP36">
        <v>64368000</v>
      </c>
      <c r="AQ36">
        <v>108670159</v>
      </c>
      <c r="AR36">
        <v>0</v>
      </c>
      <c r="AS36" s="3">
        <v>33155700</v>
      </c>
      <c r="AT36" s="3">
        <v>424808000</v>
      </c>
      <c r="AU36" s="3">
        <v>25578300</v>
      </c>
      <c r="AV36" s="3" t="s">
        <v>473</v>
      </c>
      <c r="AW36" s="7">
        <v>2000</v>
      </c>
      <c r="AZ36">
        <f>39604+4525-AZ35-AZ34-AZ33</f>
        <v>10003</v>
      </c>
      <c r="BA36" s="3"/>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10092000</v>
      </c>
      <c r="AJ37">
        <v>-38528000</v>
      </c>
      <c r="AK37">
        <v>107631000</v>
      </c>
      <c r="AL37">
        <v>183680000</v>
      </c>
      <c r="AM37">
        <v>266102000</v>
      </c>
      <c r="AN37">
        <v>13358000</v>
      </c>
      <c r="AO37">
        <v>2994058000</v>
      </c>
      <c r="AP37">
        <v>45941000</v>
      </c>
      <c r="AQ37">
        <v>127870238</v>
      </c>
      <c r="AR37">
        <v>0</v>
      </c>
      <c r="AS37" s="3">
        <v>35306000</v>
      </c>
      <c r="AT37" s="3">
        <v>432508000</v>
      </c>
      <c r="AU37" s="3">
        <v>7700000</v>
      </c>
      <c r="AV37" s="3" t="s">
        <v>473</v>
      </c>
      <c r="AW37" s="7">
        <v>2000</v>
      </c>
      <c r="BA37" s="3"/>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65"/>
  <sheetViews>
    <sheetView topLeftCell="N42" workbookViewId="0">
      <selection activeCell="AE62" sqref="AE62:AG73"/>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1:33" ht="18" customHeight="1" x14ac:dyDescent="0.2"/>
    <row r="50" spans="1:33" ht="18" customHeight="1" x14ac:dyDescent="0.2"/>
    <row r="51" spans="1:33" x14ac:dyDescent="0.2">
      <c r="C51" t="s">
        <v>113</v>
      </c>
    </row>
    <row r="52" spans="1:33" x14ac:dyDescent="0.2">
      <c r="C52" s="6" t="s">
        <v>107</v>
      </c>
      <c r="D52" s="6" t="s">
        <v>439</v>
      </c>
      <c r="E52" s="6" t="s">
        <v>440</v>
      </c>
      <c r="F52" s="6" t="s">
        <v>471</v>
      </c>
      <c r="G52" s="6" t="s">
        <v>441</v>
      </c>
      <c r="H52" s="6" t="s">
        <v>442</v>
      </c>
      <c r="I52" s="15"/>
      <c r="J52" s="6" t="s">
        <v>443</v>
      </c>
      <c r="K52" s="6" t="s">
        <v>444</v>
      </c>
      <c r="L52" s="6" t="s">
        <v>445</v>
      </c>
      <c r="M52" s="6" t="s">
        <v>446</v>
      </c>
      <c r="N52" s="6" t="s">
        <v>447</v>
      </c>
      <c r="O52" s="6" t="s">
        <v>448</v>
      </c>
      <c r="P52" s="6" t="s">
        <v>449</v>
      </c>
      <c r="Q52" s="6" t="s">
        <v>450</v>
      </c>
      <c r="R52" s="6" t="s">
        <v>451</v>
      </c>
      <c r="S52" s="6" t="s">
        <v>452</v>
      </c>
      <c r="T52" s="6" t="s">
        <v>453</v>
      </c>
      <c r="U52" s="6" t="s">
        <v>454</v>
      </c>
      <c r="V52" s="6" t="s">
        <v>455</v>
      </c>
      <c r="W52" s="6" t="s">
        <v>456</v>
      </c>
      <c r="X52" s="6" t="s">
        <v>457</v>
      </c>
      <c r="Y52" s="6" t="s">
        <v>458</v>
      </c>
      <c r="Z52" s="6" t="s">
        <v>459</v>
      </c>
      <c r="AA52" s="6" t="s">
        <v>460</v>
      </c>
      <c r="AB52" s="6" t="s">
        <v>461</v>
      </c>
      <c r="AC52" s="6" t="s">
        <v>462</v>
      </c>
      <c r="AD52" s="15"/>
      <c r="AE52" s="6" t="s">
        <v>106</v>
      </c>
      <c r="AF52" s="6" t="s">
        <v>105</v>
      </c>
      <c r="AG52" s="6" t="s">
        <v>463</v>
      </c>
    </row>
    <row r="53" spans="1:33" x14ac:dyDescent="0.2">
      <c r="C53" s="16" t="s">
        <v>464</v>
      </c>
      <c r="J53" s="17">
        <v>20</v>
      </c>
      <c r="K53" s="17">
        <v>19</v>
      </c>
      <c r="L53" s="17">
        <v>18</v>
      </c>
      <c r="M53" s="17">
        <v>17</v>
      </c>
      <c r="N53" s="17">
        <v>16</v>
      </c>
      <c r="O53" s="17">
        <v>15</v>
      </c>
      <c r="P53" s="17">
        <v>14</v>
      </c>
      <c r="Q53" s="17">
        <v>13</v>
      </c>
      <c r="R53" s="17">
        <v>12</v>
      </c>
      <c r="S53" s="17">
        <v>11</v>
      </c>
      <c r="T53" s="17">
        <v>10</v>
      </c>
      <c r="U53" s="17">
        <v>9</v>
      </c>
      <c r="V53" s="17">
        <v>8</v>
      </c>
      <c r="W53" s="17">
        <v>7</v>
      </c>
      <c r="X53" s="17">
        <v>6</v>
      </c>
      <c r="Y53" s="17">
        <v>5</v>
      </c>
      <c r="Z53" s="17">
        <v>4</v>
      </c>
      <c r="AA53" s="17">
        <v>3</v>
      </c>
      <c r="AB53" s="17">
        <v>2</v>
      </c>
      <c r="AC53" s="17">
        <v>1</v>
      </c>
    </row>
    <row r="54" spans="1:33" x14ac:dyDescent="0.2">
      <c r="A54">
        <v>1</v>
      </c>
      <c r="B54" t="s">
        <v>113</v>
      </c>
      <c r="C54" s="18" t="s">
        <v>489</v>
      </c>
      <c r="G54" s="23">
        <f t="shared" ref="G54:G61" si="31">$G$13</f>
        <v>20</v>
      </c>
      <c r="H54" s="4">
        <v>0</v>
      </c>
      <c r="I54" s="20">
        <f>+H54/20</f>
        <v>0</v>
      </c>
      <c r="J54" s="20">
        <f>+H54-$I54</f>
        <v>0</v>
      </c>
      <c r="K54" s="20">
        <f>+J54-$I54</f>
        <v>0</v>
      </c>
      <c r="L54" s="20">
        <f t="shared" ref="L54" si="32">+K54-$I54</f>
        <v>0</v>
      </c>
      <c r="M54" s="20">
        <f t="shared" ref="M54:M55" si="33">+L54-$I54</f>
        <v>0</v>
      </c>
      <c r="N54" s="20">
        <f t="shared" ref="N54:N56" si="34">+M54-$I54</f>
        <v>0</v>
      </c>
      <c r="O54" s="20">
        <f t="shared" ref="O54:O58" si="35">+N54-$I54</f>
        <v>0</v>
      </c>
      <c r="P54" s="20">
        <f t="shared" ref="P54:P59" si="36">+O54-$I54</f>
        <v>0</v>
      </c>
      <c r="Q54" s="20">
        <f t="shared" ref="Q54:Q60" si="37">+P54-$I54</f>
        <v>0</v>
      </c>
      <c r="R54" s="20">
        <f t="shared" ref="R54:R61" si="38">+Q54-$I54</f>
        <v>0</v>
      </c>
      <c r="S54" s="20">
        <f t="shared" ref="S54:S62" si="39">+R54-$I54</f>
        <v>0</v>
      </c>
      <c r="T54" s="20">
        <f t="shared" ref="T54:T63" si="40">+S54-$I54</f>
        <v>0</v>
      </c>
      <c r="U54" s="20">
        <f t="shared" ref="U54:U64" si="41">+T54-$I54</f>
        <v>0</v>
      </c>
      <c r="V54" s="20">
        <f t="shared" ref="V54:V65" si="42">+U54-$I54</f>
        <v>0</v>
      </c>
      <c r="W54" s="20">
        <f t="shared" ref="W54:W66" si="43">+V54-$I54</f>
        <v>0</v>
      </c>
      <c r="X54" s="20">
        <f t="shared" ref="X54:X67" si="44">+W54-$I54</f>
        <v>0</v>
      </c>
      <c r="Y54" s="20">
        <f t="shared" ref="Y54:Y68" si="45">+X54-$I54</f>
        <v>0</v>
      </c>
      <c r="Z54" s="20">
        <f t="shared" ref="Z54:Z69" si="46">+Y54-$I54</f>
        <v>0</v>
      </c>
      <c r="AA54" s="20">
        <f t="shared" ref="AA54:AA70" si="47">+Z54-$I54</f>
        <v>0</v>
      </c>
      <c r="AB54" s="20">
        <f t="shared" ref="AB54:AB71" si="48">+AA54-$I54</f>
        <v>0</v>
      </c>
      <c r="AC54" s="20">
        <f t="shared" ref="AC54:AC72" si="49">+AB54-$I54</f>
        <v>0</v>
      </c>
      <c r="AE54" s="21">
        <f>SUM(I54)</f>
        <v>0</v>
      </c>
      <c r="AF54" s="21">
        <f>SUM(J54:J54)</f>
        <v>0</v>
      </c>
      <c r="AG54" s="21">
        <f t="shared" ref="AG54:AG73" si="50">H54-AE54</f>
        <v>0</v>
      </c>
    </row>
    <row r="55" spans="1:33" x14ac:dyDescent="0.2">
      <c r="A55">
        <v>2</v>
      </c>
      <c r="B55" t="s">
        <v>113</v>
      </c>
      <c r="C55" s="18" t="s">
        <v>490</v>
      </c>
      <c r="G55" s="23">
        <f t="shared" si="31"/>
        <v>20</v>
      </c>
      <c r="H55" s="4">
        <v>0</v>
      </c>
      <c r="I55" s="20">
        <f t="shared" ref="I55:I73" si="51">+H55/20</f>
        <v>0</v>
      </c>
      <c r="J55" s="20"/>
      <c r="K55" s="20">
        <f>+H55-I55</f>
        <v>0</v>
      </c>
      <c r="L55" s="20">
        <f>+K55-$I55</f>
        <v>0</v>
      </c>
      <c r="M55" s="20">
        <f t="shared" si="33"/>
        <v>0</v>
      </c>
      <c r="N55" s="20">
        <f t="shared" si="34"/>
        <v>0</v>
      </c>
      <c r="O55" s="20">
        <f t="shared" si="35"/>
        <v>0</v>
      </c>
      <c r="P55" s="20">
        <f t="shared" si="36"/>
        <v>0</v>
      </c>
      <c r="Q55" s="20">
        <f t="shared" si="37"/>
        <v>0</v>
      </c>
      <c r="R55" s="20">
        <f t="shared" si="38"/>
        <v>0</v>
      </c>
      <c r="S55" s="20">
        <f t="shared" si="39"/>
        <v>0</v>
      </c>
      <c r="T55" s="20">
        <f t="shared" si="40"/>
        <v>0</v>
      </c>
      <c r="U55" s="20">
        <f t="shared" si="41"/>
        <v>0</v>
      </c>
      <c r="V55" s="20">
        <f t="shared" si="42"/>
        <v>0</v>
      </c>
      <c r="W55" s="20">
        <f t="shared" si="43"/>
        <v>0</v>
      </c>
      <c r="X55" s="20">
        <f t="shared" si="44"/>
        <v>0</v>
      </c>
      <c r="Y55" s="20">
        <f t="shared" si="45"/>
        <v>0</v>
      </c>
      <c r="Z55" s="20">
        <f t="shared" si="46"/>
        <v>0</v>
      </c>
      <c r="AA55" s="20">
        <f t="shared" si="47"/>
        <v>0</v>
      </c>
      <c r="AB55" s="20">
        <f t="shared" si="48"/>
        <v>0</v>
      </c>
      <c r="AC55" s="20">
        <f t="shared" si="49"/>
        <v>0</v>
      </c>
      <c r="AE55" s="21">
        <f>SUM(I54:I55)</f>
        <v>0</v>
      </c>
      <c r="AF55" s="21">
        <f>SUM(K54:K55)</f>
        <v>0</v>
      </c>
      <c r="AG55" s="21">
        <f t="shared" si="50"/>
        <v>0</v>
      </c>
    </row>
    <row r="56" spans="1:33" x14ac:dyDescent="0.2">
      <c r="A56">
        <v>3</v>
      </c>
      <c r="B56" t="s">
        <v>113</v>
      </c>
      <c r="C56" s="18" t="s">
        <v>491</v>
      </c>
      <c r="G56" s="23">
        <f t="shared" si="31"/>
        <v>20</v>
      </c>
      <c r="H56" s="4">
        <v>0</v>
      </c>
      <c r="I56" s="20">
        <f t="shared" si="51"/>
        <v>0</v>
      </c>
      <c r="J56" s="20"/>
      <c r="K56" s="20"/>
      <c r="L56" s="20">
        <f>+H56-I56</f>
        <v>0</v>
      </c>
      <c r="M56" s="20">
        <f>+L56-$I56</f>
        <v>0</v>
      </c>
      <c r="N56" s="20">
        <f t="shared" si="34"/>
        <v>0</v>
      </c>
      <c r="O56" s="20">
        <f t="shared" si="35"/>
        <v>0</v>
      </c>
      <c r="P56" s="20">
        <f t="shared" si="36"/>
        <v>0</v>
      </c>
      <c r="Q56" s="20">
        <f t="shared" si="37"/>
        <v>0</v>
      </c>
      <c r="R56" s="20">
        <f t="shared" si="38"/>
        <v>0</v>
      </c>
      <c r="S56" s="20">
        <f t="shared" si="39"/>
        <v>0</v>
      </c>
      <c r="T56" s="20">
        <f t="shared" si="40"/>
        <v>0</v>
      </c>
      <c r="U56" s="20">
        <f t="shared" si="41"/>
        <v>0</v>
      </c>
      <c r="V56" s="20">
        <f t="shared" si="42"/>
        <v>0</v>
      </c>
      <c r="W56" s="20">
        <f t="shared" si="43"/>
        <v>0</v>
      </c>
      <c r="X56" s="20">
        <f t="shared" si="44"/>
        <v>0</v>
      </c>
      <c r="Y56" s="20">
        <f t="shared" si="45"/>
        <v>0</v>
      </c>
      <c r="Z56" s="20">
        <f t="shared" si="46"/>
        <v>0</v>
      </c>
      <c r="AA56" s="20">
        <f t="shared" si="47"/>
        <v>0</v>
      </c>
      <c r="AB56" s="20">
        <f t="shared" si="48"/>
        <v>0</v>
      </c>
      <c r="AC56" s="20">
        <f t="shared" si="49"/>
        <v>0</v>
      </c>
      <c r="AE56" s="21">
        <f>SUM(I54:I56)</f>
        <v>0</v>
      </c>
      <c r="AF56" s="21">
        <f>SUM(L54:L56)</f>
        <v>0</v>
      </c>
      <c r="AG56" s="21">
        <f t="shared" si="50"/>
        <v>0</v>
      </c>
    </row>
    <row r="57" spans="1:33" x14ac:dyDescent="0.2">
      <c r="A57">
        <v>4</v>
      </c>
      <c r="B57" t="s">
        <v>113</v>
      </c>
      <c r="C57" s="18" t="s">
        <v>484</v>
      </c>
      <c r="G57" s="23">
        <f t="shared" si="31"/>
        <v>20</v>
      </c>
      <c r="H57" s="4">
        <v>0</v>
      </c>
      <c r="I57" s="20">
        <f t="shared" si="51"/>
        <v>0</v>
      </c>
      <c r="J57" s="20"/>
      <c r="K57" s="20"/>
      <c r="L57" s="20"/>
      <c r="M57" s="20">
        <f>+H57-I57</f>
        <v>0</v>
      </c>
      <c r="N57" s="20">
        <f>+M57-$I57</f>
        <v>0</v>
      </c>
      <c r="O57" s="20">
        <f t="shared" si="35"/>
        <v>0</v>
      </c>
      <c r="P57" s="20">
        <f t="shared" si="36"/>
        <v>0</v>
      </c>
      <c r="Q57" s="20">
        <f t="shared" si="37"/>
        <v>0</v>
      </c>
      <c r="R57" s="20">
        <f t="shared" si="38"/>
        <v>0</v>
      </c>
      <c r="S57" s="20">
        <f t="shared" si="39"/>
        <v>0</v>
      </c>
      <c r="T57" s="20">
        <f t="shared" si="40"/>
        <v>0</v>
      </c>
      <c r="U57" s="20">
        <f t="shared" si="41"/>
        <v>0</v>
      </c>
      <c r="V57" s="20">
        <f t="shared" si="42"/>
        <v>0</v>
      </c>
      <c r="W57" s="20">
        <f t="shared" si="43"/>
        <v>0</v>
      </c>
      <c r="X57" s="20">
        <f t="shared" si="44"/>
        <v>0</v>
      </c>
      <c r="Y57" s="20">
        <f t="shared" si="45"/>
        <v>0</v>
      </c>
      <c r="Z57" s="20">
        <f t="shared" si="46"/>
        <v>0</v>
      </c>
      <c r="AA57" s="20">
        <f t="shared" si="47"/>
        <v>0</v>
      </c>
      <c r="AB57" s="20">
        <f t="shared" si="48"/>
        <v>0</v>
      </c>
      <c r="AC57" s="20">
        <f t="shared" si="49"/>
        <v>0</v>
      </c>
      <c r="AE57" s="21">
        <f>SUM(I54:I57)</f>
        <v>0</v>
      </c>
      <c r="AF57" s="21">
        <f>SUM(M54:M57)</f>
        <v>0</v>
      </c>
      <c r="AG57" s="21">
        <f t="shared" si="50"/>
        <v>0</v>
      </c>
    </row>
    <row r="58" spans="1:33" x14ac:dyDescent="0.2">
      <c r="A58">
        <v>5</v>
      </c>
      <c r="B58" t="s">
        <v>113</v>
      </c>
      <c r="C58" s="18" t="s">
        <v>485</v>
      </c>
      <c r="G58" s="23">
        <f t="shared" si="31"/>
        <v>20</v>
      </c>
      <c r="H58" s="4">
        <v>0</v>
      </c>
      <c r="I58" s="20">
        <f t="shared" si="51"/>
        <v>0</v>
      </c>
      <c r="J58" s="20"/>
      <c r="K58" s="20"/>
      <c r="L58" s="20"/>
      <c r="M58" s="20"/>
      <c r="N58" s="20">
        <f>+H58-I58</f>
        <v>0</v>
      </c>
      <c r="O58" s="20">
        <f t="shared" si="35"/>
        <v>0</v>
      </c>
      <c r="P58" s="20">
        <f t="shared" si="36"/>
        <v>0</v>
      </c>
      <c r="Q58" s="20">
        <f t="shared" si="37"/>
        <v>0</v>
      </c>
      <c r="R58" s="20">
        <f t="shared" si="38"/>
        <v>0</v>
      </c>
      <c r="S58" s="20">
        <f t="shared" si="39"/>
        <v>0</v>
      </c>
      <c r="T58" s="20">
        <f t="shared" si="40"/>
        <v>0</v>
      </c>
      <c r="U58" s="20">
        <f t="shared" si="41"/>
        <v>0</v>
      </c>
      <c r="V58" s="20">
        <f t="shared" si="42"/>
        <v>0</v>
      </c>
      <c r="W58" s="20">
        <f t="shared" si="43"/>
        <v>0</v>
      </c>
      <c r="X58" s="20">
        <f t="shared" si="44"/>
        <v>0</v>
      </c>
      <c r="Y58" s="20">
        <f t="shared" si="45"/>
        <v>0</v>
      </c>
      <c r="Z58" s="20">
        <f t="shared" si="46"/>
        <v>0</v>
      </c>
      <c r="AA58" s="20">
        <f t="shared" si="47"/>
        <v>0</v>
      </c>
      <c r="AB58" s="20">
        <f t="shared" si="48"/>
        <v>0</v>
      </c>
      <c r="AC58" s="20">
        <f t="shared" si="49"/>
        <v>0</v>
      </c>
      <c r="AE58" s="21">
        <f>SUM(I54:I58)</f>
        <v>0</v>
      </c>
      <c r="AF58" s="21">
        <f>SUM(N54:N58)</f>
        <v>0</v>
      </c>
      <c r="AG58" s="21">
        <f t="shared" si="50"/>
        <v>0</v>
      </c>
    </row>
    <row r="59" spans="1:33" x14ac:dyDescent="0.2">
      <c r="A59">
        <v>6</v>
      </c>
      <c r="B59" t="s">
        <v>113</v>
      </c>
      <c r="C59" s="18" t="s">
        <v>486</v>
      </c>
      <c r="G59" s="23">
        <f t="shared" si="31"/>
        <v>20</v>
      </c>
      <c r="H59" s="4">
        <v>35140000</v>
      </c>
      <c r="I59" s="20">
        <f t="shared" si="51"/>
        <v>1757000</v>
      </c>
      <c r="J59" s="20"/>
      <c r="K59" s="20"/>
      <c r="L59" s="20"/>
      <c r="M59" s="20"/>
      <c r="N59" s="20"/>
      <c r="O59" s="20">
        <f>+H59-I59</f>
        <v>33383000</v>
      </c>
      <c r="P59" s="20">
        <f t="shared" si="36"/>
        <v>31626000</v>
      </c>
      <c r="Q59" s="20">
        <f t="shared" si="37"/>
        <v>29869000</v>
      </c>
      <c r="R59" s="20">
        <f t="shared" si="38"/>
        <v>28112000</v>
      </c>
      <c r="S59" s="20">
        <f t="shared" si="39"/>
        <v>26355000</v>
      </c>
      <c r="T59" s="20">
        <f t="shared" si="40"/>
        <v>24598000</v>
      </c>
      <c r="U59" s="20">
        <f t="shared" si="41"/>
        <v>22841000</v>
      </c>
      <c r="V59" s="20">
        <f t="shared" si="42"/>
        <v>21084000</v>
      </c>
      <c r="W59" s="20">
        <f t="shared" si="43"/>
        <v>19327000</v>
      </c>
      <c r="X59" s="20">
        <f t="shared" si="44"/>
        <v>17570000</v>
      </c>
      <c r="Y59" s="20">
        <f t="shared" si="45"/>
        <v>15813000</v>
      </c>
      <c r="Z59" s="20">
        <f t="shared" si="46"/>
        <v>14056000</v>
      </c>
      <c r="AA59" s="20">
        <f t="shared" si="47"/>
        <v>12299000</v>
      </c>
      <c r="AB59" s="20">
        <f t="shared" si="48"/>
        <v>10542000</v>
      </c>
      <c r="AC59" s="20">
        <f t="shared" si="49"/>
        <v>8785000</v>
      </c>
      <c r="AE59" s="21">
        <f>SUM(I54:I59)</f>
        <v>1757000</v>
      </c>
      <c r="AF59" s="21">
        <f>SUM(O54:O59)</f>
        <v>33383000</v>
      </c>
      <c r="AG59" s="21">
        <f t="shared" si="50"/>
        <v>33383000</v>
      </c>
    </row>
    <row r="60" spans="1:33" x14ac:dyDescent="0.2">
      <c r="A60">
        <v>7</v>
      </c>
      <c r="B60" t="s">
        <v>113</v>
      </c>
      <c r="C60" s="18" t="s">
        <v>487</v>
      </c>
      <c r="G60" s="23">
        <f t="shared" si="31"/>
        <v>20</v>
      </c>
      <c r="H60" s="4">
        <v>43462000</v>
      </c>
      <c r="I60" s="20">
        <f t="shared" si="51"/>
        <v>2173100</v>
      </c>
      <c r="J60" s="20"/>
      <c r="K60" s="20"/>
      <c r="L60" s="20"/>
      <c r="M60" s="20"/>
      <c r="N60" s="20"/>
      <c r="O60" s="20"/>
      <c r="P60" s="20">
        <f>+H60-I60</f>
        <v>41288900</v>
      </c>
      <c r="Q60" s="20">
        <f t="shared" si="37"/>
        <v>39115800</v>
      </c>
      <c r="R60" s="20">
        <f t="shared" si="38"/>
        <v>36942700</v>
      </c>
      <c r="S60" s="20">
        <f t="shared" si="39"/>
        <v>34769600</v>
      </c>
      <c r="T60" s="20">
        <f t="shared" si="40"/>
        <v>32596500</v>
      </c>
      <c r="U60" s="20">
        <f t="shared" si="41"/>
        <v>30423400</v>
      </c>
      <c r="V60" s="20">
        <f t="shared" si="42"/>
        <v>28250300</v>
      </c>
      <c r="W60" s="20">
        <f t="shared" si="43"/>
        <v>26077200</v>
      </c>
      <c r="X60" s="20">
        <f t="shared" si="44"/>
        <v>23904100</v>
      </c>
      <c r="Y60" s="20">
        <f t="shared" si="45"/>
        <v>21731000</v>
      </c>
      <c r="Z60" s="20">
        <f t="shared" si="46"/>
        <v>19557900</v>
      </c>
      <c r="AA60" s="20">
        <f t="shared" si="47"/>
        <v>17384800</v>
      </c>
      <c r="AB60" s="20">
        <f t="shared" si="48"/>
        <v>15211700</v>
      </c>
      <c r="AC60" s="20">
        <f t="shared" si="49"/>
        <v>13038600</v>
      </c>
      <c r="AE60" s="21">
        <f>SUM(I54:I60)</f>
        <v>3930100</v>
      </c>
      <c r="AF60" s="21">
        <f>SUM(P54:P60)</f>
        <v>72914900</v>
      </c>
      <c r="AG60" s="21">
        <f t="shared" si="50"/>
        <v>39531900</v>
      </c>
    </row>
    <row r="61" spans="1:33" x14ac:dyDescent="0.2">
      <c r="A61">
        <v>8</v>
      </c>
      <c r="B61" t="s">
        <v>113</v>
      </c>
      <c r="C61" s="18" t="s">
        <v>104</v>
      </c>
      <c r="G61" s="23">
        <f t="shared" si="31"/>
        <v>20</v>
      </c>
      <c r="H61" s="4">
        <v>50740000</v>
      </c>
      <c r="I61" s="20">
        <f t="shared" si="51"/>
        <v>2537000</v>
      </c>
      <c r="J61" s="20"/>
      <c r="K61" s="20"/>
      <c r="L61" s="20"/>
      <c r="M61" s="20"/>
      <c r="N61" s="20"/>
      <c r="O61" s="20"/>
      <c r="P61" s="20"/>
      <c r="Q61" s="20">
        <f>+H61-I61</f>
        <v>48203000</v>
      </c>
      <c r="R61" s="20">
        <f t="shared" si="38"/>
        <v>45666000</v>
      </c>
      <c r="S61" s="20">
        <f t="shared" si="39"/>
        <v>43129000</v>
      </c>
      <c r="T61" s="20">
        <f t="shared" si="40"/>
        <v>40592000</v>
      </c>
      <c r="U61" s="20">
        <f t="shared" si="41"/>
        <v>38055000</v>
      </c>
      <c r="V61" s="20">
        <f t="shared" si="42"/>
        <v>35518000</v>
      </c>
      <c r="W61" s="20">
        <f t="shared" si="43"/>
        <v>32981000</v>
      </c>
      <c r="X61" s="20">
        <f t="shared" si="44"/>
        <v>30444000</v>
      </c>
      <c r="Y61" s="20">
        <f t="shared" si="45"/>
        <v>27907000</v>
      </c>
      <c r="Z61" s="20">
        <f t="shared" si="46"/>
        <v>25370000</v>
      </c>
      <c r="AA61" s="20">
        <f t="shared" si="47"/>
        <v>22833000</v>
      </c>
      <c r="AB61" s="20">
        <f t="shared" si="48"/>
        <v>20296000</v>
      </c>
      <c r="AC61" s="20">
        <f t="shared" si="49"/>
        <v>17759000</v>
      </c>
      <c r="AE61" s="21">
        <f>SUM(I54:I61)</f>
        <v>6467100</v>
      </c>
      <c r="AF61" s="21">
        <f>SUM(Q54:Q61)</f>
        <v>117187800</v>
      </c>
      <c r="AG61" s="21">
        <f t="shared" si="50"/>
        <v>44272900</v>
      </c>
    </row>
    <row r="62" spans="1:33" x14ac:dyDescent="0.2">
      <c r="A62">
        <v>9</v>
      </c>
      <c r="B62" t="s">
        <v>113</v>
      </c>
      <c r="C62" s="18" t="s">
        <v>103</v>
      </c>
      <c r="D62" s="4">
        <v>3924000000</v>
      </c>
      <c r="E62" s="4">
        <v>5268000000</v>
      </c>
      <c r="F62" s="4">
        <v>7339000000</v>
      </c>
      <c r="G62" s="19">
        <v>20</v>
      </c>
      <c r="H62" s="4">
        <v>49666000</v>
      </c>
      <c r="I62" s="20">
        <f t="shared" si="51"/>
        <v>2483300</v>
      </c>
      <c r="J62" s="20"/>
      <c r="K62" s="20"/>
      <c r="L62" s="20"/>
      <c r="M62" s="20"/>
      <c r="N62" s="20"/>
      <c r="O62" s="20"/>
      <c r="P62" s="20"/>
      <c r="Q62" s="20"/>
      <c r="R62" s="20">
        <f>+H62-I62</f>
        <v>47182700</v>
      </c>
      <c r="S62" s="20">
        <f t="shared" si="39"/>
        <v>44699400</v>
      </c>
      <c r="T62" s="20">
        <f t="shared" si="40"/>
        <v>42216100</v>
      </c>
      <c r="U62" s="20">
        <f t="shared" si="41"/>
        <v>39732800</v>
      </c>
      <c r="V62" s="20">
        <f t="shared" si="42"/>
        <v>37249500</v>
      </c>
      <c r="W62" s="20">
        <f t="shared" si="43"/>
        <v>34766200</v>
      </c>
      <c r="X62" s="20">
        <f t="shared" si="44"/>
        <v>32282900</v>
      </c>
      <c r="Y62" s="20">
        <f t="shared" si="45"/>
        <v>29799600</v>
      </c>
      <c r="Z62" s="20">
        <f t="shared" si="46"/>
        <v>27316300</v>
      </c>
      <c r="AA62" s="20">
        <f t="shared" si="47"/>
        <v>24833000</v>
      </c>
      <c r="AB62" s="20">
        <f t="shared" si="48"/>
        <v>22349700</v>
      </c>
      <c r="AC62" s="20">
        <f t="shared" si="49"/>
        <v>19866400</v>
      </c>
      <c r="AE62" s="21">
        <f>SUM(I54:I62)</f>
        <v>8950400</v>
      </c>
      <c r="AF62" s="21">
        <f>SUM(R54:R62)</f>
        <v>157903400</v>
      </c>
      <c r="AG62" s="21">
        <f t="shared" si="50"/>
        <v>40715600</v>
      </c>
    </row>
    <row r="63" spans="1:33" x14ac:dyDescent="0.2">
      <c r="A63">
        <v>10</v>
      </c>
      <c r="B63" t="s">
        <v>113</v>
      </c>
      <c r="C63" s="18" t="s">
        <v>102</v>
      </c>
      <c r="D63" s="22">
        <f>$D62</f>
        <v>3924000000</v>
      </c>
      <c r="E63" s="22">
        <f>$E62</f>
        <v>5268000000</v>
      </c>
      <c r="F63" s="22">
        <f>$F62</f>
        <v>7339000000</v>
      </c>
      <c r="G63" s="23">
        <f>$G$13</f>
        <v>20</v>
      </c>
      <c r="H63" s="4">
        <v>48845000</v>
      </c>
      <c r="I63" s="20">
        <f t="shared" si="51"/>
        <v>2442250</v>
      </c>
      <c r="J63" s="20"/>
      <c r="K63" s="20"/>
      <c r="L63" s="20"/>
      <c r="M63" s="20"/>
      <c r="N63" s="20"/>
      <c r="O63" s="20"/>
      <c r="P63" s="20"/>
      <c r="Q63" s="20"/>
      <c r="R63" s="20"/>
      <c r="S63" s="20">
        <f>+H63-I63</f>
        <v>46402750</v>
      </c>
      <c r="T63" s="20">
        <f t="shared" si="40"/>
        <v>43960500</v>
      </c>
      <c r="U63" s="20">
        <f t="shared" si="41"/>
        <v>41518250</v>
      </c>
      <c r="V63" s="20">
        <f t="shared" si="42"/>
        <v>39076000</v>
      </c>
      <c r="W63" s="20">
        <f t="shared" si="43"/>
        <v>36633750</v>
      </c>
      <c r="X63" s="20">
        <f t="shared" si="44"/>
        <v>34191500</v>
      </c>
      <c r="Y63" s="20">
        <f t="shared" si="45"/>
        <v>31749250</v>
      </c>
      <c r="Z63" s="20">
        <f t="shared" si="46"/>
        <v>29307000</v>
      </c>
      <c r="AA63" s="20">
        <f t="shared" si="47"/>
        <v>26864750</v>
      </c>
      <c r="AB63" s="20">
        <f t="shared" si="48"/>
        <v>24422500</v>
      </c>
      <c r="AC63" s="20">
        <f t="shared" si="49"/>
        <v>21980250</v>
      </c>
      <c r="AE63" s="21">
        <f>SUM(I54:I63)</f>
        <v>11392650</v>
      </c>
      <c r="AF63" s="21">
        <f>SUM(S54:S63)</f>
        <v>195355750</v>
      </c>
      <c r="AG63" s="21">
        <f t="shared" si="50"/>
        <v>37452350</v>
      </c>
    </row>
    <row r="64" spans="1:33" x14ac:dyDescent="0.2">
      <c r="A64">
        <v>11</v>
      </c>
      <c r="B64" t="s">
        <v>113</v>
      </c>
      <c r="C64" s="18" t="s">
        <v>101</v>
      </c>
      <c r="D64" s="22">
        <f>$D62</f>
        <v>3924000000</v>
      </c>
      <c r="E64" s="22">
        <f>$E62</f>
        <v>5268000000</v>
      </c>
      <c r="F64" s="22">
        <f>$F62</f>
        <v>7339000000</v>
      </c>
      <c r="G64" s="23">
        <f t="shared" ref="G64:G73" si="52">$G$13</f>
        <v>20</v>
      </c>
      <c r="H64" s="4">
        <v>45791000</v>
      </c>
      <c r="I64" s="20">
        <f t="shared" si="51"/>
        <v>2289550</v>
      </c>
      <c r="J64" s="20"/>
      <c r="K64" s="20"/>
      <c r="L64" s="20"/>
      <c r="M64" s="20"/>
      <c r="N64" s="20"/>
      <c r="O64" s="20"/>
      <c r="P64" s="20"/>
      <c r="Q64" s="20"/>
      <c r="R64" s="20"/>
      <c r="S64" s="20"/>
      <c r="T64" s="20">
        <f>+H64-I64</f>
        <v>43501450</v>
      </c>
      <c r="U64" s="20">
        <f t="shared" si="41"/>
        <v>41211900</v>
      </c>
      <c r="V64" s="20">
        <f t="shared" si="42"/>
        <v>38922350</v>
      </c>
      <c r="W64" s="20">
        <f t="shared" si="43"/>
        <v>36632800</v>
      </c>
      <c r="X64" s="20">
        <f t="shared" si="44"/>
        <v>34343250</v>
      </c>
      <c r="Y64" s="20">
        <f t="shared" si="45"/>
        <v>32053700</v>
      </c>
      <c r="Z64" s="20">
        <f t="shared" si="46"/>
        <v>29764150</v>
      </c>
      <c r="AA64" s="20">
        <f t="shared" si="47"/>
        <v>27474600</v>
      </c>
      <c r="AB64" s="20">
        <f t="shared" si="48"/>
        <v>25185050</v>
      </c>
      <c r="AC64" s="20">
        <f t="shared" si="49"/>
        <v>22895500</v>
      </c>
      <c r="AE64" s="21">
        <f>SUM(I54:I64)</f>
        <v>13682200</v>
      </c>
      <c r="AF64" s="21">
        <f>SUM(T54:T64)</f>
        <v>227464550</v>
      </c>
      <c r="AG64" s="21">
        <f t="shared" si="50"/>
        <v>32108800</v>
      </c>
    </row>
    <row r="65" spans="1:33" x14ac:dyDescent="0.2">
      <c r="A65">
        <v>12</v>
      </c>
      <c r="B65" t="s">
        <v>113</v>
      </c>
      <c r="C65" s="18" t="s">
        <v>100</v>
      </c>
      <c r="D65" s="22">
        <f>$D62</f>
        <v>3924000000</v>
      </c>
      <c r="E65" s="22">
        <f>$E62</f>
        <v>5268000000</v>
      </c>
      <c r="F65" s="22">
        <f>$F62</f>
        <v>7339000000</v>
      </c>
      <c r="G65" s="23">
        <f t="shared" si="52"/>
        <v>20</v>
      </c>
      <c r="H65" s="4">
        <v>42144000</v>
      </c>
      <c r="I65" s="20">
        <f t="shared" si="51"/>
        <v>2107200</v>
      </c>
      <c r="J65" s="20"/>
      <c r="K65" s="20"/>
      <c r="L65" s="20"/>
      <c r="M65" s="20"/>
      <c r="N65" s="20"/>
      <c r="O65" s="20"/>
      <c r="P65" s="20"/>
      <c r="Q65" s="20"/>
      <c r="R65" s="20"/>
      <c r="S65" s="20"/>
      <c r="T65" s="20"/>
      <c r="U65" s="20">
        <f>+H65-I65</f>
        <v>40036800</v>
      </c>
      <c r="V65" s="20">
        <f t="shared" si="42"/>
        <v>37929600</v>
      </c>
      <c r="W65" s="20">
        <f t="shared" si="43"/>
        <v>35822400</v>
      </c>
      <c r="X65" s="20">
        <f t="shared" si="44"/>
        <v>33715200</v>
      </c>
      <c r="Y65" s="20">
        <f t="shared" si="45"/>
        <v>31608000</v>
      </c>
      <c r="Z65" s="20">
        <f t="shared" si="46"/>
        <v>29500800</v>
      </c>
      <c r="AA65" s="20">
        <f t="shared" si="47"/>
        <v>27393600</v>
      </c>
      <c r="AB65" s="20">
        <f t="shared" si="48"/>
        <v>25286400</v>
      </c>
      <c r="AC65" s="20">
        <f t="shared" si="49"/>
        <v>23179200</v>
      </c>
      <c r="AE65" s="21">
        <f>SUM(I54:I65)</f>
        <v>15789400</v>
      </c>
      <c r="AF65" s="21">
        <f>SUM(U54:U65)</f>
        <v>253819150</v>
      </c>
      <c r="AG65" s="21">
        <f t="shared" si="50"/>
        <v>26354600</v>
      </c>
    </row>
    <row r="66" spans="1:33" x14ac:dyDescent="0.2">
      <c r="A66">
        <v>13</v>
      </c>
      <c r="B66" t="s">
        <v>113</v>
      </c>
      <c r="C66" s="18" t="s">
        <v>99</v>
      </c>
      <c r="D66" s="22">
        <f>$D62</f>
        <v>3924000000</v>
      </c>
      <c r="E66" s="22">
        <f>$E62</f>
        <v>5268000000</v>
      </c>
      <c r="F66" s="22">
        <f>$F62</f>
        <v>7339000000</v>
      </c>
      <c r="G66" s="23">
        <f t="shared" si="52"/>
        <v>20</v>
      </c>
      <c r="H66" s="4">
        <v>46462000</v>
      </c>
      <c r="I66" s="20">
        <f t="shared" si="51"/>
        <v>2323100</v>
      </c>
      <c r="J66" s="20"/>
      <c r="K66" s="20"/>
      <c r="L66" s="20"/>
      <c r="M66" s="20"/>
      <c r="N66" s="20"/>
      <c r="O66" s="20"/>
      <c r="P66" s="20"/>
      <c r="Q66" s="20"/>
      <c r="R66" s="20"/>
      <c r="S66" s="20"/>
      <c r="T66" s="20"/>
      <c r="U66" s="20"/>
      <c r="V66" s="20">
        <f>+H66-I66</f>
        <v>44138900</v>
      </c>
      <c r="W66" s="20">
        <f t="shared" si="43"/>
        <v>41815800</v>
      </c>
      <c r="X66" s="20">
        <f t="shared" si="44"/>
        <v>39492700</v>
      </c>
      <c r="Y66" s="20">
        <f t="shared" si="45"/>
        <v>37169600</v>
      </c>
      <c r="Z66" s="20">
        <f t="shared" si="46"/>
        <v>34846500</v>
      </c>
      <c r="AA66" s="20">
        <f t="shared" si="47"/>
        <v>32523400</v>
      </c>
      <c r="AB66" s="20">
        <f t="shared" si="48"/>
        <v>30200300</v>
      </c>
      <c r="AC66" s="20">
        <f t="shared" si="49"/>
        <v>27877200</v>
      </c>
      <c r="AE66" s="21">
        <f>SUM(I54:I66)</f>
        <v>18112500</v>
      </c>
      <c r="AF66" s="21">
        <f>SUM(V54:V66)</f>
        <v>282168650</v>
      </c>
      <c r="AG66" s="21">
        <f t="shared" si="50"/>
        <v>28349500</v>
      </c>
    </row>
    <row r="67" spans="1:33" x14ac:dyDescent="0.2">
      <c r="A67">
        <v>14</v>
      </c>
      <c r="B67" t="s">
        <v>113</v>
      </c>
      <c r="C67" s="18" t="s">
        <v>98</v>
      </c>
      <c r="D67" s="22">
        <f>$D62</f>
        <v>3924000000</v>
      </c>
      <c r="E67" s="22">
        <f>$E62</f>
        <v>5268000000</v>
      </c>
      <c r="F67" s="22">
        <f>$F62</f>
        <v>7339000000</v>
      </c>
      <c r="G67" s="23">
        <f t="shared" si="52"/>
        <v>20</v>
      </c>
      <c r="H67" s="4">
        <v>44722000</v>
      </c>
      <c r="I67" s="20">
        <f t="shared" si="51"/>
        <v>2236100</v>
      </c>
      <c r="J67" s="20"/>
      <c r="K67" s="20"/>
      <c r="L67" s="20"/>
      <c r="M67" s="20"/>
      <c r="N67" s="20"/>
      <c r="O67" s="20"/>
      <c r="P67" s="20"/>
      <c r="Q67" s="20"/>
      <c r="R67" s="20"/>
      <c r="S67" s="20"/>
      <c r="T67" s="20"/>
      <c r="U67" s="20"/>
      <c r="V67" s="20"/>
      <c r="W67" s="20">
        <f>+H67-I67</f>
        <v>42485900</v>
      </c>
      <c r="X67" s="20">
        <f t="shared" si="44"/>
        <v>40249800</v>
      </c>
      <c r="Y67" s="20">
        <f t="shared" si="45"/>
        <v>38013700</v>
      </c>
      <c r="Z67" s="20">
        <f t="shared" si="46"/>
        <v>35777600</v>
      </c>
      <c r="AA67" s="20">
        <f t="shared" si="47"/>
        <v>33541500</v>
      </c>
      <c r="AB67" s="20">
        <f t="shared" si="48"/>
        <v>31305400</v>
      </c>
      <c r="AC67" s="20">
        <f t="shared" si="49"/>
        <v>29069300</v>
      </c>
      <c r="AE67" s="21">
        <f>SUM(I54:I67)</f>
        <v>20348600</v>
      </c>
      <c r="AF67" s="21">
        <f>SUM(W54:W67)</f>
        <v>306542050</v>
      </c>
      <c r="AG67" s="21">
        <f t="shared" si="50"/>
        <v>24373400</v>
      </c>
    </row>
    <row r="68" spans="1:33" x14ac:dyDescent="0.2">
      <c r="A68">
        <v>15</v>
      </c>
      <c r="B68" t="s">
        <v>113</v>
      </c>
      <c r="C68" s="18" t="s">
        <v>97</v>
      </c>
      <c r="D68" s="22">
        <f>$D62</f>
        <v>3924000000</v>
      </c>
      <c r="E68" s="22">
        <f>$E62</f>
        <v>5268000000</v>
      </c>
      <c r="F68" s="22">
        <f>$F62</f>
        <v>7339000000</v>
      </c>
      <c r="G68" s="23">
        <f t="shared" si="52"/>
        <v>20</v>
      </c>
      <c r="H68" s="4">
        <v>40129000</v>
      </c>
      <c r="I68" s="20">
        <f t="shared" si="51"/>
        <v>2006450</v>
      </c>
      <c r="J68" s="20"/>
      <c r="K68" s="20"/>
      <c r="L68" s="20"/>
      <c r="M68" s="20"/>
      <c r="N68" s="20"/>
      <c r="O68" s="20"/>
      <c r="P68" s="20"/>
      <c r="Q68" s="20"/>
      <c r="R68" s="20"/>
      <c r="S68" s="20"/>
      <c r="T68" s="20"/>
      <c r="U68" s="20"/>
      <c r="V68" s="20"/>
      <c r="W68" s="20"/>
      <c r="X68" s="20">
        <f>+H68-I68</f>
        <v>38122550</v>
      </c>
      <c r="Y68" s="20">
        <f t="shared" si="45"/>
        <v>36116100</v>
      </c>
      <c r="Z68" s="20">
        <f t="shared" si="46"/>
        <v>34109650</v>
      </c>
      <c r="AA68" s="20">
        <f t="shared" si="47"/>
        <v>32103200</v>
      </c>
      <c r="AB68" s="20">
        <f t="shared" si="48"/>
        <v>30096750</v>
      </c>
      <c r="AC68" s="20">
        <f t="shared" si="49"/>
        <v>28090300</v>
      </c>
      <c r="AE68" s="21">
        <f>SUM(I54:I68)</f>
        <v>22355050</v>
      </c>
      <c r="AF68" s="21">
        <f>SUM(X54:X68)</f>
        <v>324316000</v>
      </c>
      <c r="AG68" s="21">
        <f t="shared" si="50"/>
        <v>17773950</v>
      </c>
    </row>
    <row r="69" spans="1:33" x14ac:dyDescent="0.2">
      <c r="A69">
        <v>16</v>
      </c>
      <c r="B69" t="s">
        <v>113</v>
      </c>
      <c r="C69" s="18" t="s">
        <v>96</v>
      </c>
      <c r="D69" s="22">
        <f>$D62</f>
        <v>3924000000</v>
      </c>
      <c r="E69" s="22">
        <f>$E62</f>
        <v>5268000000</v>
      </c>
      <c r="F69" s="22">
        <f>$F62</f>
        <v>7339000000</v>
      </c>
      <c r="G69" s="23">
        <f t="shared" si="52"/>
        <v>20</v>
      </c>
      <c r="H69" s="4">
        <v>43592000</v>
      </c>
      <c r="I69" s="20">
        <f t="shared" si="51"/>
        <v>2179600</v>
      </c>
      <c r="J69" s="20"/>
      <c r="K69" s="20"/>
      <c r="L69" s="20"/>
      <c r="M69" s="20"/>
      <c r="N69" s="20"/>
      <c r="O69" s="20"/>
      <c r="P69" s="20"/>
      <c r="Q69" s="20"/>
      <c r="R69" s="20"/>
      <c r="S69" s="20"/>
      <c r="T69" s="20"/>
      <c r="U69" s="20"/>
      <c r="V69" s="20"/>
      <c r="W69" s="20"/>
      <c r="X69" s="20"/>
      <c r="Y69" s="20">
        <f>+H69-I69</f>
        <v>41412400</v>
      </c>
      <c r="Z69" s="20">
        <f t="shared" si="46"/>
        <v>39232800</v>
      </c>
      <c r="AA69" s="20">
        <f t="shared" si="47"/>
        <v>37053200</v>
      </c>
      <c r="AB69" s="20">
        <f t="shared" si="48"/>
        <v>34873600</v>
      </c>
      <c r="AC69" s="20">
        <f t="shared" si="49"/>
        <v>32694000</v>
      </c>
      <c r="AE69" s="21">
        <f>SUM(I54:I69)</f>
        <v>24534650</v>
      </c>
      <c r="AF69" s="21">
        <f>SUM(Y54:Y69)</f>
        <v>343373350</v>
      </c>
      <c r="AG69" s="21">
        <f t="shared" si="50"/>
        <v>19057350</v>
      </c>
    </row>
    <row r="70" spans="1:33" x14ac:dyDescent="0.2">
      <c r="A70">
        <v>17</v>
      </c>
      <c r="B70" t="s">
        <v>113</v>
      </c>
      <c r="C70" s="18" t="s">
        <v>95</v>
      </c>
      <c r="D70" s="22">
        <f>$D62</f>
        <v>3924000000</v>
      </c>
      <c r="E70" s="22">
        <f>$E62</f>
        <v>5268000000</v>
      </c>
      <c r="F70" s="22">
        <f>$F62</f>
        <v>7339000000</v>
      </c>
      <c r="G70" s="23">
        <f t="shared" si="52"/>
        <v>20</v>
      </c>
      <c r="H70" s="4">
        <v>61540000</v>
      </c>
      <c r="I70" s="20">
        <f t="shared" si="51"/>
        <v>3077000</v>
      </c>
      <c r="J70" s="20"/>
      <c r="K70" s="20"/>
      <c r="L70" s="20"/>
      <c r="M70" s="20"/>
      <c r="N70" s="20"/>
      <c r="O70" s="20"/>
      <c r="P70" s="20"/>
      <c r="Q70" s="20"/>
      <c r="R70" s="20"/>
      <c r="S70" s="20"/>
      <c r="T70" s="20"/>
      <c r="U70" s="20"/>
      <c r="V70" s="20"/>
      <c r="W70" s="20"/>
      <c r="X70" s="20"/>
      <c r="Y70" s="20"/>
      <c r="Z70" s="20">
        <f>+H70-I70</f>
        <v>58463000</v>
      </c>
      <c r="AA70" s="20">
        <f t="shared" si="47"/>
        <v>55386000</v>
      </c>
      <c r="AB70" s="20">
        <f t="shared" si="48"/>
        <v>52309000</v>
      </c>
      <c r="AC70" s="20">
        <f t="shared" si="49"/>
        <v>49232000</v>
      </c>
      <c r="AE70" s="21">
        <f>SUM(I54:I70)</f>
        <v>27611650</v>
      </c>
      <c r="AF70" s="21">
        <f>SUM(Z54:Z70)</f>
        <v>377301700</v>
      </c>
      <c r="AG70" s="21">
        <f t="shared" si="50"/>
        <v>33928350</v>
      </c>
    </row>
    <row r="71" spans="1:33" x14ac:dyDescent="0.2">
      <c r="A71">
        <v>18</v>
      </c>
      <c r="B71" t="s">
        <v>113</v>
      </c>
      <c r="C71" s="18" t="s">
        <v>94</v>
      </c>
      <c r="D71" s="22">
        <f>$D62</f>
        <v>3924000000</v>
      </c>
      <c r="E71" s="22">
        <f>$E62</f>
        <v>5268000000</v>
      </c>
      <c r="F71" s="22">
        <f>$F62</f>
        <v>7339000000</v>
      </c>
      <c r="G71" s="23">
        <f t="shared" si="52"/>
        <v>20</v>
      </c>
      <c r="H71" s="4">
        <v>52147000</v>
      </c>
      <c r="I71" s="20">
        <f t="shared" si="51"/>
        <v>2607350</v>
      </c>
      <c r="J71" s="20"/>
      <c r="K71" s="20"/>
      <c r="L71" s="20"/>
      <c r="M71" s="20"/>
      <c r="N71" s="20"/>
      <c r="O71" s="20"/>
      <c r="P71" s="20"/>
      <c r="Q71" s="20"/>
      <c r="R71" s="20"/>
      <c r="S71" s="20"/>
      <c r="T71" s="20"/>
      <c r="U71" s="20"/>
      <c r="V71" s="20"/>
      <c r="W71" s="20"/>
      <c r="X71" s="20"/>
      <c r="Y71" s="20"/>
      <c r="Z71" s="20"/>
      <c r="AA71" s="20">
        <f>+H71-I71</f>
        <v>49539650</v>
      </c>
      <c r="AB71" s="20">
        <f t="shared" si="48"/>
        <v>46932300</v>
      </c>
      <c r="AC71" s="20">
        <f t="shared" si="49"/>
        <v>44324950</v>
      </c>
      <c r="AE71" s="21">
        <f>SUM(I54:I71)</f>
        <v>30219000</v>
      </c>
      <c r="AF71" s="21">
        <f>SUM(AA54:AA71)</f>
        <v>399229700</v>
      </c>
      <c r="AG71" s="21">
        <f t="shared" si="50"/>
        <v>21928000</v>
      </c>
    </row>
    <row r="72" spans="1:33" x14ac:dyDescent="0.2">
      <c r="A72">
        <v>19</v>
      </c>
      <c r="B72" t="s">
        <v>113</v>
      </c>
      <c r="C72" s="18" t="s">
        <v>93</v>
      </c>
      <c r="D72" s="22">
        <f>$D62</f>
        <v>3924000000</v>
      </c>
      <c r="E72" s="22">
        <f>$E62</f>
        <v>5268000000</v>
      </c>
      <c r="F72" s="22">
        <f>$F62</f>
        <v>7339000000</v>
      </c>
      <c r="G72" s="23">
        <f t="shared" si="52"/>
        <v>20</v>
      </c>
      <c r="H72" s="4">
        <v>58734000</v>
      </c>
      <c r="I72" s="20">
        <f t="shared" si="51"/>
        <v>2936700</v>
      </c>
      <c r="J72" s="20"/>
      <c r="K72" s="20"/>
      <c r="L72" s="20"/>
      <c r="M72" s="20"/>
      <c r="N72" s="20"/>
      <c r="O72" s="20"/>
      <c r="P72" s="20"/>
      <c r="Q72" s="20"/>
      <c r="R72" s="20"/>
      <c r="S72" s="20"/>
      <c r="T72" s="20"/>
      <c r="U72" s="20"/>
      <c r="V72" s="20"/>
      <c r="W72" s="20"/>
      <c r="X72" s="20"/>
      <c r="Y72" s="20"/>
      <c r="Z72" s="20"/>
      <c r="AA72" s="20"/>
      <c r="AB72" s="20">
        <f>+H72-I72</f>
        <v>55797300</v>
      </c>
      <c r="AC72" s="20">
        <f t="shared" si="49"/>
        <v>52860600</v>
      </c>
      <c r="AE72" s="21">
        <f>SUM(I54:I72)</f>
        <v>33155700</v>
      </c>
      <c r="AF72" s="21">
        <f>SUM(AB54:AB72)</f>
        <v>424808000</v>
      </c>
      <c r="AG72" s="21">
        <f t="shared" si="50"/>
        <v>25578300</v>
      </c>
    </row>
    <row r="73" spans="1:33" x14ac:dyDescent="0.2">
      <c r="A73">
        <v>20</v>
      </c>
      <c r="B73" t="s">
        <v>113</v>
      </c>
      <c r="C73" s="18" t="s">
        <v>141</v>
      </c>
      <c r="D73" s="22">
        <f>$D62</f>
        <v>3924000000</v>
      </c>
      <c r="E73" s="22">
        <f>$E62</f>
        <v>5268000000</v>
      </c>
      <c r="F73" s="22">
        <f>$F62</f>
        <v>7339000000</v>
      </c>
      <c r="G73" s="23">
        <f t="shared" si="52"/>
        <v>20</v>
      </c>
      <c r="H73" s="4">
        <v>43006000</v>
      </c>
      <c r="I73" s="20">
        <f t="shared" si="51"/>
        <v>2150300</v>
      </c>
      <c r="J73" s="20"/>
      <c r="K73" s="20"/>
      <c r="L73" s="20"/>
      <c r="M73" s="20"/>
      <c r="N73" s="20"/>
      <c r="O73" s="20"/>
      <c r="P73" s="20"/>
      <c r="Q73" s="20"/>
      <c r="R73" s="20"/>
      <c r="S73" s="20"/>
      <c r="T73" s="20"/>
      <c r="U73" s="20"/>
      <c r="V73" s="20"/>
      <c r="W73" s="20"/>
      <c r="X73" s="20"/>
      <c r="Y73" s="20"/>
      <c r="Z73" s="20"/>
      <c r="AA73" s="20"/>
      <c r="AB73" s="20"/>
      <c r="AC73" s="20">
        <f>+H73-I73</f>
        <v>40855700</v>
      </c>
      <c r="AE73" s="21">
        <f>SUM(I54:I73)</f>
        <v>35306000</v>
      </c>
      <c r="AF73" s="21">
        <f>SUM(AC54:AC73)</f>
        <v>432508000</v>
      </c>
      <c r="AG73" s="21">
        <f t="shared" si="50"/>
        <v>7700000</v>
      </c>
    </row>
    <row r="75" spans="1:33" x14ac:dyDescent="0.2">
      <c r="C75" t="s">
        <v>113</v>
      </c>
    </row>
    <row r="76" spans="1:33" x14ac:dyDescent="0.2">
      <c r="C76" s="6" t="s">
        <v>107</v>
      </c>
      <c r="D76" s="6" t="s">
        <v>438</v>
      </c>
      <c r="E76" s="6" t="s">
        <v>439</v>
      </c>
      <c r="F76" s="6" t="s">
        <v>440</v>
      </c>
      <c r="G76" s="6" t="s">
        <v>441</v>
      </c>
      <c r="H76" s="6" t="s">
        <v>442</v>
      </c>
      <c r="I76" s="15"/>
      <c r="J76" s="6" t="s">
        <v>443</v>
      </c>
      <c r="K76" s="6" t="s">
        <v>444</v>
      </c>
      <c r="L76" s="6" t="s">
        <v>445</v>
      </c>
      <c r="M76" s="6" t="s">
        <v>446</v>
      </c>
      <c r="N76" s="6" t="s">
        <v>447</v>
      </c>
      <c r="O76" s="6" t="s">
        <v>448</v>
      </c>
      <c r="P76" s="6" t="s">
        <v>449</v>
      </c>
      <c r="Q76" s="6" t="s">
        <v>450</v>
      </c>
      <c r="R76" s="6" t="s">
        <v>451</v>
      </c>
      <c r="S76" s="6" t="s">
        <v>452</v>
      </c>
      <c r="T76" s="6" t="s">
        <v>453</v>
      </c>
      <c r="U76" s="6" t="s">
        <v>454</v>
      </c>
      <c r="V76" s="6" t="s">
        <v>455</v>
      </c>
      <c r="W76" s="6" t="s">
        <v>456</v>
      </c>
      <c r="X76" s="6" t="s">
        <v>457</v>
      </c>
      <c r="Y76" s="6" t="s">
        <v>458</v>
      </c>
      <c r="Z76" s="6" t="s">
        <v>459</v>
      </c>
      <c r="AA76" s="6" t="s">
        <v>460</v>
      </c>
      <c r="AB76" s="6" t="s">
        <v>461</v>
      </c>
      <c r="AC76" s="6" t="s">
        <v>462</v>
      </c>
      <c r="AD76" s="15"/>
      <c r="AE76" s="6" t="s">
        <v>106</v>
      </c>
      <c r="AF76" s="6" t="s">
        <v>105</v>
      </c>
      <c r="AG76" s="6" t="s">
        <v>463</v>
      </c>
    </row>
    <row r="77" spans="1:33" x14ac:dyDescent="0.2">
      <c r="C77" s="16" t="s">
        <v>464</v>
      </c>
      <c r="J77" s="17">
        <v>20</v>
      </c>
      <c r="K77" s="17">
        <v>19</v>
      </c>
      <c r="L77" s="17">
        <v>18</v>
      </c>
      <c r="M77" s="17">
        <v>17</v>
      </c>
      <c r="N77" s="17">
        <v>16</v>
      </c>
      <c r="O77" s="17">
        <v>15</v>
      </c>
      <c r="P77" s="17">
        <v>14</v>
      </c>
      <c r="Q77" s="17">
        <v>13</v>
      </c>
      <c r="R77" s="17">
        <v>12</v>
      </c>
      <c r="S77" s="17">
        <v>11</v>
      </c>
      <c r="T77" s="17">
        <v>10</v>
      </c>
      <c r="U77" s="17">
        <v>9</v>
      </c>
      <c r="V77" s="17">
        <v>8</v>
      </c>
      <c r="W77" s="17">
        <v>7</v>
      </c>
      <c r="X77" s="17">
        <v>6</v>
      </c>
      <c r="Y77" s="17">
        <v>5</v>
      </c>
      <c r="Z77" s="17">
        <v>4</v>
      </c>
      <c r="AA77" s="17">
        <v>3</v>
      </c>
      <c r="AB77" s="17">
        <v>2</v>
      </c>
      <c r="AC77" s="17">
        <v>1</v>
      </c>
    </row>
    <row r="78" spans="1:33" x14ac:dyDescent="0.2">
      <c r="B78" t="s">
        <v>113</v>
      </c>
      <c r="C78" s="18" t="s">
        <v>103</v>
      </c>
      <c r="D78" s="4">
        <v>0</v>
      </c>
      <c r="E78" s="4">
        <v>0</v>
      </c>
      <c r="F78" s="4">
        <v>124141000</v>
      </c>
      <c r="G78" s="19">
        <v>20</v>
      </c>
      <c r="H78" s="4">
        <v>49666000</v>
      </c>
      <c r="J78" s="20">
        <f t="shared" ref="J78:J89" si="53">H78</f>
        <v>49666000</v>
      </c>
      <c r="K78" s="20">
        <f>$F78/4</f>
        <v>31035250</v>
      </c>
      <c r="L78" s="20">
        <f>$F78/4</f>
        <v>31035250</v>
      </c>
      <c r="M78" s="20">
        <f>$F78/4</f>
        <v>31035250</v>
      </c>
      <c r="N78" s="20">
        <f>$F78/4</f>
        <v>31035250</v>
      </c>
      <c r="O78" s="20">
        <f>$E78/4</f>
        <v>0</v>
      </c>
      <c r="P78" s="20">
        <f>$E78/4</f>
        <v>0</v>
      </c>
      <c r="Q78" s="20">
        <f>$E78/4</f>
        <v>0</v>
      </c>
      <c r="R78" s="20">
        <f>$E78/4</f>
        <v>0</v>
      </c>
      <c r="S78" s="20">
        <f>$D78/4</f>
        <v>0</v>
      </c>
      <c r="T78" s="20">
        <f>$D78/4</f>
        <v>0</v>
      </c>
      <c r="U78" s="20">
        <f>$D78/4</f>
        <v>0</v>
      </c>
      <c r="V78" s="20">
        <f>$D78/4</f>
        <v>0</v>
      </c>
      <c r="W78" s="20">
        <v>0</v>
      </c>
      <c r="X78" s="20">
        <v>0</v>
      </c>
      <c r="Y78" s="20">
        <v>0</v>
      </c>
      <c r="Z78" s="20">
        <v>0</v>
      </c>
      <c r="AA78" s="20">
        <v>0</v>
      </c>
      <c r="AB78" s="20">
        <v>0</v>
      </c>
      <c r="AC78" s="20">
        <v>0</v>
      </c>
      <c r="AE78" s="21">
        <f>SUM(J78:AC78)/$G78</f>
        <v>8690350</v>
      </c>
      <c r="AF78" s="21">
        <f>SUMPRODUCT($J$77:$AC$77,J78:AC78)/$G78</f>
        <v>158289375</v>
      </c>
      <c r="AG78" s="21">
        <f t="shared" ref="AG78:AG89" si="54">H78-AE78</f>
        <v>40975650</v>
      </c>
    </row>
    <row r="79" spans="1:33" x14ac:dyDescent="0.2">
      <c r="B79" t="s">
        <v>113</v>
      </c>
      <c r="C79" s="18" t="s">
        <v>102</v>
      </c>
      <c r="D79" s="22">
        <f>$D78</f>
        <v>0</v>
      </c>
      <c r="E79" s="22">
        <f>$E78</f>
        <v>0</v>
      </c>
      <c r="F79" s="22">
        <f>$F78</f>
        <v>124141000</v>
      </c>
      <c r="G79" s="23">
        <f t="shared" ref="G79:G89" si="55">$G$78</f>
        <v>20</v>
      </c>
      <c r="H79" s="4">
        <v>48845000</v>
      </c>
      <c r="J79" s="20">
        <f t="shared" si="53"/>
        <v>48845000</v>
      </c>
      <c r="K79" s="20">
        <f t="shared" ref="K79:K89" si="56">H78</f>
        <v>49666000</v>
      </c>
      <c r="L79" s="20">
        <f>$F78/4</f>
        <v>31035250</v>
      </c>
      <c r="M79" s="20">
        <f>$F78/4</f>
        <v>31035250</v>
      </c>
      <c r="N79" s="20">
        <f>$F78/4</f>
        <v>31035250</v>
      </c>
      <c r="O79" s="20">
        <f>$F78/4</f>
        <v>31035250</v>
      </c>
      <c r="P79" s="20">
        <f>$E78/4</f>
        <v>0</v>
      </c>
      <c r="Q79" s="20">
        <f>$E78/4</f>
        <v>0</v>
      </c>
      <c r="R79" s="20">
        <f>$E78/4</f>
        <v>0</v>
      </c>
      <c r="S79" s="20">
        <f>$E78/4</f>
        <v>0</v>
      </c>
      <c r="T79" s="20">
        <f>$D78/4</f>
        <v>0</v>
      </c>
      <c r="U79" s="20">
        <f>$D78/4</f>
        <v>0</v>
      </c>
      <c r="V79" s="20">
        <f>$D78/4</f>
        <v>0</v>
      </c>
      <c r="W79" s="20">
        <f>$D78/4</f>
        <v>0</v>
      </c>
      <c r="X79" s="20">
        <v>0</v>
      </c>
      <c r="Y79" s="20">
        <v>0</v>
      </c>
      <c r="Z79" s="20">
        <v>0</v>
      </c>
      <c r="AA79" s="20">
        <v>0</v>
      </c>
      <c r="AB79" s="20">
        <v>0</v>
      </c>
      <c r="AC79" s="20">
        <v>0</v>
      </c>
      <c r="AE79" s="21">
        <f t="shared" ref="AE79:AE89" si="57">SUM(J79:AC79)/$G79</f>
        <v>11132600</v>
      </c>
      <c r="AF79" s="21">
        <f t="shared" ref="AF79:AF89" si="58">SUMPRODUCT($J$77:$AC$77,J79:AC79)/$G79</f>
        <v>198444025</v>
      </c>
      <c r="AG79" s="21">
        <f t="shared" si="54"/>
        <v>37712400</v>
      </c>
    </row>
    <row r="80" spans="1:33" x14ac:dyDescent="0.2">
      <c r="B80" t="s">
        <v>113</v>
      </c>
      <c r="C80" s="18" t="s">
        <v>101</v>
      </c>
      <c r="D80" s="22">
        <f>$D78</f>
        <v>0</v>
      </c>
      <c r="E80" s="22">
        <f>$E78</f>
        <v>0</v>
      </c>
      <c r="F80" s="22">
        <f>$F78</f>
        <v>124141000</v>
      </c>
      <c r="G80" s="23">
        <f t="shared" si="55"/>
        <v>20</v>
      </c>
      <c r="H80" s="4">
        <v>96531000</v>
      </c>
      <c r="J80" s="20">
        <f t="shared" si="53"/>
        <v>96531000</v>
      </c>
      <c r="K80" s="20">
        <f t="shared" si="56"/>
        <v>48845000</v>
      </c>
      <c r="L80" s="20">
        <f t="shared" ref="L80:L89" si="59">H78</f>
        <v>49666000</v>
      </c>
      <c r="M80" s="20">
        <f>$F78/4</f>
        <v>31035250</v>
      </c>
      <c r="N80" s="20">
        <f>$F78/4</f>
        <v>31035250</v>
      </c>
      <c r="O80" s="20">
        <f>$F78/4</f>
        <v>31035250</v>
      </c>
      <c r="P80" s="20">
        <f>$F78/4</f>
        <v>31035250</v>
      </c>
      <c r="Q80" s="20">
        <f>$E78/4</f>
        <v>0</v>
      </c>
      <c r="R80" s="20">
        <f>$E78/4</f>
        <v>0</v>
      </c>
      <c r="S80" s="20">
        <f>$E78/4</f>
        <v>0</v>
      </c>
      <c r="T80" s="20">
        <f>$E78/4</f>
        <v>0</v>
      </c>
      <c r="U80" s="20">
        <f>$D78/4</f>
        <v>0</v>
      </c>
      <c r="V80" s="20">
        <f>$D78/4</f>
        <v>0</v>
      </c>
      <c r="W80" s="20">
        <f>$D78/4</f>
        <v>0</v>
      </c>
      <c r="X80" s="20">
        <f>$D78/4</f>
        <v>0</v>
      </c>
      <c r="Y80" s="20">
        <v>0</v>
      </c>
      <c r="Z80" s="20">
        <v>0</v>
      </c>
      <c r="AA80" s="20">
        <v>0</v>
      </c>
      <c r="AB80" s="20">
        <v>0</v>
      </c>
      <c r="AC80" s="20">
        <v>0</v>
      </c>
      <c r="AE80" s="21">
        <f t="shared" si="57"/>
        <v>15959150</v>
      </c>
      <c r="AF80" s="21">
        <f t="shared" si="58"/>
        <v>283842425</v>
      </c>
      <c r="AG80" s="21">
        <f t="shared" si="54"/>
        <v>80571850</v>
      </c>
    </row>
    <row r="81" spans="1:33" x14ac:dyDescent="0.2">
      <c r="B81" t="s">
        <v>113</v>
      </c>
      <c r="C81" s="18" t="s">
        <v>100</v>
      </c>
      <c r="D81" s="22">
        <f>$D78</f>
        <v>0</v>
      </c>
      <c r="E81" s="22">
        <f>$E78</f>
        <v>0</v>
      </c>
      <c r="F81" s="22">
        <f>$F78</f>
        <v>124141000</v>
      </c>
      <c r="G81" s="23">
        <f t="shared" si="55"/>
        <v>20</v>
      </c>
      <c r="H81" s="4">
        <v>42144000</v>
      </c>
      <c r="J81" s="20">
        <f t="shared" si="53"/>
        <v>42144000</v>
      </c>
      <c r="K81" s="20">
        <f t="shared" si="56"/>
        <v>96531000</v>
      </c>
      <c r="L81" s="20">
        <f t="shared" si="59"/>
        <v>48845000</v>
      </c>
      <c r="M81" s="20">
        <f t="shared" ref="M81:M89" si="60">H78</f>
        <v>49666000</v>
      </c>
      <c r="N81" s="20">
        <f>$F78/4</f>
        <v>31035250</v>
      </c>
      <c r="O81" s="20">
        <f>$F78/4</f>
        <v>31035250</v>
      </c>
      <c r="P81" s="20">
        <f>$F78/4</f>
        <v>31035250</v>
      </c>
      <c r="Q81" s="20">
        <f>$F78/4</f>
        <v>31035250</v>
      </c>
      <c r="R81" s="20">
        <f>$E78/4</f>
        <v>0</v>
      </c>
      <c r="S81" s="20">
        <f>$E78/4</f>
        <v>0</v>
      </c>
      <c r="T81" s="20">
        <f>$E78/4</f>
        <v>0</v>
      </c>
      <c r="U81" s="20">
        <f>$E78/4</f>
        <v>0</v>
      </c>
      <c r="V81" s="20">
        <f>$D78/4</f>
        <v>0</v>
      </c>
      <c r="W81" s="20">
        <f>$D78/4</f>
        <v>0</v>
      </c>
      <c r="X81" s="20">
        <f>$D78/4</f>
        <v>0</v>
      </c>
      <c r="Y81" s="20">
        <f>$D78/4</f>
        <v>0</v>
      </c>
      <c r="Z81" s="20">
        <v>0</v>
      </c>
      <c r="AA81" s="20">
        <v>0</v>
      </c>
      <c r="AB81" s="20">
        <v>0</v>
      </c>
      <c r="AC81" s="20">
        <v>0</v>
      </c>
      <c r="AE81" s="21">
        <f t="shared" si="57"/>
        <v>18066350</v>
      </c>
      <c r="AF81" s="21">
        <f t="shared" si="58"/>
        <v>310027275</v>
      </c>
      <c r="AG81" s="21">
        <f t="shared" si="54"/>
        <v>24077650</v>
      </c>
    </row>
    <row r="82" spans="1:33" x14ac:dyDescent="0.2">
      <c r="B82" t="s">
        <v>113</v>
      </c>
      <c r="C82" s="18" t="s">
        <v>99</v>
      </c>
      <c r="D82" s="22">
        <f>$D78</f>
        <v>0</v>
      </c>
      <c r="E82" s="22">
        <f>$E78</f>
        <v>0</v>
      </c>
      <c r="F82" s="22">
        <f>$F78</f>
        <v>124141000</v>
      </c>
      <c r="G82" s="23">
        <f t="shared" si="55"/>
        <v>20</v>
      </c>
      <c r="H82" s="4">
        <v>46462000</v>
      </c>
      <c r="J82" s="20">
        <f t="shared" si="53"/>
        <v>46462000</v>
      </c>
      <c r="K82" s="20">
        <f t="shared" si="56"/>
        <v>42144000</v>
      </c>
      <c r="L82" s="20">
        <f t="shared" si="59"/>
        <v>96531000</v>
      </c>
      <c r="M82" s="20">
        <f t="shared" si="60"/>
        <v>48845000</v>
      </c>
      <c r="N82" s="20">
        <f t="shared" ref="N82:N89" si="61">H78</f>
        <v>49666000</v>
      </c>
      <c r="O82" s="20">
        <f>$F78/4</f>
        <v>31035250</v>
      </c>
      <c r="P82" s="20">
        <f>$F78/4</f>
        <v>31035250</v>
      </c>
      <c r="Q82" s="20">
        <f>$F78/4</f>
        <v>31035250</v>
      </c>
      <c r="R82" s="20">
        <f>$F78/4</f>
        <v>31035250</v>
      </c>
      <c r="S82" s="20">
        <f>$E78/4</f>
        <v>0</v>
      </c>
      <c r="T82" s="20">
        <f>$E78/4</f>
        <v>0</v>
      </c>
      <c r="U82" s="20">
        <f>$E78/4</f>
        <v>0</v>
      </c>
      <c r="V82" s="20">
        <f>$E78/4</f>
        <v>0</v>
      </c>
      <c r="W82" s="20">
        <f>$D78/4</f>
        <v>0</v>
      </c>
      <c r="X82" s="20">
        <f>$D78/4</f>
        <v>0</v>
      </c>
      <c r="Y82" s="20">
        <f>$D78/4</f>
        <v>0</v>
      </c>
      <c r="Z82" s="20">
        <f>$D78/4</f>
        <v>0</v>
      </c>
      <c r="AA82" s="20">
        <v>0</v>
      </c>
      <c r="AB82" s="20">
        <v>0</v>
      </c>
      <c r="AC82" s="20">
        <v>0</v>
      </c>
      <c r="AE82" s="21">
        <f t="shared" si="57"/>
        <v>20389450</v>
      </c>
      <c r="AF82" s="21">
        <f t="shared" si="58"/>
        <v>338422925</v>
      </c>
      <c r="AG82" s="21">
        <f t="shared" si="54"/>
        <v>26072550</v>
      </c>
    </row>
    <row r="83" spans="1:33" x14ac:dyDescent="0.2">
      <c r="B83" t="s">
        <v>113</v>
      </c>
      <c r="C83" s="18" t="s">
        <v>98</v>
      </c>
      <c r="D83" s="22">
        <f>$D78</f>
        <v>0</v>
      </c>
      <c r="E83" s="22">
        <f>$E78</f>
        <v>0</v>
      </c>
      <c r="F83" s="22">
        <f>$F78</f>
        <v>124141000</v>
      </c>
      <c r="G83" s="23">
        <f t="shared" si="55"/>
        <v>20</v>
      </c>
      <c r="H83" s="4">
        <v>44722000</v>
      </c>
      <c r="J83" s="20">
        <f t="shared" si="53"/>
        <v>44722000</v>
      </c>
      <c r="K83" s="20">
        <f t="shared" si="56"/>
        <v>46462000</v>
      </c>
      <c r="L83" s="20">
        <f t="shared" si="59"/>
        <v>42144000</v>
      </c>
      <c r="M83" s="20">
        <f t="shared" si="60"/>
        <v>96531000</v>
      </c>
      <c r="N83" s="20">
        <f t="shared" si="61"/>
        <v>48845000</v>
      </c>
      <c r="O83" s="20">
        <f t="shared" ref="O83:O89" si="62">H78</f>
        <v>49666000</v>
      </c>
      <c r="P83" s="20">
        <f>$F78/4</f>
        <v>31035250</v>
      </c>
      <c r="Q83" s="20">
        <f>$F78/4</f>
        <v>31035250</v>
      </c>
      <c r="R83" s="20">
        <f>$F78/4</f>
        <v>31035250</v>
      </c>
      <c r="S83" s="20">
        <f>$F78/4</f>
        <v>31035250</v>
      </c>
      <c r="T83" s="20">
        <f>$E78/4</f>
        <v>0</v>
      </c>
      <c r="U83" s="20">
        <f>$E78/4</f>
        <v>0</v>
      </c>
      <c r="V83" s="20">
        <f>$E78/4</f>
        <v>0</v>
      </c>
      <c r="W83" s="20">
        <f>$E78/4</f>
        <v>0</v>
      </c>
      <c r="X83" s="20">
        <f>$D78/4</f>
        <v>0</v>
      </c>
      <c r="Y83" s="20">
        <f>$D78/4</f>
        <v>0</v>
      </c>
      <c r="Z83" s="20">
        <f>$D78/4</f>
        <v>0</v>
      </c>
      <c r="AA83" s="20">
        <f>$D78/4</f>
        <v>0</v>
      </c>
      <c r="AB83" s="20">
        <v>0</v>
      </c>
      <c r="AC83" s="20">
        <v>0</v>
      </c>
      <c r="AE83" s="21">
        <f t="shared" si="57"/>
        <v>22625550</v>
      </c>
      <c r="AF83" s="21">
        <f t="shared" si="58"/>
        <v>362755475</v>
      </c>
      <c r="AG83" s="21">
        <f t="shared" si="54"/>
        <v>22096450</v>
      </c>
    </row>
    <row r="84" spans="1:33" x14ac:dyDescent="0.2">
      <c r="B84" t="s">
        <v>113</v>
      </c>
      <c r="C84" s="18" t="s">
        <v>97</v>
      </c>
      <c r="D84" s="22">
        <f>$D78</f>
        <v>0</v>
      </c>
      <c r="E84" s="22">
        <f>$E78</f>
        <v>0</v>
      </c>
      <c r="F84" s="22">
        <f>$F78</f>
        <v>124141000</v>
      </c>
      <c r="G84" s="23">
        <f t="shared" si="55"/>
        <v>20</v>
      </c>
      <c r="H84" s="4">
        <v>40129000</v>
      </c>
      <c r="J84" s="20">
        <f t="shared" si="53"/>
        <v>40129000</v>
      </c>
      <c r="K84" s="20">
        <f t="shared" si="56"/>
        <v>44722000</v>
      </c>
      <c r="L84" s="20">
        <f t="shared" si="59"/>
        <v>46462000</v>
      </c>
      <c r="M84" s="20">
        <f t="shared" si="60"/>
        <v>42144000</v>
      </c>
      <c r="N84" s="20">
        <f t="shared" si="61"/>
        <v>96531000</v>
      </c>
      <c r="O84" s="20">
        <f t="shared" si="62"/>
        <v>48845000</v>
      </c>
      <c r="P84" s="20">
        <f t="shared" ref="P84:P89" si="63">H78</f>
        <v>49666000</v>
      </c>
      <c r="Q84" s="20">
        <f>$F78/4</f>
        <v>31035250</v>
      </c>
      <c r="R84" s="20">
        <f>$F78/4</f>
        <v>31035250</v>
      </c>
      <c r="S84" s="20">
        <f>$F78/4</f>
        <v>31035250</v>
      </c>
      <c r="T84" s="20">
        <f>$F78/4</f>
        <v>31035250</v>
      </c>
      <c r="U84" s="20">
        <f>$E78/4</f>
        <v>0</v>
      </c>
      <c r="V84" s="20">
        <f>$E78/4</f>
        <v>0</v>
      </c>
      <c r="W84" s="20">
        <f>$E78/4</f>
        <v>0</v>
      </c>
      <c r="X84" s="20">
        <f>$E78/4</f>
        <v>0</v>
      </c>
      <c r="Y84" s="20">
        <f>$D78/4</f>
        <v>0</v>
      </c>
      <c r="Z84" s="20">
        <f>$D78/4</f>
        <v>0</v>
      </c>
      <c r="AA84" s="20">
        <f>$D78/4</f>
        <v>0</v>
      </c>
      <c r="AB84" s="20">
        <f>$D78/4</f>
        <v>0</v>
      </c>
      <c r="AC84" s="20">
        <v>0</v>
      </c>
      <c r="AE84" s="21">
        <f t="shared" si="57"/>
        <v>24632000</v>
      </c>
      <c r="AF84" s="21">
        <f t="shared" si="58"/>
        <v>380258925</v>
      </c>
      <c r="AG84" s="21">
        <f t="shared" si="54"/>
        <v>15497000</v>
      </c>
    </row>
    <row r="85" spans="1:33" x14ac:dyDescent="0.2">
      <c r="B85" t="s">
        <v>113</v>
      </c>
      <c r="C85" s="18" t="s">
        <v>96</v>
      </c>
      <c r="D85" s="22">
        <f>$D78</f>
        <v>0</v>
      </c>
      <c r="E85" s="22">
        <f>$E78</f>
        <v>0</v>
      </c>
      <c r="F85" s="22">
        <f>$F78</f>
        <v>124141000</v>
      </c>
      <c r="G85" s="23">
        <f t="shared" si="55"/>
        <v>20</v>
      </c>
      <c r="H85" s="4">
        <v>43592000</v>
      </c>
      <c r="J85" s="20">
        <f t="shared" si="53"/>
        <v>43592000</v>
      </c>
      <c r="K85" s="20">
        <f t="shared" si="56"/>
        <v>40129000</v>
      </c>
      <c r="L85" s="20">
        <f t="shared" si="59"/>
        <v>44722000</v>
      </c>
      <c r="M85" s="20">
        <f t="shared" si="60"/>
        <v>46462000</v>
      </c>
      <c r="N85" s="20">
        <f t="shared" si="61"/>
        <v>42144000</v>
      </c>
      <c r="O85" s="20">
        <f t="shared" si="62"/>
        <v>96531000</v>
      </c>
      <c r="P85" s="20">
        <f t="shared" si="63"/>
        <v>48845000</v>
      </c>
      <c r="Q85" s="20">
        <f>H78</f>
        <v>49666000</v>
      </c>
      <c r="R85" s="20">
        <f>$F78/4</f>
        <v>31035250</v>
      </c>
      <c r="S85" s="20">
        <f>$F78/4</f>
        <v>31035250</v>
      </c>
      <c r="T85" s="20">
        <f>$F78/4</f>
        <v>31035250</v>
      </c>
      <c r="U85" s="20">
        <f>$F78/4</f>
        <v>31035250</v>
      </c>
      <c r="V85" s="20">
        <f>$E78/4</f>
        <v>0</v>
      </c>
      <c r="W85" s="20">
        <f>$E78/4</f>
        <v>0</v>
      </c>
      <c r="X85" s="20">
        <f>$E78/4</f>
        <v>0</v>
      </c>
      <c r="Y85" s="20">
        <f>$E78/4</f>
        <v>0</v>
      </c>
      <c r="Z85" s="20">
        <f>$D78/4</f>
        <v>0</v>
      </c>
      <c r="AA85" s="20">
        <f>$D78/4</f>
        <v>0</v>
      </c>
      <c r="AB85" s="20">
        <f>$D78/4</f>
        <v>0</v>
      </c>
      <c r="AC85" s="20">
        <f>$D78/4</f>
        <v>0</v>
      </c>
      <c r="AE85" s="21">
        <f t="shared" si="57"/>
        <v>26811600</v>
      </c>
      <c r="AF85" s="21">
        <f t="shared" si="58"/>
        <v>399218925</v>
      </c>
      <c r="AG85" s="21">
        <f t="shared" si="54"/>
        <v>16780400</v>
      </c>
    </row>
    <row r="86" spans="1:33" x14ac:dyDescent="0.2">
      <c r="B86" t="s">
        <v>113</v>
      </c>
      <c r="C86" s="18" t="s">
        <v>95</v>
      </c>
      <c r="D86" s="22">
        <f>$D78</f>
        <v>0</v>
      </c>
      <c r="E86" s="22">
        <f>$E78</f>
        <v>0</v>
      </c>
      <c r="F86" s="22">
        <f>$F78</f>
        <v>124141000</v>
      </c>
      <c r="G86" s="23">
        <f t="shared" si="55"/>
        <v>20</v>
      </c>
      <c r="H86" s="4">
        <v>61540000</v>
      </c>
      <c r="J86" s="20">
        <f t="shared" si="53"/>
        <v>61540000</v>
      </c>
      <c r="K86" s="20">
        <f t="shared" si="56"/>
        <v>43592000</v>
      </c>
      <c r="L86" s="20">
        <f t="shared" si="59"/>
        <v>40129000</v>
      </c>
      <c r="M86" s="20">
        <f t="shared" si="60"/>
        <v>44722000</v>
      </c>
      <c r="N86" s="20">
        <f t="shared" si="61"/>
        <v>46462000</v>
      </c>
      <c r="O86" s="20">
        <f t="shared" si="62"/>
        <v>42144000</v>
      </c>
      <c r="P86" s="20">
        <f t="shared" si="63"/>
        <v>96531000</v>
      </c>
      <c r="Q86" s="20">
        <f>H79</f>
        <v>48845000</v>
      </c>
      <c r="R86" s="20">
        <f>H78</f>
        <v>49666000</v>
      </c>
      <c r="S86" s="20">
        <f>$F78/4</f>
        <v>31035250</v>
      </c>
      <c r="T86" s="20">
        <f>$F78/4</f>
        <v>31035250</v>
      </c>
      <c r="U86" s="20">
        <f>$F78/4</f>
        <v>31035250</v>
      </c>
      <c r="V86" s="20">
        <f>$F78/4</f>
        <v>31035250</v>
      </c>
      <c r="W86" s="20">
        <f>$E78/4</f>
        <v>0</v>
      </c>
      <c r="X86" s="20">
        <f>$E78/4</f>
        <v>0</v>
      </c>
      <c r="Y86" s="20">
        <f>$E78/4</f>
        <v>0</v>
      </c>
      <c r="Z86" s="20">
        <f>$E78/4</f>
        <v>0</v>
      </c>
      <c r="AA86" s="20">
        <f>$D78/4</f>
        <v>0</v>
      </c>
      <c r="AB86" s="20">
        <f>$D78/4</f>
        <v>0</v>
      </c>
      <c r="AC86" s="20">
        <f>$D78/4</f>
        <v>0</v>
      </c>
      <c r="AE86" s="21">
        <f t="shared" si="57"/>
        <v>29888600</v>
      </c>
      <c r="AF86" s="21">
        <f t="shared" si="58"/>
        <v>433947325</v>
      </c>
      <c r="AG86" s="21">
        <f t="shared" si="54"/>
        <v>31651400</v>
      </c>
    </row>
    <row r="87" spans="1:33" x14ac:dyDescent="0.2">
      <c r="B87" t="s">
        <v>113</v>
      </c>
      <c r="C87" s="18" t="s">
        <v>94</v>
      </c>
      <c r="D87" s="22">
        <f>$D78</f>
        <v>0</v>
      </c>
      <c r="E87" s="22">
        <f>$E78</f>
        <v>0</v>
      </c>
      <c r="F87" s="22">
        <f>$F78</f>
        <v>124141000</v>
      </c>
      <c r="G87" s="23">
        <f t="shared" si="55"/>
        <v>20</v>
      </c>
      <c r="H87" s="4">
        <v>52147000</v>
      </c>
      <c r="J87" s="20">
        <f t="shared" si="53"/>
        <v>52147000</v>
      </c>
      <c r="K87" s="20">
        <f t="shared" si="56"/>
        <v>61540000</v>
      </c>
      <c r="L87" s="20">
        <f t="shared" si="59"/>
        <v>43592000</v>
      </c>
      <c r="M87" s="20">
        <f t="shared" si="60"/>
        <v>40129000</v>
      </c>
      <c r="N87" s="20">
        <f t="shared" si="61"/>
        <v>44722000</v>
      </c>
      <c r="O87" s="20">
        <f t="shared" si="62"/>
        <v>46462000</v>
      </c>
      <c r="P87" s="20">
        <f t="shared" si="63"/>
        <v>42144000</v>
      </c>
      <c r="Q87" s="20">
        <f>H80</f>
        <v>96531000</v>
      </c>
      <c r="R87" s="20">
        <f>H79</f>
        <v>48845000</v>
      </c>
      <c r="S87" s="20">
        <f>H78</f>
        <v>49666000</v>
      </c>
      <c r="T87" s="20">
        <f>$F78/4</f>
        <v>31035250</v>
      </c>
      <c r="U87" s="20">
        <f>$F78/4</f>
        <v>31035250</v>
      </c>
      <c r="V87" s="20">
        <f>$F78/4</f>
        <v>31035250</v>
      </c>
      <c r="W87" s="20">
        <f>$F78/4</f>
        <v>31035250</v>
      </c>
      <c r="X87" s="20">
        <f>$E78/4</f>
        <v>0</v>
      </c>
      <c r="Y87" s="20">
        <f>$E78/4</f>
        <v>0</v>
      </c>
      <c r="Z87" s="20">
        <f>$E78/4</f>
        <v>0</v>
      </c>
      <c r="AA87" s="20">
        <f>$E78/4</f>
        <v>0</v>
      </c>
      <c r="AB87" s="20">
        <f>$D78/4</f>
        <v>0</v>
      </c>
      <c r="AC87" s="20">
        <f>$D78/4</f>
        <v>0</v>
      </c>
      <c r="AE87" s="21">
        <f t="shared" si="57"/>
        <v>32495950</v>
      </c>
      <c r="AF87" s="21">
        <f t="shared" si="58"/>
        <v>456205725</v>
      </c>
      <c r="AG87" s="21">
        <f t="shared" si="54"/>
        <v>19651050</v>
      </c>
    </row>
    <row r="88" spans="1:33" x14ac:dyDescent="0.2">
      <c r="B88" t="s">
        <v>113</v>
      </c>
      <c r="C88" s="18" t="s">
        <v>93</v>
      </c>
      <c r="D88" s="22">
        <f>$D78</f>
        <v>0</v>
      </c>
      <c r="E88" s="22">
        <f>$E78</f>
        <v>0</v>
      </c>
      <c r="F88" s="22">
        <f>$F78</f>
        <v>124141000</v>
      </c>
      <c r="G88" s="23">
        <f t="shared" si="55"/>
        <v>20</v>
      </c>
      <c r="H88" s="4">
        <v>58734000</v>
      </c>
      <c r="J88" s="20">
        <f t="shared" si="53"/>
        <v>58734000</v>
      </c>
      <c r="K88" s="20">
        <f t="shared" si="56"/>
        <v>52147000</v>
      </c>
      <c r="L88" s="20">
        <f t="shared" si="59"/>
        <v>61540000</v>
      </c>
      <c r="M88" s="20">
        <f t="shared" si="60"/>
        <v>43592000</v>
      </c>
      <c r="N88" s="20">
        <f t="shared" si="61"/>
        <v>40129000</v>
      </c>
      <c r="O88" s="20">
        <f t="shared" si="62"/>
        <v>44722000</v>
      </c>
      <c r="P88" s="20">
        <f t="shared" si="63"/>
        <v>46462000</v>
      </c>
      <c r="Q88" s="20">
        <f>H81</f>
        <v>42144000</v>
      </c>
      <c r="R88" s="20">
        <f>H80</f>
        <v>96531000</v>
      </c>
      <c r="S88" s="20">
        <f>H79</f>
        <v>48845000</v>
      </c>
      <c r="T88" s="20">
        <f>H78</f>
        <v>49666000</v>
      </c>
      <c r="U88" s="20">
        <f>$F78/4</f>
        <v>31035250</v>
      </c>
      <c r="V88" s="20">
        <f>$F78/4</f>
        <v>31035250</v>
      </c>
      <c r="W88" s="20">
        <f>$F78/4</f>
        <v>31035250</v>
      </c>
      <c r="X88" s="20">
        <f>$F78/4</f>
        <v>31035250</v>
      </c>
      <c r="Y88" s="20">
        <f>$E78/4</f>
        <v>0</v>
      </c>
      <c r="Z88" s="20">
        <f>$E78/4</f>
        <v>0</v>
      </c>
      <c r="AA88" s="20">
        <f>$E78/4</f>
        <v>0</v>
      </c>
      <c r="AB88" s="20">
        <f>$E78/4</f>
        <v>0</v>
      </c>
      <c r="AC88" s="20">
        <f>$D78/4</f>
        <v>0</v>
      </c>
      <c r="AE88" s="21">
        <f t="shared" si="57"/>
        <v>35432650</v>
      </c>
      <c r="AF88" s="21">
        <f t="shared" si="58"/>
        <v>482443775</v>
      </c>
      <c r="AG88" s="21">
        <f t="shared" si="54"/>
        <v>23301350</v>
      </c>
    </row>
    <row r="89" spans="1:33" x14ac:dyDescent="0.2">
      <c r="B89" t="s">
        <v>113</v>
      </c>
      <c r="C89" s="18" t="s">
        <v>141</v>
      </c>
      <c r="D89" s="22">
        <f>$D78</f>
        <v>0</v>
      </c>
      <c r="E89" s="22">
        <f>$E78</f>
        <v>0</v>
      </c>
      <c r="F89" s="22">
        <f>$F78</f>
        <v>124141000</v>
      </c>
      <c r="G89" s="23">
        <f t="shared" si="55"/>
        <v>20</v>
      </c>
      <c r="H89" s="4">
        <v>43006000</v>
      </c>
      <c r="J89" s="20">
        <f t="shared" si="53"/>
        <v>43006000</v>
      </c>
      <c r="K89" s="20">
        <f t="shared" si="56"/>
        <v>58734000</v>
      </c>
      <c r="L89" s="20">
        <f t="shared" si="59"/>
        <v>52147000</v>
      </c>
      <c r="M89" s="20">
        <f t="shared" si="60"/>
        <v>61540000</v>
      </c>
      <c r="N89" s="20">
        <f t="shared" si="61"/>
        <v>43592000</v>
      </c>
      <c r="O89" s="20">
        <f t="shared" si="62"/>
        <v>40129000</v>
      </c>
      <c r="P89" s="20">
        <f t="shared" si="63"/>
        <v>44722000</v>
      </c>
      <c r="Q89" s="20">
        <f>H82</f>
        <v>46462000</v>
      </c>
      <c r="R89" s="20">
        <f>H81</f>
        <v>42144000</v>
      </c>
      <c r="S89" s="20">
        <f>H80</f>
        <v>96531000</v>
      </c>
      <c r="T89" s="20">
        <f>H79</f>
        <v>48845000</v>
      </c>
      <c r="U89" s="20">
        <f>H78</f>
        <v>49666000</v>
      </c>
      <c r="V89" s="20">
        <f>$F78/4</f>
        <v>31035250</v>
      </c>
      <c r="W89" s="20">
        <f>$F78/4</f>
        <v>31035250</v>
      </c>
      <c r="X89" s="20">
        <f>$F78/4</f>
        <v>31035250</v>
      </c>
      <c r="Y89" s="20">
        <f>$F78/4</f>
        <v>31035250</v>
      </c>
      <c r="Z89" s="20">
        <f>$E78/4</f>
        <v>0</v>
      </c>
      <c r="AA89" s="20">
        <f>$E78/4</f>
        <v>0</v>
      </c>
      <c r="AB89" s="20">
        <f>$E78/4</f>
        <v>0</v>
      </c>
      <c r="AC89" s="20">
        <f>$E78/4</f>
        <v>0</v>
      </c>
      <c r="AE89" s="21">
        <f t="shared" si="57"/>
        <v>37582950</v>
      </c>
      <c r="AF89" s="21">
        <f t="shared" si="58"/>
        <v>490017125</v>
      </c>
      <c r="AG89" s="21">
        <f t="shared" si="54"/>
        <v>5423050</v>
      </c>
    </row>
    <row r="92" spans="1:33" x14ac:dyDescent="0.2">
      <c r="C92" t="s">
        <v>143</v>
      </c>
    </row>
    <row r="93" spans="1:33" x14ac:dyDescent="0.2">
      <c r="C93" s="6" t="s">
        <v>107</v>
      </c>
      <c r="D93" s="6" t="s">
        <v>439</v>
      </c>
      <c r="E93" s="6" t="s">
        <v>440</v>
      </c>
      <c r="F93" s="6" t="s">
        <v>471</v>
      </c>
      <c r="G93" s="6" t="s">
        <v>441</v>
      </c>
      <c r="H93" s="6" t="s">
        <v>442</v>
      </c>
      <c r="I93" s="15"/>
      <c r="J93" s="6" t="s">
        <v>443</v>
      </c>
      <c r="K93" s="6" t="s">
        <v>444</v>
      </c>
      <c r="L93" s="6" t="s">
        <v>445</v>
      </c>
      <c r="M93" s="6" t="s">
        <v>446</v>
      </c>
      <c r="N93" s="6" t="s">
        <v>447</v>
      </c>
      <c r="O93" s="6" t="s">
        <v>448</v>
      </c>
      <c r="P93" s="6" t="s">
        <v>449</v>
      </c>
      <c r="Q93" s="6" t="s">
        <v>450</v>
      </c>
      <c r="R93" s="6" t="s">
        <v>451</v>
      </c>
      <c r="S93" s="6" t="s">
        <v>452</v>
      </c>
      <c r="T93" s="6" t="s">
        <v>453</v>
      </c>
      <c r="U93" s="6" t="s">
        <v>454</v>
      </c>
      <c r="V93" s="6" t="s">
        <v>455</v>
      </c>
      <c r="W93" s="6" t="s">
        <v>456</v>
      </c>
      <c r="X93" s="6" t="s">
        <v>457</v>
      </c>
      <c r="Y93" s="6" t="s">
        <v>458</v>
      </c>
      <c r="Z93" s="6" t="s">
        <v>459</v>
      </c>
      <c r="AA93" s="6" t="s">
        <v>460</v>
      </c>
      <c r="AB93" s="6" t="s">
        <v>461</v>
      </c>
      <c r="AC93" s="6" t="s">
        <v>462</v>
      </c>
      <c r="AD93" s="15"/>
      <c r="AE93" s="6" t="s">
        <v>106</v>
      </c>
      <c r="AF93" s="6" t="s">
        <v>105</v>
      </c>
      <c r="AG93" s="6" t="s">
        <v>463</v>
      </c>
    </row>
    <row r="94" spans="1:33" x14ac:dyDescent="0.2">
      <c r="C94" s="16" t="s">
        <v>464</v>
      </c>
      <c r="J94" s="17">
        <v>20</v>
      </c>
      <c r="K94" s="17">
        <v>19</v>
      </c>
      <c r="L94" s="17">
        <v>18</v>
      </c>
      <c r="M94" s="17">
        <v>17</v>
      </c>
      <c r="N94" s="17">
        <v>16</v>
      </c>
      <c r="O94" s="17">
        <v>15</v>
      </c>
      <c r="P94" s="17">
        <v>14</v>
      </c>
      <c r="Q94" s="17">
        <v>13</v>
      </c>
      <c r="R94" s="17">
        <v>12</v>
      </c>
      <c r="S94" s="17">
        <v>11</v>
      </c>
      <c r="T94" s="17">
        <v>10</v>
      </c>
      <c r="U94" s="17">
        <v>9</v>
      </c>
      <c r="V94" s="17">
        <v>8</v>
      </c>
      <c r="W94" s="17">
        <v>7</v>
      </c>
      <c r="X94" s="17">
        <v>6</v>
      </c>
      <c r="Y94" s="17">
        <v>5</v>
      </c>
      <c r="Z94" s="17">
        <v>4</v>
      </c>
      <c r="AA94" s="17">
        <v>3</v>
      </c>
      <c r="AB94" s="17">
        <v>2</v>
      </c>
      <c r="AC94" s="17">
        <v>1</v>
      </c>
    </row>
    <row r="95" spans="1:33" x14ac:dyDescent="0.2">
      <c r="A95">
        <v>1</v>
      </c>
      <c r="B95" t="s">
        <v>143</v>
      </c>
      <c r="C95" s="18" t="s">
        <v>484</v>
      </c>
      <c r="G95" s="23">
        <f t="shared" ref="G95:G102" si="64">$G$13</f>
        <v>20</v>
      </c>
      <c r="H95" s="4">
        <v>644250000</v>
      </c>
      <c r="I95" s="20">
        <f>+H95/20</f>
        <v>32212500</v>
      </c>
      <c r="J95" s="20">
        <f>+H95-$I95</f>
        <v>612037500</v>
      </c>
      <c r="K95" s="20">
        <f>+J95-$I95</f>
        <v>579825000</v>
      </c>
      <c r="L95" s="20">
        <f t="shared" ref="L95" si="65">+K95-$I95</f>
        <v>547612500</v>
      </c>
      <c r="M95" s="20">
        <f t="shared" ref="M95:M96" si="66">+L95-$I95</f>
        <v>515400000</v>
      </c>
      <c r="N95" s="20">
        <f t="shared" ref="N95:N97" si="67">+M95-$I95</f>
        <v>483187500</v>
      </c>
      <c r="O95" s="20">
        <f t="shared" ref="O95:O99" si="68">+N95-$I95</f>
        <v>450975000</v>
      </c>
      <c r="P95" s="20">
        <f t="shared" ref="P95:P100" si="69">+O95-$I95</f>
        <v>418762500</v>
      </c>
      <c r="Q95" s="20">
        <f t="shared" ref="Q95:Q101" si="70">+P95-$I95</f>
        <v>386550000</v>
      </c>
      <c r="R95" s="20">
        <f t="shared" ref="R95:R102" si="71">+Q95-$I95</f>
        <v>354337500</v>
      </c>
      <c r="S95" s="20">
        <f t="shared" ref="S95:S103" si="72">+R95-$I95</f>
        <v>322125000</v>
      </c>
      <c r="T95" s="20">
        <f t="shared" ref="T95:T104" si="73">+S95-$I95</f>
        <v>289912500</v>
      </c>
      <c r="U95" s="20">
        <f t="shared" ref="U95:U105" si="74">+T95-$I95</f>
        <v>257700000</v>
      </c>
      <c r="V95" s="20">
        <f t="shared" ref="V95:V106" si="75">+U95-$I95</f>
        <v>225487500</v>
      </c>
      <c r="W95" s="20">
        <f t="shared" ref="W95:W107" si="76">+V95-$I95</f>
        <v>193275000</v>
      </c>
      <c r="X95" s="20">
        <f t="shared" ref="X95:X108" si="77">+W95-$I95</f>
        <v>161062500</v>
      </c>
      <c r="Y95" s="20">
        <f t="shared" ref="Y95:Y109" si="78">+X95-$I95</f>
        <v>128850000</v>
      </c>
      <c r="Z95" s="20">
        <f t="shared" ref="Z95:Z110" si="79">+Y95-$I95</f>
        <v>96637500</v>
      </c>
      <c r="AA95" s="20">
        <f t="shared" ref="AA95:AA111" si="80">+Z95-$I95</f>
        <v>64425000</v>
      </c>
      <c r="AB95" s="20">
        <f t="shared" ref="AB95:AB112" si="81">+AA95-$I95</f>
        <v>32212500</v>
      </c>
      <c r="AC95" s="20">
        <f t="shared" ref="AC95:AC113" si="82">+AB95-$I95</f>
        <v>0</v>
      </c>
      <c r="AE95" s="21">
        <f>SUM(I95)</f>
        <v>32212500</v>
      </c>
      <c r="AF95" s="21">
        <f>SUM(J95:J95)</f>
        <v>612037500</v>
      </c>
      <c r="AG95" s="21">
        <f t="shared" ref="AG95:AG114" si="83">H95-AE95</f>
        <v>612037500</v>
      </c>
    </row>
    <row r="96" spans="1:33" x14ac:dyDescent="0.2">
      <c r="A96">
        <v>2</v>
      </c>
      <c r="B96" t="s">
        <v>143</v>
      </c>
      <c r="C96" s="18" t="s">
        <v>485</v>
      </c>
      <c r="G96" s="23">
        <f t="shared" si="64"/>
        <v>20</v>
      </c>
      <c r="H96" s="4">
        <v>644250000</v>
      </c>
      <c r="I96" s="20">
        <f t="shared" ref="I96:I114" si="84">+H96/20</f>
        <v>32212500</v>
      </c>
      <c r="J96" s="20"/>
      <c r="K96" s="20">
        <f>+H96-I96</f>
        <v>612037500</v>
      </c>
      <c r="L96" s="20">
        <f>+K96-$I96</f>
        <v>579825000</v>
      </c>
      <c r="M96" s="20">
        <f t="shared" si="66"/>
        <v>547612500</v>
      </c>
      <c r="N96" s="20">
        <f t="shared" si="67"/>
        <v>515400000</v>
      </c>
      <c r="O96" s="20">
        <f t="shared" si="68"/>
        <v>483187500</v>
      </c>
      <c r="P96" s="20">
        <f t="shared" si="69"/>
        <v>450975000</v>
      </c>
      <c r="Q96" s="20">
        <f t="shared" si="70"/>
        <v>418762500</v>
      </c>
      <c r="R96" s="20">
        <f t="shared" si="71"/>
        <v>386550000</v>
      </c>
      <c r="S96" s="20">
        <f t="shared" si="72"/>
        <v>354337500</v>
      </c>
      <c r="T96" s="20">
        <f t="shared" si="73"/>
        <v>322125000</v>
      </c>
      <c r="U96" s="20">
        <f t="shared" si="74"/>
        <v>289912500</v>
      </c>
      <c r="V96" s="20">
        <f t="shared" si="75"/>
        <v>257700000</v>
      </c>
      <c r="W96" s="20">
        <f t="shared" si="76"/>
        <v>225487500</v>
      </c>
      <c r="X96" s="20">
        <f t="shared" si="77"/>
        <v>193275000</v>
      </c>
      <c r="Y96" s="20">
        <f t="shared" si="78"/>
        <v>161062500</v>
      </c>
      <c r="Z96" s="20">
        <f t="shared" si="79"/>
        <v>128850000</v>
      </c>
      <c r="AA96" s="20">
        <f t="shared" si="80"/>
        <v>96637500</v>
      </c>
      <c r="AB96" s="20">
        <f t="shared" si="81"/>
        <v>64425000</v>
      </c>
      <c r="AC96" s="20">
        <f t="shared" si="82"/>
        <v>32212500</v>
      </c>
      <c r="AE96" s="21">
        <f>SUM(I95:I96)</f>
        <v>64425000</v>
      </c>
      <c r="AF96" s="21">
        <f>SUM(K95:K96)</f>
        <v>1191862500</v>
      </c>
      <c r="AG96" s="21">
        <f t="shared" si="83"/>
        <v>579825000</v>
      </c>
    </row>
    <row r="97" spans="1:33" x14ac:dyDescent="0.2">
      <c r="A97">
        <v>3</v>
      </c>
      <c r="B97" t="s">
        <v>143</v>
      </c>
      <c r="C97" s="18" t="s">
        <v>486</v>
      </c>
      <c r="G97" s="23">
        <f t="shared" si="64"/>
        <v>20</v>
      </c>
      <c r="H97" s="4">
        <v>644250000</v>
      </c>
      <c r="I97" s="20">
        <f t="shared" si="84"/>
        <v>32212500</v>
      </c>
      <c r="J97" s="20"/>
      <c r="K97" s="20"/>
      <c r="L97" s="20">
        <f>+H97-I97</f>
        <v>612037500</v>
      </c>
      <c r="M97" s="20">
        <f>+L97-$I97</f>
        <v>579825000</v>
      </c>
      <c r="N97" s="20">
        <f t="shared" si="67"/>
        <v>547612500</v>
      </c>
      <c r="O97" s="20">
        <f t="shared" si="68"/>
        <v>515400000</v>
      </c>
      <c r="P97" s="20">
        <f t="shared" si="69"/>
        <v>483187500</v>
      </c>
      <c r="Q97" s="20">
        <f t="shared" si="70"/>
        <v>450975000</v>
      </c>
      <c r="R97" s="20">
        <f t="shared" si="71"/>
        <v>418762500</v>
      </c>
      <c r="S97" s="20">
        <f t="shared" si="72"/>
        <v>386550000</v>
      </c>
      <c r="T97" s="20">
        <f t="shared" si="73"/>
        <v>354337500</v>
      </c>
      <c r="U97" s="20">
        <f t="shared" si="74"/>
        <v>322125000</v>
      </c>
      <c r="V97" s="20">
        <f t="shared" si="75"/>
        <v>289912500</v>
      </c>
      <c r="W97" s="20">
        <f t="shared" si="76"/>
        <v>257700000</v>
      </c>
      <c r="X97" s="20">
        <f t="shared" si="77"/>
        <v>225487500</v>
      </c>
      <c r="Y97" s="20">
        <f t="shared" si="78"/>
        <v>193275000</v>
      </c>
      <c r="Z97" s="20">
        <f t="shared" si="79"/>
        <v>161062500</v>
      </c>
      <c r="AA97" s="20">
        <f t="shared" si="80"/>
        <v>128850000</v>
      </c>
      <c r="AB97" s="20">
        <f t="shared" si="81"/>
        <v>96637500</v>
      </c>
      <c r="AC97" s="20">
        <f t="shared" si="82"/>
        <v>64425000</v>
      </c>
      <c r="AE97" s="21">
        <f>SUM(I95:I97)</f>
        <v>96637500</v>
      </c>
      <c r="AF97" s="21">
        <f>SUM(L95:L97)</f>
        <v>1739475000</v>
      </c>
      <c r="AG97" s="21">
        <f t="shared" si="83"/>
        <v>547612500</v>
      </c>
    </row>
    <row r="98" spans="1:33" x14ac:dyDescent="0.2">
      <c r="A98">
        <v>4</v>
      </c>
      <c r="B98" t="s">
        <v>143</v>
      </c>
      <c r="C98" s="18" t="s">
        <v>487</v>
      </c>
      <c r="G98" s="23">
        <f t="shared" si="64"/>
        <v>20</v>
      </c>
      <c r="H98" s="4">
        <v>644250000</v>
      </c>
      <c r="I98" s="20">
        <f t="shared" si="84"/>
        <v>32212500</v>
      </c>
      <c r="J98" s="20"/>
      <c r="K98" s="20"/>
      <c r="L98" s="20"/>
      <c r="M98" s="20">
        <f>+H98-I98</f>
        <v>612037500</v>
      </c>
      <c r="N98" s="20">
        <f>+M98-$I98</f>
        <v>579825000</v>
      </c>
      <c r="O98" s="20">
        <f t="shared" si="68"/>
        <v>547612500</v>
      </c>
      <c r="P98" s="20">
        <f t="shared" si="69"/>
        <v>515400000</v>
      </c>
      <c r="Q98" s="20">
        <f t="shared" si="70"/>
        <v>483187500</v>
      </c>
      <c r="R98" s="20">
        <f t="shared" si="71"/>
        <v>450975000</v>
      </c>
      <c r="S98" s="20">
        <f t="shared" si="72"/>
        <v>418762500</v>
      </c>
      <c r="T98" s="20">
        <f t="shared" si="73"/>
        <v>386550000</v>
      </c>
      <c r="U98" s="20">
        <f t="shared" si="74"/>
        <v>354337500</v>
      </c>
      <c r="V98" s="20">
        <f t="shared" si="75"/>
        <v>322125000</v>
      </c>
      <c r="W98" s="20">
        <f t="shared" si="76"/>
        <v>289912500</v>
      </c>
      <c r="X98" s="20">
        <f t="shared" si="77"/>
        <v>257700000</v>
      </c>
      <c r="Y98" s="20">
        <f t="shared" si="78"/>
        <v>225487500</v>
      </c>
      <c r="Z98" s="20">
        <f t="shared" si="79"/>
        <v>193275000</v>
      </c>
      <c r="AA98" s="20">
        <f t="shared" si="80"/>
        <v>161062500</v>
      </c>
      <c r="AB98" s="20">
        <f t="shared" si="81"/>
        <v>128850000</v>
      </c>
      <c r="AC98" s="20">
        <f t="shared" si="82"/>
        <v>96637500</v>
      </c>
      <c r="AE98" s="21">
        <f>SUM(I95:I98)</f>
        <v>128850000</v>
      </c>
      <c r="AF98" s="21">
        <f>SUM(M95:M98)</f>
        <v>2254875000</v>
      </c>
      <c r="AG98" s="21">
        <f t="shared" si="83"/>
        <v>515400000</v>
      </c>
    </row>
    <row r="99" spans="1:33" x14ac:dyDescent="0.2">
      <c r="A99">
        <v>5</v>
      </c>
      <c r="B99" t="s">
        <v>143</v>
      </c>
      <c r="C99" s="18" t="s">
        <v>104</v>
      </c>
      <c r="G99" s="23">
        <f t="shared" si="64"/>
        <v>20</v>
      </c>
      <c r="H99" s="4">
        <v>681000000</v>
      </c>
      <c r="I99" s="20">
        <f t="shared" si="84"/>
        <v>34050000</v>
      </c>
      <c r="J99" s="20"/>
      <c r="K99" s="20"/>
      <c r="L99" s="20"/>
      <c r="M99" s="20"/>
      <c r="N99" s="20">
        <f>+H99-I99</f>
        <v>646950000</v>
      </c>
      <c r="O99" s="20">
        <f t="shared" si="68"/>
        <v>612900000</v>
      </c>
      <c r="P99" s="20">
        <f t="shared" si="69"/>
        <v>578850000</v>
      </c>
      <c r="Q99" s="20">
        <f t="shared" si="70"/>
        <v>544800000</v>
      </c>
      <c r="R99" s="20">
        <f t="shared" si="71"/>
        <v>510750000</v>
      </c>
      <c r="S99" s="20">
        <f t="shared" si="72"/>
        <v>476700000</v>
      </c>
      <c r="T99" s="20">
        <f t="shared" si="73"/>
        <v>442650000</v>
      </c>
      <c r="U99" s="20">
        <f t="shared" si="74"/>
        <v>408600000</v>
      </c>
      <c r="V99" s="20">
        <f t="shared" si="75"/>
        <v>374550000</v>
      </c>
      <c r="W99" s="20">
        <f t="shared" si="76"/>
        <v>340500000</v>
      </c>
      <c r="X99" s="20">
        <f t="shared" si="77"/>
        <v>306450000</v>
      </c>
      <c r="Y99" s="20">
        <f t="shared" si="78"/>
        <v>272400000</v>
      </c>
      <c r="Z99" s="20">
        <f t="shared" si="79"/>
        <v>238350000</v>
      </c>
      <c r="AA99" s="20">
        <f t="shared" si="80"/>
        <v>204300000</v>
      </c>
      <c r="AB99" s="20">
        <f t="shared" si="81"/>
        <v>170250000</v>
      </c>
      <c r="AC99" s="20">
        <f t="shared" si="82"/>
        <v>136200000</v>
      </c>
      <c r="AE99" s="21">
        <f>SUM(I95:I99)</f>
        <v>162900000</v>
      </c>
      <c r="AF99" s="21">
        <f>SUM(N95:N99)</f>
        <v>2772975000</v>
      </c>
      <c r="AG99" s="21">
        <f t="shared" si="83"/>
        <v>518100000</v>
      </c>
    </row>
    <row r="100" spans="1:33" x14ac:dyDescent="0.2">
      <c r="A100">
        <v>6</v>
      </c>
      <c r="B100" t="s">
        <v>143</v>
      </c>
      <c r="C100" s="18" t="s">
        <v>103</v>
      </c>
      <c r="G100" s="23">
        <f t="shared" si="64"/>
        <v>20</v>
      </c>
      <c r="H100" s="4">
        <v>626000000</v>
      </c>
      <c r="I100" s="20">
        <f t="shared" si="84"/>
        <v>31300000</v>
      </c>
      <c r="J100" s="20"/>
      <c r="K100" s="20"/>
      <c r="L100" s="20"/>
      <c r="M100" s="20"/>
      <c r="N100" s="20"/>
      <c r="O100" s="20">
        <f>+H100-I100</f>
        <v>594700000</v>
      </c>
      <c r="P100" s="20">
        <f t="shared" si="69"/>
        <v>563400000</v>
      </c>
      <c r="Q100" s="20">
        <f t="shared" si="70"/>
        <v>532100000</v>
      </c>
      <c r="R100" s="20">
        <f t="shared" si="71"/>
        <v>500800000</v>
      </c>
      <c r="S100" s="20">
        <f t="shared" si="72"/>
        <v>469500000</v>
      </c>
      <c r="T100" s="20">
        <f t="shared" si="73"/>
        <v>438200000</v>
      </c>
      <c r="U100" s="20">
        <f t="shared" si="74"/>
        <v>406900000</v>
      </c>
      <c r="V100" s="20">
        <f t="shared" si="75"/>
        <v>375600000</v>
      </c>
      <c r="W100" s="20">
        <f t="shared" si="76"/>
        <v>344300000</v>
      </c>
      <c r="X100" s="20">
        <f t="shared" si="77"/>
        <v>313000000</v>
      </c>
      <c r="Y100" s="20">
        <f t="shared" si="78"/>
        <v>281700000</v>
      </c>
      <c r="Z100" s="20">
        <f t="shared" si="79"/>
        <v>250400000</v>
      </c>
      <c r="AA100" s="20">
        <f t="shared" si="80"/>
        <v>219100000</v>
      </c>
      <c r="AB100" s="20">
        <f t="shared" si="81"/>
        <v>187800000</v>
      </c>
      <c r="AC100" s="20">
        <f t="shared" si="82"/>
        <v>156500000</v>
      </c>
      <c r="AE100" s="21">
        <f>SUM(I95:I100)</f>
        <v>194200000</v>
      </c>
      <c r="AF100" s="21">
        <f>SUM(O95:O100)</f>
        <v>3204775000</v>
      </c>
      <c r="AG100" s="21">
        <f t="shared" si="83"/>
        <v>431800000</v>
      </c>
    </row>
    <row r="101" spans="1:33" x14ac:dyDescent="0.2">
      <c r="A101">
        <v>7</v>
      </c>
      <c r="B101" t="s">
        <v>143</v>
      </c>
      <c r="C101" s="18" t="s">
        <v>102</v>
      </c>
      <c r="G101" s="23">
        <f t="shared" si="64"/>
        <v>20</v>
      </c>
      <c r="H101" s="4">
        <v>677000000</v>
      </c>
      <c r="I101" s="20">
        <f t="shared" si="84"/>
        <v>33850000</v>
      </c>
      <c r="J101" s="20"/>
      <c r="K101" s="20"/>
      <c r="L101" s="20"/>
      <c r="M101" s="20"/>
      <c r="N101" s="20"/>
      <c r="O101" s="20"/>
      <c r="P101" s="20">
        <f>+H101-I101</f>
        <v>643150000</v>
      </c>
      <c r="Q101" s="20">
        <f t="shared" si="70"/>
        <v>609300000</v>
      </c>
      <c r="R101" s="20">
        <f t="shared" si="71"/>
        <v>575450000</v>
      </c>
      <c r="S101" s="20">
        <f t="shared" si="72"/>
        <v>541600000</v>
      </c>
      <c r="T101" s="20">
        <f t="shared" si="73"/>
        <v>507750000</v>
      </c>
      <c r="U101" s="20">
        <f t="shared" si="74"/>
        <v>473900000</v>
      </c>
      <c r="V101" s="20">
        <f t="shared" si="75"/>
        <v>440050000</v>
      </c>
      <c r="W101" s="20">
        <f t="shared" si="76"/>
        <v>406200000</v>
      </c>
      <c r="X101" s="20">
        <f t="shared" si="77"/>
        <v>372350000</v>
      </c>
      <c r="Y101" s="20">
        <f t="shared" si="78"/>
        <v>338500000</v>
      </c>
      <c r="Z101" s="20">
        <f t="shared" si="79"/>
        <v>304650000</v>
      </c>
      <c r="AA101" s="20">
        <f t="shared" si="80"/>
        <v>270800000</v>
      </c>
      <c r="AB101" s="20">
        <f t="shared" si="81"/>
        <v>236950000</v>
      </c>
      <c r="AC101" s="20">
        <f t="shared" si="82"/>
        <v>203100000</v>
      </c>
      <c r="AE101" s="21">
        <f>SUM(I95:I101)</f>
        <v>228050000</v>
      </c>
      <c r="AF101" s="21">
        <f>SUM(P95:P101)</f>
        <v>3653725000</v>
      </c>
      <c r="AG101" s="21">
        <f t="shared" si="83"/>
        <v>448950000</v>
      </c>
    </row>
    <row r="102" spans="1:33" x14ac:dyDescent="0.2">
      <c r="A102">
        <v>8</v>
      </c>
      <c r="B102" t="s">
        <v>143</v>
      </c>
      <c r="C102" s="18" t="s">
        <v>101</v>
      </c>
      <c r="G102" s="23">
        <f t="shared" si="64"/>
        <v>20</v>
      </c>
      <c r="H102" s="4">
        <v>795000000</v>
      </c>
      <c r="I102" s="20">
        <f t="shared" si="84"/>
        <v>39750000</v>
      </c>
      <c r="J102" s="20"/>
      <c r="K102" s="20"/>
      <c r="L102" s="20"/>
      <c r="M102" s="20"/>
      <c r="N102" s="20"/>
      <c r="O102" s="20"/>
      <c r="P102" s="20"/>
      <c r="Q102" s="20">
        <f>+H102-I102</f>
        <v>755250000</v>
      </c>
      <c r="R102" s="20">
        <f t="shared" si="71"/>
        <v>715500000</v>
      </c>
      <c r="S102" s="20">
        <f t="shared" si="72"/>
        <v>675750000</v>
      </c>
      <c r="T102" s="20">
        <f t="shared" si="73"/>
        <v>636000000</v>
      </c>
      <c r="U102" s="20">
        <f t="shared" si="74"/>
        <v>596250000</v>
      </c>
      <c r="V102" s="20">
        <f t="shared" si="75"/>
        <v>556500000</v>
      </c>
      <c r="W102" s="20">
        <f t="shared" si="76"/>
        <v>516750000</v>
      </c>
      <c r="X102" s="20">
        <f t="shared" si="77"/>
        <v>477000000</v>
      </c>
      <c r="Y102" s="20">
        <f t="shared" si="78"/>
        <v>437250000</v>
      </c>
      <c r="Z102" s="20">
        <f t="shared" si="79"/>
        <v>397500000</v>
      </c>
      <c r="AA102" s="20">
        <f t="shared" si="80"/>
        <v>357750000</v>
      </c>
      <c r="AB102" s="20">
        <f t="shared" si="81"/>
        <v>318000000</v>
      </c>
      <c r="AC102" s="20">
        <f t="shared" si="82"/>
        <v>278250000</v>
      </c>
      <c r="AE102" s="21">
        <f>SUM(I95:I102)</f>
        <v>267800000</v>
      </c>
      <c r="AF102" s="21">
        <f>SUM(Q95:Q102)</f>
        <v>4180925000</v>
      </c>
      <c r="AG102" s="21">
        <f t="shared" si="83"/>
        <v>527200000</v>
      </c>
    </row>
    <row r="103" spans="1:33" x14ac:dyDescent="0.2">
      <c r="A103">
        <v>9</v>
      </c>
      <c r="B103" t="s">
        <v>143</v>
      </c>
      <c r="C103" s="18" t="s">
        <v>100</v>
      </c>
      <c r="D103" s="4">
        <v>3924000000</v>
      </c>
      <c r="E103" s="4">
        <v>5268000000</v>
      </c>
      <c r="F103" s="4">
        <v>7339000000</v>
      </c>
      <c r="G103" s="19">
        <v>20</v>
      </c>
      <c r="H103" s="4">
        <v>688000000</v>
      </c>
      <c r="I103" s="20">
        <f t="shared" si="84"/>
        <v>34400000</v>
      </c>
      <c r="J103" s="20"/>
      <c r="K103" s="20"/>
      <c r="L103" s="20"/>
      <c r="M103" s="20"/>
      <c r="N103" s="20"/>
      <c r="O103" s="20"/>
      <c r="P103" s="20"/>
      <c r="Q103" s="20"/>
      <c r="R103" s="20">
        <f>+H103-I103</f>
        <v>653600000</v>
      </c>
      <c r="S103" s="20">
        <f t="shared" si="72"/>
        <v>619200000</v>
      </c>
      <c r="T103" s="20">
        <f t="shared" si="73"/>
        <v>584800000</v>
      </c>
      <c r="U103" s="20">
        <f t="shared" si="74"/>
        <v>550400000</v>
      </c>
      <c r="V103" s="20">
        <f t="shared" si="75"/>
        <v>516000000</v>
      </c>
      <c r="W103" s="20">
        <f t="shared" si="76"/>
        <v>481600000</v>
      </c>
      <c r="X103" s="20">
        <f t="shared" si="77"/>
        <v>447200000</v>
      </c>
      <c r="Y103" s="20">
        <f t="shared" si="78"/>
        <v>412800000</v>
      </c>
      <c r="Z103" s="20">
        <f t="shared" si="79"/>
        <v>378400000</v>
      </c>
      <c r="AA103" s="20">
        <f t="shared" si="80"/>
        <v>344000000</v>
      </c>
      <c r="AB103" s="20">
        <f t="shared" si="81"/>
        <v>309600000</v>
      </c>
      <c r="AC103" s="20">
        <f t="shared" si="82"/>
        <v>275200000</v>
      </c>
      <c r="AE103" s="21">
        <f>SUM(I95:I103)</f>
        <v>302200000</v>
      </c>
      <c r="AF103" s="21">
        <f>SUM(R95:R103)</f>
        <v>4566725000</v>
      </c>
      <c r="AG103" s="21">
        <f t="shared" si="83"/>
        <v>385800000</v>
      </c>
    </row>
    <row r="104" spans="1:33" x14ac:dyDescent="0.2">
      <c r="A104">
        <v>10</v>
      </c>
      <c r="B104" t="s">
        <v>143</v>
      </c>
      <c r="C104" s="18" t="s">
        <v>99</v>
      </c>
      <c r="D104" s="22">
        <f>$D103</f>
        <v>3924000000</v>
      </c>
      <c r="E104" s="22">
        <f>$E103</f>
        <v>5268000000</v>
      </c>
      <c r="F104" s="22">
        <f>$F103</f>
        <v>7339000000</v>
      </c>
      <c r="G104" s="23">
        <f>$G$13</f>
        <v>20</v>
      </c>
      <c r="H104" s="4">
        <v>705000000</v>
      </c>
      <c r="I104" s="20">
        <f t="shared" si="84"/>
        <v>35250000</v>
      </c>
      <c r="J104" s="20"/>
      <c r="K104" s="20"/>
      <c r="L104" s="20"/>
      <c r="M104" s="20"/>
      <c r="N104" s="20"/>
      <c r="O104" s="20"/>
      <c r="P104" s="20"/>
      <c r="Q104" s="20"/>
      <c r="R104" s="20"/>
      <c r="S104" s="20">
        <f>+H104-I104</f>
        <v>669750000</v>
      </c>
      <c r="T104" s="20">
        <f t="shared" si="73"/>
        <v>634500000</v>
      </c>
      <c r="U104" s="20">
        <f t="shared" si="74"/>
        <v>599250000</v>
      </c>
      <c r="V104" s="20">
        <f t="shared" si="75"/>
        <v>564000000</v>
      </c>
      <c r="W104" s="20">
        <f t="shared" si="76"/>
        <v>528750000</v>
      </c>
      <c r="X104" s="20">
        <f t="shared" si="77"/>
        <v>493500000</v>
      </c>
      <c r="Y104" s="20">
        <f t="shared" si="78"/>
        <v>458250000</v>
      </c>
      <c r="Z104" s="20">
        <f t="shared" si="79"/>
        <v>423000000</v>
      </c>
      <c r="AA104" s="20">
        <f t="shared" si="80"/>
        <v>387750000</v>
      </c>
      <c r="AB104" s="20">
        <f t="shared" si="81"/>
        <v>352500000</v>
      </c>
      <c r="AC104" s="20">
        <f t="shared" si="82"/>
        <v>317250000</v>
      </c>
      <c r="AE104" s="21">
        <f>SUM(I95:I104)</f>
        <v>337450000</v>
      </c>
      <c r="AF104" s="21">
        <f>SUM(S95:S104)</f>
        <v>4934275000</v>
      </c>
      <c r="AG104" s="21">
        <f t="shared" si="83"/>
        <v>367550000</v>
      </c>
    </row>
    <row r="105" spans="1:33" x14ac:dyDescent="0.2">
      <c r="A105">
        <v>11</v>
      </c>
      <c r="B105" t="s">
        <v>143</v>
      </c>
      <c r="C105" s="18" t="s">
        <v>98</v>
      </c>
      <c r="D105" s="22">
        <f>$D103</f>
        <v>3924000000</v>
      </c>
      <c r="E105" s="22">
        <f>$E103</f>
        <v>5268000000</v>
      </c>
      <c r="F105" s="22">
        <f>$F103</f>
        <v>7339000000</v>
      </c>
      <c r="G105" s="23">
        <f t="shared" ref="G105:G114" si="85">$G$13</f>
        <v>20</v>
      </c>
      <c r="H105" s="4">
        <v>692000000</v>
      </c>
      <c r="I105" s="20">
        <f t="shared" si="84"/>
        <v>34600000</v>
      </c>
      <c r="J105" s="20"/>
      <c r="K105" s="20"/>
      <c r="L105" s="20"/>
      <c r="M105" s="20"/>
      <c r="N105" s="20"/>
      <c r="O105" s="20"/>
      <c r="P105" s="20"/>
      <c r="Q105" s="20"/>
      <c r="R105" s="20"/>
      <c r="S105" s="20"/>
      <c r="T105" s="20">
        <f>+H105-I105</f>
        <v>657400000</v>
      </c>
      <c r="U105" s="20">
        <f t="shared" si="74"/>
        <v>622800000</v>
      </c>
      <c r="V105" s="20">
        <f t="shared" si="75"/>
        <v>588200000</v>
      </c>
      <c r="W105" s="20">
        <f t="shared" si="76"/>
        <v>553600000</v>
      </c>
      <c r="X105" s="20">
        <f t="shared" si="77"/>
        <v>519000000</v>
      </c>
      <c r="Y105" s="20">
        <f t="shared" si="78"/>
        <v>484400000</v>
      </c>
      <c r="Z105" s="20">
        <f t="shared" si="79"/>
        <v>449800000</v>
      </c>
      <c r="AA105" s="20">
        <f t="shared" si="80"/>
        <v>415200000</v>
      </c>
      <c r="AB105" s="20">
        <f t="shared" si="81"/>
        <v>380600000</v>
      </c>
      <c r="AC105" s="20">
        <f t="shared" si="82"/>
        <v>346000000</v>
      </c>
      <c r="AE105" s="21">
        <f>SUM(I95:I105)</f>
        <v>372050000</v>
      </c>
      <c r="AF105" s="21">
        <f>SUM(T95:T105)</f>
        <v>5254225000</v>
      </c>
      <c r="AG105" s="21">
        <f t="shared" si="83"/>
        <v>319950000</v>
      </c>
    </row>
    <row r="106" spans="1:33" x14ac:dyDescent="0.2">
      <c r="A106">
        <v>12</v>
      </c>
      <c r="B106" t="s">
        <v>143</v>
      </c>
      <c r="C106" s="18" t="s">
        <v>97</v>
      </c>
      <c r="D106" s="22">
        <f>$D103</f>
        <v>3924000000</v>
      </c>
      <c r="E106" s="22">
        <f>$E103</f>
        <v>5268000000</v>
      </c>
      <c r="F106" s="22">
        <f>$F103</f>
        <v>7339000000</v>
      </c>
      <c r="G106" s="23">
        <f t="shared" si="85"/>
        <v>20</v>
      </c>
      <c r="H106" s="4">
        <v>716000000</v>
      </c>
      <c r="I106" s="20">
        <f t="shared" si="84"/>
        <v>35800000</v>
      </c>
      <c r="J106" s="20"/>
      <c r="K106" s="20"/>
      <c r="L106" s="20"/>
      <c r="M106" s="20"/>
      <c r="N106" s="20"/>
      <c r="O106" s="20"/>
      <c r="P106" s="20"/>
      <c r="Q106" s="20"/>
      <c r="R106" s="20"/>
      <c r="S106" s="20"/>
      <c r="T106" s="20"/>
      <c r="U106" s="20">
        <f>+H106-I106</f>
        <v>680200000</v>
      </c>
      <c r="V106" s="20">
        <f t="shared" si="75"/>
        <v>644400000</v>
      </c>
      <c r="W106" s="20">
        <f t="shared" si="76"/>
        <v>608600000</v>
      </c>
      <c r="X106" s="20">
        <f t="shared" si="77"/>
        <v>572800000</v>
      </c>
      <c r="Y106" s="20">
        <f t="shared" si="78"/>
        <v>537000000</v>
      </c>
      <c r="Z106" s="20">
        <f t="shared" si="79"/>
        <v>501200000</v>
      </c>
      <c r="AA106" s="20">
        <f t="shared" si="80"/>
        <v>465400000</v>
      </c>
      <c r="AB106" s="20">
        <f t="shared" si="81"/>
        <v>429600000</v>
      </c>
      <c r="AC106" s="20">
        <f t="shared" si="82"/>
        <v>393800000</v>
      </c>
      <c r="AE106" s="21">
        <f>SUM(I95:I106)</f>
        <v>407850000</v>
      </c>
      <c r="AF106" s="21">
        <f>SUM(U95:U106)</f>
        <v>5562375000</v>
      </c>
      <c r="AG106" s="21">
        <f t="shared" si="83"/>
        <v>308150000</v>
      </c>
    </row>
    <row r="107" spans="1:33" x14ac:dyDescent="0.2">
      <c r="A107">
        <v>13</v>
      </c>
      <c r="B107" t="s">
        <v>143</v>
      </c>
      <c r="C107" s="18" t="s">
        <v>96</v>
      </c>
      <c r="D107" s="22">
        <f>$D103</f>
        <v>3924000000</v>
      </c>
      <c r="E107" s="22">
        <f>$E103</f>
        <v>5268000000</v>
      </c>
      <c r="F107" s="22">
        <f>$F103</f>
        <v>7339000000</v>
      </c>
      <c r="G107" s="23">
        <f t="shared" si="85"/>
        <v>20</v>
      </c>
      <c r="H107" s="4">
        <v>763000000</v>
      </c>
      <c r="I107" s="20">
        <f t="shared" si="84"/>
        <v>38150000</v>
      </c>
      <c r="J107" s="20"/>
      <c r="K107" s="20"/>
      <c r="L107" s="20"/>
      <c r="M107" s="20"/>
      <c r="N107" s="20"/>
      <c r="O107" s="20"/>
      <c r="P107" s="20"/>
      <c r="Q107" s="20"/>
      <c r="R107" s="20"/>
      <c r="S107" s="20"/>
      <c r="T107" s="20"/>
      <c r="U107" s="20"/>
      <c r="V107" s="20">
        <f>+H107-I107</f>
        <v>724850000</v>
      </c>
      <c r="W107" s="20">
        <f t="shared" si="76"/>
        <v>686700000</v>
      </c>
      <c r="X107" s="20">
        <f t="shared" si="77"/>
        <v>648550000</v>
      </c>
      <c r="Y107" s="20">
        <f t="shared" si="78"/>
        <v>610400000</v>
      </c>
      <c r="Z107" s="20">
        <f t="shared" si="79"/>
        <v>572250000</v>
      </c>
      <c r="AA107" s="20">
        <f t="shared" si="80"/>
        <v>534100000</v>
      </c>
      <c r="AB107" s="20">
        <f t="shared" si="81"/>
        <v>495950000</v>
      </c>
      <c r="AC107" s="20">
        <f t="shared" si="82"/>
        <v>457800000</v>
      </c>
      <c r="AE107" s="21">
        <f>SUM(I95:I107)</f>
        <v>446000000</v>
      </c>
      <c r="AF107" s="21">
        <f>SUM(V95:V107)</f>
        <v>5879375000</v>
      </c>
      <c r="AG107" s="21">
        <f t="shared" si="83"/>
        <v>317000000</v>
      </c>
    </row>
    <row r="108" spans="1:33" x14ac:dyDescent="0.2">
      <c r="A108">
        <v>14</v>
      </c>
      <c r="B108" t="s">
        <v>143</v>
      </c>
      <c r="C108" s="18" t="s">
        <v>95</v>
      </c>
      <c r="D108" s="22">
        <f>$D103</f>
        <v>3924000000</v>
      </c>
      <c r="E108" s="22">
        <f>$E103</f>
        <v>5268000000</v>
      </c>
      <c r="F108" s="22">
        <f>$F103</f>
        <v>7339000000</v>
      </c>
      <c r="G108" s="23">
        <f t="shared" si="85"/>
        <v>20</v>
      </c>
      <c r="H108" s="4">
        <v>780000000</v>
      </c>
      <c r="I108" s="20">
        <f t="shared" si="84"/>
        <v>39000000</v>
      </c>
      <c r="J108" s="20"/>
      <c r="K108" s="20"/>
      <c r="L108" s="20"/>
      <c r="M108" s="20"/>
      <c r="N108" s="20"/>
      <c r="O108" s="20"/>
      <c r="P108" s="20"/>
      <c r="Q108" s="20"/>
      <c r="R108" s="20"/>
      <c r="S108" s="20"/>
      <c r="T108" s="20"/>
      <c r="U108" s="20"/>
      <c r="V108" s="20"/>
      <c r="W108" s="20">
        <f>+H108-I108</f>
        <v>741000000</v>
      </c>
      <c r="X108" s="20">
        <f t="shared" si="77"/>
        <v>702000000</v>
      </c>
      <c r="Y108" s="20">
        <f t="shared" si="78"/>
        <v>663000000</v>
      </c>
      <c r="Z108" s="20">
        <f t="shared" si="79"/>
        <v>624000000</v>
      </c>
      <c r="AA108" s="20">
        <f t="shared" si="80"/>
        <v>585000000</v>
      </c>
      <c r="AB108" s="20">
        <f t="shared" si="81"/>
        <v>546000000</v>
      </c>
      <c r="AC108" s="20">
        <f t="shared" si="82"/>
        <v>507000000</v>
      </c>
      <c r="AE108" s="21">
        <f>SUM(I95:I108)</f>
        <v>485000000</v>
      </c>
      <c r="AF108" s="21">
        <f>SUM(W95:W108)</f>
        <v>6174375000</v>
      </c>
      <c r="AG108" s="21">
        <f t="shared" si="83"/>
        <v>295000000</v>
      </c>
    </row>
    <row r="109" spans="1:33" x14ac:dyDescent="0.2">
      <c r="A109">
        <v>15</v>
      </c>
      <c r="B109" t="s">
        <v>143</v>
      </c>
      <c r="C109" s="18" t="s">
        <v>94</v>
      </c>
      <c r="D109" s="22">
        <f>$D103</f>
        <v>3924000000</v>
      </c>
      <c r="E109" s="22">
        <f>$E103</f>
        <v>5268000000</v>
      </c>
      <c r="F109" s="22">
        <f>$F103</f>
        <v>7339000000</v>
      </c>
      <c r="G109" s="23">
        <f t="shared" si="85"/>
        <v>20</v>
      </c>
      <c r="H109" s="4">
        <v>745000000</v>
      </c>
      <c r="I109" s="20">
        <f t="shared" si="84"/>
        <v>37250000</v>
      </c>
      <c r="J109" s="20"/>
      <c r="K109" s="20"/>
      <c r="L109" s="20"/>
      <c r="M109" s="20"/>
      <c r="N109" s="20"/>
      <c r="O109" s="20"/>
      <c r="P109" s="20"/>
      <c r="Q109" s="20"/>
      <c r="R109" s="20"/>
      <c r="S109" s="20"/>
      <c r="T109" s="20"/>
      <c r="U109" s="20"/>
      <c r="V109" s="20"/>
      <c r="W109" s="20"/>
      <c r="X109" s="20">
        <f>+H109-I109</f>
        <v>707750000</v>
      </c>
      <c r="Y109" s="20">
        <f t="shared" si="78"/>
        <v>670500000</v>
      </c>
      <c r="Z109" s="20">
        <f t="shared" si="79"/>
        <v>633250000</v>
      </c>
      <c r="AA109" s="20">
        <f t="shared" si="80"/>
        <v>596000000</v>
      </c>
      <c r="AB109" s="20">
        <f t="shared" si="81"/>
        <v>558750000</v>
      </c>
      <c r="AC109" s="20">
        <f t="shared" si="82"/>
        <v>521500000</v>
      </c>
      <c r="AE109" s="21">
        <f>SUM(I95:I109)</f>
        <v>522250000</v>
      </c>
      <c r="AF109" s="21">
        <f>SUM(X95:X109)</f>
        <v>6397125000</v>
      </c>
      <c r="AG109" s="21">
        <f t="shared" si="83"/>
        <v>222750000</v>
      </c>
    </row>
    <row r="110" spans="1:33" x14ac:dyDescent="0.2">
      <c r="A110">
        <v>16</v>
      </c>
      <c r="B110" t="s">
        <v>143</v>
      </c>
      <c r="C110" s="18" t="s">
        <v>93</v>
      </c>
      <c r="D110" s="22">
        <f>$D103</f>
        <v>3924000000</v>
      </c>
      <c r="E110" s="22">
        <f>$E103</f>
        <v>5268000000</v>
      </c>
      <c r="F110" s="22">
        <f>$F103</f>
        <v>7339000000</v>
      </c>
      <c r="G110" s="23">
        <f t="shared" si="85"/>
        <v>20</v>
      </c>
      <c r="H110" s="4">
        <v>773000000</v>
      </c>
      <c r="I110" s="20">
        <f t="shared" si="84"/>
        <v>38650000</v>
      </c>
      <c r="J110" s="20"/>
      <c r="K110" s="20"/>
      <c r="L110" s="20"/>
      <c r="M110" s="20"/>
      <c r="N110" s="20"/>
      <c r="O110" s="20"/>
      <c r="P110" s="20"/>
      <c r="Q110" s="20"/>
      <c r="R110" s="20"/>
      <c r="S110" s="20"/>
      <c r="T110" s="20"/>
      <c r="U110" s="20"/>
      <c r="V110" s="20"/>
      <c r="W110" s="20"/>
      <c r="X110" s="20"/>
      <c r="Y110" s="20">
        <f>+H110-I110</f>
        <v>734350000</v>
      </c>
      <c r="Z110" s="20">
        <f t="shared" si="79"/>
        <v>695700000</v>
      </c>
      <c r="AA110" s="20">
        <f t="shared" si="80"/>
        <v>657050000</v>
      </c>
      <c r="AB110" s="20">
        <f t="shared" si="81"/>
        <v>618400000</v>
      </c>
      <c r="AC110" s="20">
        <f t="shared" si="82"/>
        <v>579750000</v>
      </c>
      <c r="AE110" s="21">
        <f>SUM(I95:I110)</f>
        <v>560900000</v>
      </c>
      <c r="AF110" s="21">
        <f>SUM(Y95:Y110)</f>
        <v>6609225000</v>
      </c>
      <c r="AG110" s="21">
        <f t="shared" si="83"/>
        <v>212100000</v>
      </c>
    </row>
    <row r="111" spans="1:33" x14ac:dyDescent="0.2">
      <c r="A111">
        <v>17</v>
      </c>
      <c r="B111" t="s">
        <v>143</v>
      </c>
      <c r="C111" s="18" t="s">
        <v>141</v>
      </c>
      <c r="D111" s="22">
        <f>$D103</f>
        <v>3924000000</v>
      </c>
      <c r="E111" s="22">
        <f>$E103</f>
        <v>5268000000</v>
      </c>
      <c r="F111" s="22">
        <f>$F103</f>
        <v>7339000000</v>
      </c>
      <c r="G111" s="23">
        <f t="shared" si="85"/>
        <v>20</v>
      </c>
      <c r="H111" s="4">
        <v>808000000</v>
      </c>
      <c r="I111" s="20">
        <f t="shared" si="84"/>
        <v>40400000</v>
      </c>
      <c r="J111" s="20"/>
      <c r="K111" s="20"/>
      <c r="L111" s="20"/>
      <c r="M111" s="20"/>
      <c r="N111" s="20"/>
      <c r="O111" s="20"/>
      <c r="P111" s="20"/>
      <c r="Q111" s="20"/>
      <c r="R111" s="20"/>
      <c r="S111" s="20"/>
      <c r="T111" s="20"/>
      <c r="U111" s="20"/>
      <c r="V111" s="20"/>
      <c r="W111" s="20"/>
      <c r="X111" s="20"/>
      <c r="Y111" s="20"/>
      <c r="Z111" s="20">
        <f>+H111-I111</f>
        <v>767600000</v>
      </c>
      <c r="AA111" s="20">
        <f t="shared" si="80"/>
        <v>727200000</v>
      </c>
      <c r="AB111" s="20">
        <f t="shared" si="81"/>
        <v>686800000</v>
      </c>
      <c r="AC111" s="20">
        <f t="shared" si="82"/>
        <v>646400000</v>
      </c>
      <c r="AE111" s="21">
        <f>SUM(I95:I111)</f>
        <v>601300000</v>
      </c>
      <c r="AF111" s="21">
        <f>SUM(Z95:Z111)</f>
        <v>6815925000</v>
      </c>
      <c r="AG111" s="21">
        <f t="shared" si="83"/>
        <v>206700000</v>
      </c>
    </row>
    <row r="112" spans="1:33" x14ac:dyDescent="0.2">
      <c r="A112">
        <v>18</v>
      </c>
      <c r="B112" t="s">
        <v>143</v>
      </c>
      <c r="C112" s="18" t="s">
        <v>160</v>
      </c>
      <c r="D112" s="22">
        <f>$D103</f>
        <v>3924000000</v>
      </c>
      <c r="E112" s="22">
        <f>$E103</f>
        <v>5268000000</v>
      </c>
      <c r="F112" s="22">
        <f>$F103</f>
        <v>7339000000</v>
      </c>
      <c r="G112" s="23">
        <f t="shared" si="85"/>
        <v>20</v>
      </c>
      <c r="H112" s="4">
        <v>785000000</v>
      </c>
      <c r="I112" s="20">
        <f t="shared" si="84"/>
        <v>39250000</v>
      </c>
      <c r="J112" s="20"/>
      <c r="K112" s="20"/>
      <c r="L112" s="20"/>
      <c r="M112" s="20"/>
      <c r="N112" s="20"/>
      <c r="O112" s="20"/>
      <c r="P112" s="20"/>
      <c r="Q112" s="20"/>
      <c r="R112" s="20"/>
      <c r="S112" s="20"/>
      <c r="T112" s="20"/>
      <c r="U112" s="20"/>
      <c r="V112" s="20"/>
      <c r="W112" s="20"/>
      <c r="X112" s="20"/>
      <c r="Y112" s="20"/>
      <c r="Z112" s="20"/>
      <c r="AA112" s="20">
        <f>+H112-I112</f>
        <v>745750000</v>
      </c>
      <c r="AB112" s="20">
        <f t="shared" si="81"/>
        <v>706500000</v>
      </c>
      <c r="AC112" s="20">
        <f t="shared" si="82"/>
        <v>667250000</v>
      </c>
      <c r="AE112" s="21">
        <f>SUM(I95:I112)</f>
        <v>640550000</v>
      </c>
      <c r="AF112" s="21">
        <f>SUM(AA95:AA112)</f>
        <v>6960375000</v>
      </c>
      <c r="AG112" s="21">
        <f t="shared" si="83"/>
        <v>144450000</v>
      </c>
    </row>
    <row r="113" spans="1:33" x14ac:dyDescent="0.2">
      <c r="A113">
        <v>19</v>
      </c>
      <c r="B113" t="s">
        <v>143</v>
      </c>
      <c r="C113" s="18" t="s">
        <v>161</v>
      </c>
      <c r="D113" s="22">
        <f>$D103</f>
        <v>3924000000</v>
      </c>
      <c r="E113" s="22">
        <f>$E103</f>
        <v>5268000000</v>
      </c>
      <c r="F113" s="22">
        <f>$F103</f>
        <v>7339000000</v>
      </c>
      <c r="G113" s="23">
        <f t="shared" si="85"/>
        <v>20</v>
      </c>
      <c r="H113" s="4">
        <v>752000000</v>
      </c>
      <c r="I113" s="20">
        <f t="shared" si="84"/>
        <v>37600000</v>
      </c>
      <c r="J113" s="20"/>
      <c r="K113" s="20"/>
      <c r="L113" s="20"/>
      <c r="M113" s="20"/>
      <c r="N113" s="20"/>
      <c r="O113" s="20"/>
      <c r="P113" s="20"/>
      <c r="Q113" s="20"/>
      <c r="R113" s="20"/>
      <c r="S113" s="20"/>
      <c r="T113" s="20"/>
      <c r="U113" s="20"/>
      <c r="V113" s="20"/>
      <c r="W113" s="20"/>
      <c r="X113" s="20"/>
      <c r="Y113" s="20"/>
      <c r="Z113" s="20"/>
      <c r="AA113" s="20"/>
      <c r="AB113" s="20">
        <f>+H113-I113</f>
        <v>714400000</v>
      </c>
      <c r="AC113" s="20">
        <f t="shared" si="82"/>
        <v>676800000</v>
      </c>
      <c r="AE113" s="21">
        <f>SUM(I95:I113)</f>
        <v>678150000</v>
      </c>
      <c r="AF113" s="21">
        <f>SUM(AB95:AB113)</f>
        <v>7034225000</v>
      </c>
      <c r="AG113" s="21">
        <f t="shared" si="83"/>
        <v>73850000</v>
      </c>
    </row>
    <row r="114" spans="1:33" x14ac:dyDescent="0.2">
      <c r="A114">
        <v>20</v>
      </c>
      <c r="B114" t="s">
        <v>143</v>
      </c>
      <c r="C114" s="18" t="s">
        <v>162</v>
      </c>
      <c r="D114" s="22">
        <f>$D103</f>
        <v>3924000000</v>
      </c>
      <c r="E114" s="22">
        <f>$E103</f>
        <v>5268000000</v>
      </c>
      <c r="F114" s="22">
        <f>$F103</f>
        <v>7339000000</v>
      </c>
      <c r="G114" s="23">
        <f t="shared" si="85"/>
        <v>20</v>
      </c>
      <c r="H114" s="4">
        <v>797000000</v>
      </c>
      <c r="I114" s="20">
        <f t="shared" si="84"/>
        <v>39850000</v>
      </c>
      <c r="J114" s="20"/>
      <c r="K114" s="20"/>
      <c r="L114" s="20"/>
      <c r="M114" s="20"/>
      <c r="N114" s="20"/>
      <c r="O114" s="20"/>
      <c r="P114" s="20"/>
      <c r="Q114" s="20"/>
      <c r="R114" s="20"/>
      <c r="S114" s="20"/>
      <c r="T114" s="20"/>
      <c r="U114" s="20"/>
      <c r="V114" s="20"/>
      <c r="W114" s="20"/>
      <c r="X114" s="20"/>
      <c r="Y114" s="20"/>
      <c r="Z114" s="20"/>
      <c r="AA114" s="20"/>
      <c r="AB114" s="20"/>
      <c r="AC114" s="20">
        <f>+H114-I114</f>
        <v>757150000</v>
      </c>
      <c r="AE114" s="21">
        <f>SUM(I95:I114)</f>
        <v>718000000</v>
      </c>
      <c r="AF114" s="21">
        <f>SUM(AC95:AC114)</f>
        <v>7113225000</v>
      </c>
      <c r="AG114" s="21">
        <f t="shared" si="83"/>
        <v>79000000</v>
      </c>
    </row>
    <row r="117" spans="1:33" x14ac:dyDescent="0.2">
      <c r="C117" t="s">
        <v>163</v>
      </c>
    </row>
    <row r="118" spans="1:33" x14ac:dyDescent="0.2">
      <c r="C118" s="6" t="s">
        <v>107</v>
      </c>
      <c r="D118" s="6" t="s">
        <v>438</v>
      </c>
      <c r="E118" s="6" t="s">
        <v>439</v>
      </c>
      <c r="F118" s="6" t="s">
        <v>440</v>
      </c>
      <c r="G118" s="6" t="s">
        <v>441</v>
      </c>
      <c r="H118" s="6" t="s">
        <v>442</v>
      </c>
      <c r="I118" s="15"/>
      <c r="J118" s="6" t="s">
        <v>443</v>
      </c>
      <c r="K118" s="6" t="s">
        <v>444</v>
      </c>
      <c r="L118" s="6" t="s">
        <v>445</v>
      </c>
      <c r="M118" s="6" t="s">
        <v>446</v>
      </c>
      <c r="N118" s="6" t="s">
        <v>447</v>
      </c>
      <c r="O118" s="6" t="s">
        <v>448</v>
      </c>
      <c r="P118" s="6" t="s">
        <v>449</v>
      </c>
      <c r="Q118" s="6" t="s">
        <v>450</v>
      </c>
      <c r="R118" s="6" t="s">
        <v>451</v>
      </c>
      <c r="S118" s="6" t="s">
        <v>452</v>
      </c>
      <c r="T118" s="6" t="s">
        <v>453</v>
      </c>
      <c r="U118" s="6" t="s">
        <v>454</v>
      </c>
      <c r="V118" s="6" t="s">
        <v>455</v>
      </c>
      <c r="W118" s="6" t="s">
        <v>456</v>
      </c>
      <c r="X118" s="6" t="s">
        <v>457</v>
      </c>
      <c r="Y118" s="6" t="s">
        <v>458</v>
      </c>
      <c r="Z118" s="6" t="s">
        <v>459</v>
      </c>
      <c r="AA118" s="6" t="s">
        <v>460</v>
      </c>
      <c r="AB118" s="6" t="s">
        <v>461</v>
      </c>
      <c r="AC118" s="6" t="s">
        <v>462</v>
      </c>
      <c r="AD118" s="15"/>
      <c r="AE118" s="6" t="s">
        <v>106</v>
      </c>
      <c r="AF118" s="6" t="s">
        <v>105</v>
      </c>
      <c r="AG118" s="6" t="s">
        <v>463</v>
      </c>
    </row>
    <row r="119" spans="1:33" x14ac:dyDescent="0.2">
      <c r="C119" s="16" t="s">
        <v>464</v>
      </c>
      <c r="J119" s="17">
        <v>20</v>
      </c>
      <c r="K119" s="17">
        <v>19</v>
      </c>
      <c r="L119" s="17">
        <v>18</v>
      </c>
      <c r="M119" s="17">
        <v>17</v>
      </c>
      <c r="N119" s="17">
        <v>16</v>
      </c>
      <c r="O119" s="17">
        <v>15</v>
      </c>
      <c r="P119" s="17">
        <v>14</v>
      </c>
      <c r="Q119" s="17">
        <v>13</v>
      </c>
      <c r="R119" s="17">
        <v>12</v>
      </c>
      <c r="S119" s="17">
        <v>11</v>
      </c>
      <c r="T119" s="17">
        <v>10</v>
      </c>
      <c r="U119" s="17">
        <v>9</v>
      </c>
      <c r="V119" s="17">
        <v>8</v>
      </c>
      <c r="W119" s="17">
        <v>7</v>
      </c>
      <c r="X119" s="17">
        <v>6</v>
      </c>
      <c r="Y119" s="17">
        <v>5</v>
      </c>
      <c r="Z119" s="17">
        <v>4</v>
      </c>
      <c r="AA119" s="17">
        <v>3</v>
      </c>
      <c r="AB119" s="17">
        <v>2</v>
      </c>
      <c r="AC119" s="17">
        <v>1</v>
      </c>
    </row>
    <row r="120" spans="1:33" x14ac:dyDescent="0.2">
      <c r="B120" t="s">
        <v>163</v>
      </c>
      <c r="C120" s="18" t="s">
        <v>102</v>
      </c>
      <c r="D120" s="4">
        <v>19269000000</v>
      </c>
      <c r="E120" s="4">
        <v>20716000000</v>
      </c>
      <c r="F120" s="4">
        <v>24512000000</v>
      </c>
      <c r="G120" s="19">
        <v>20</v>
      </c>
      <c r="H120" s="4">
        <v>6984000000</v>
      </c>
      <c r="J120" s="20">
        <f t="shared" ref="J120:J131" si="86">H120</f>
        <v>6984000000</v>
      </c>
      <c r="K120" s="20">
        <f>$F120/4</f>
        <v>6128000000</v>
      </c>
      <c r="L120" s="20">
        <f>$F120/4</f>
        <v>6128000000</v>
      </c>
      <c r="M120" s="20">
        <f>$F120/4</f>
        <v>6128000000</v>
      </c>
      <c r="N120" s="20">
        <f>$F120/4</f>
        <v>6128000000</v>
      </c>
      <c r="O120" s="20">
        <f>$E120/4</f>
        <v>5179000000</v>
      </c>
      <c r="P120" s="20">
        <f>$E120/4</f>
        <v>5179000000</v>
      </c>
      <c r="Q120" s="20">
        <f>$E120/4</f>
        <v>5179000000</v>
      </c>
      <c r="R120" s="20">
        <f>$E120/4</f>
        <v>5179000000</v>
      </c>
      <c r="S120" s="20">
        <f>$D120/4</f>
        <v>4817250000</v>
      </c>
      <c r="T120" s="20">
        <f>$D120/4</f>
        <v>4817250000</v>
      </c>
      <c r="U120" s="20">
        <f>$D120/4</f>
        <v>4817250000</v>
      </c>
      <c r="V120" s="20">
        <f>$D120/4</f>
        <v>4817250000</v>
      </c>
      <c r="W120" s="20">
        <v>0</v>
      </c>
      <c r="X120" s="20">
        <v>0</v>
      </c>
      <c r="Y120" s="20">
        <v>0</v>
      </c>
      <c r="Z120" s="20">
        <v>0</v>
      </c>
      <c r="AA120" s="20">
        <v>0</v>
      </c>
      <c r="AB120" s="20">
        <v>0</v>
      </c>
      <c r="AC120" s="20">
        <v>0</v>
      </c>
      <c r="AE120" s="21">
        <f>SUM(J120:AC120)/$G120</f>
        <v>3574050000</v>
      </c>
      <c r="AF120" s="21">
        <f>SUMPRODUCT($J$119:$AC$119,J120:AC120)/$G120</f>
        <v>51568075000</v>
      </c>
      <c r="AG120" s="21">
        <f t="shared" ref="AG120:AG131" si="87">H120-AE120</f>
        <v>3409950000</v>
      </c>
    </row>
    <row r="121" spans="1:33" x14ac:dyDescent="0.2">
      <c r="B121" t="s">
        <v>163</v>
      </c>
      <c r="C121" s="18" t="s">
        <v>101</v>
      </c>
      <c r="D121" s="22">
        <f>$D120</f>
        <v>19269000000</v>
      </c>
      <c r="E121" s="22">
        <f>$E120</f>
        <v>20716000000</v>
      </c>
      <c r="F121" s="22">
        <f>$F120</f>
        <v>24512000000</v>
      </c>
      <c r="G121" s="23">
        <f>$G$120</f>
        <v>20</v>
      </c>
      <c r="H121" s="4">
        <v>6739000000</v>
      </c>
      <c r="J121" s="20">
        <f t="shared" si="86"/>
        <v>6739000000</v>
      </c>
      <c r="K121" s="20">
        <f t="shared" ref="K121:K131" si="88">H120</f>
        <v>6984000000</v>
      </c>
      <c r="L121" s="20">
        <f>$F120/4</f>
        <v>6128000000</v>
      </c>
      <c r="M121" s="20">
        <f>$F120/4</f>
        <v>6128000000</v>
      </c>
      <c r="N121" s="20">
        <f>$F120/4</f>
        <v>6128000000</v>
      </c>
      <c r="O121" s="20">
        <f>$F120/4</f>
        <v>6128000000</v>
      </c>
      <c r="P121" s="20">
        <f>$E120/4</f>
        <v>5179000000</v>
      </c>
      <c r="Q121" s="20">
        <f>$E120/4</f>
        <v>5179000000</v>
      </c>
      <c r="R121" s="20">
        <f>$E120/4</f>
        <v>5179000000</v>
      </c>
      <c r="S121" s="20">
        <f>$E120/4</f>
        <v>5179000000</v>
      </c>
      <c r="T121" s="20">
        <f>$D120/4</f>
        <v>4817250000</v>
      </c>
      <c r="U121" s="20">
        <f>$D120/4</f>
        <v>4817250000</v>
      </c>
      <c r="V121" s="20">
        <f>$D120/4</f>
        <v>4817250000</v>
      </c>
      <c r="W121" s="20">
        <f>$D120/4</f>
        <v>4817250000</v>
      </c>
      <c r="X121" s="20">
        <v>0</v>
      </c>
      <c r="Y121" s="20">
        <v>0</v>
      </c>
      <c r="Z121" s="20">
        <v>0</v>
      </c>
      <c r="AA121" s="20">
        <v>0</v>
      </c>
      <c r="AB121" s="20">
        <v>0</v>
      </c>
      <c r="AC121" s="20">
        <v>0</v>
      </c>
      <c r="AE121" s="21">
        <f t="shared" ref="AE121:AE131" si="89">SUM(J121:AC121)/$G121</f>
        <v>3911000000</v>
      </c>
      <c r="AF121" s="21">
        <f t="shared" ref="AF121:AF131" si="90">SUMPRODUCT($J$119:$AC$119,J121:AC121)/$G121</f>
        <v>54733025000</v>
      </c>
      <c r="AG121" s="21">
        <f t="shared" si="87"/>
        <v>2828000000</v>
      </c>
    </row>
    <row r="122" spans="1:33" x14ac:dyDescent="0.2">
      <c r="B122" t="s">
        <v>163</v>
      </c>
      <c r="C122" s="18" t="s">
        <v>100</v>
      </c>
      <c r="D122" s="22">
        <f>$D120</f>
        <v>19269000000</v>
      </c>
      <c r="E122" s="22">
        <f>$E120</f>
        <v>20716000000</v>
      </c>
      <c r="F122" s="22">
        <f>$F120</f>
        <v>24512000000</v>
      </c>
      <c r="G122" s="23">
        <f t="shared" ref="G122:G131" si="91">$G$120</f>
        <v>20</v>
      </c>
      <c r="H122" s="4">
        <v>6659000000</v>
      </c>
      <c r="J122" s="20">
        <f t="shared" si="86"/>
        <v>6659000000</v>
      </c>
      <c r="K122" s="20">
        <f t="shared" si="88"/>
        <v>6739000000</v>
      </c>
      <c r="L122" s="20">
        <f t="shared" ref="L122:L131" si="92">H120</f>
        <v>6984000000</v>
      </c>
      <c r="M122" s="20">
        <f>$F120/4</f>
        <v>6128000000</v>
      </c>
      <c r="N122" s="20">
        <f>$F120/4</f>
        <v>6128000000</v>
      </c>
      <c r="O122" s="20">
        <f>$F120/4</f>
        <v>6128000000</v>
      </c>
      <c r="P122" s="20">
        <f>$F120/4</f>
        <v>6128000000</v>
      </c>
      <c r="Q122" s="20">
        <f>$E120/4</f>
        <v>5179000000</v>
      </c>
      <c r="R122" s="20">
        <f>$E120/4</f>
        <v>5179000000</v>
      </c>
      <c r="S122" s="20">
        <f>$E120/4</f>
        <v>5179000000</v>
      </c>
      <c r="T122" s="20">
        <f>$E120/4</f>
        <v>5179000000</v>
      </c>
      <c r="U122" s="20">
        <f>$D120/4</f>
        <v>4817250000</v>
      </c>
      <c r="V122" s="20">
        <f>$D120/4</f>
        <v>4817250000</v>
      </c>
      <c r="W122" s="20">
        <f>$D120/4</f>
        <v>4817250000</v>
      </c>
      <c r="X122" s="20">
        <f>$D120/4</f>
        <v>4817250000</v>
      </c>
      <c r="Y122" s="20">
        <v>0</v>
      </c>
      <c r="Z122" s="20">
        <v>0</v>
      </c>
      <c r="AA122" s="20">
        <v>0</v>
      </c>
      <c r="AB122" s="20">
        <v>0</v>
      </c>
      <c r="AC122" s="20">
        <v>0</v>
      </c>
      <c r="AE122" s="21">
        <f t="shared" si="89"/>
        <v>4243950000</v>
      </c>
      <c r="AF122" s="21">
        <f t="shared" si="90"/>
        <v>57481025000</v>
      </c>
      <c r="AG122" s="21">
        <f t="shared" si="87"/>
        <v>2415050000</v>
      </c>
    </row>
    <row r="123" spans="1:33" x14ac:dyDescent="0.2">
      <c r="B123" t="s">
        <v>163</v>
      </c>
      <c r="C123" s="18" t="s">
        <v>99</v>
      </c>
      <c r="D123" s="22">
        <f>$D120</f>
        <v>19269000000</v>
      </c>
      <c r="E123" s="22">
        <f>$E120</f>
        <v>20716000000</v>
      </c>
      <c r="F123" s="22">
        <f>$F120</f>
        <v>24512000000</v>
      </c>
      <c r="G123" s="23">
        <f t="shared" si="91"/>
        <v>20</v>
      </c>
      <c r="H123" s="4">
        <v>7142000000</v>
      </c>
      <c r="J123" s="20">
        <f t="shared" si="86"/>
        <v>7142000000</v>
      </c>
      <c r="K123" s="20">
        <f t="shared" si="88"/>
        <v>6659000000</v>
      </c>
      <c r="L123" s="20">
        <f t="shared" si="92"/>
        <v>6739000000</v>
      </c>
      <c r="M123" s="20">
        <f t="shared" ref="M123:M131" si="93">H120</f>
        <v>6984000000</v>
      </c>
      <c r="N123" s="20">
        <f>$F120/4</f>
        <v>6128000000</v>
      </c>
      <c r="O123" s="20">
        <f>$F120/4</f>
        <v>6128000000</v>
      </c>
      <c r="P123" s="20">
        <f>$F120/4</f>
        <v>6128000000</v>
      </c>
      <c r="Q123" s="20">
        <f>$F120/4</f>
        <v>6128000000</v>
      </c>
      <c r="R123" s="20">
        <f>$E120/4</f>
        <v>5179000000</v>
      </c>
      <c r="S123" s="20">
        <f>$E120/4</f>
        <v>5179000000</v>
      </c>
      <c r="T123" s="20">
        <f>$E120/4</f>
        <v>5179000000</v>
      </c>
      <c r="U123" s="20">
        <f>$E120/4</f>
        <v>5179000000</v>
      </c>
      <c r="V123" s="20">
        <f>$D120/4</f>
        <v>4817250000</v>
      </c>
      <c r="W123" s="20">
        <f>$D120/4</f>
        <v>4817250000</v>
      </c>
      <c r="X123" s="20">
        <f>$D120/4</f>
        <v>4817250000</v>
      </c>
      <c r="Y123" s="20">
        <f>$D120/4</f>
        <v>4817250000</v>
      </c>
      <c r="Z123" s="20">
        <v>0</v>
      </c>
      <c r="AA123" s="20">
        <v>0</v>
      </c>
      <c r="AB123" s="20">
        <v>0</v>
      </c>
      <c r="AC123" s="20">
        <v>0</v>
      </c>
      <c r="AE123" s="21">
        <f t="shared" si="89"/>
        <v>4601050000</v>
      </c>
      <c r="AF123" s="21">
        <f t="shared" si="90"/>
        <v>60379075000</v>
      </c>
      <c r="AG123" s="21">
        <f t="shared" si="87"/>
        <v>2540950000</v>
      </c>
    </row>
    <row r="124" spans="1:33" x14ac:dyDescent="0.2">
      <c r="B124" t="s">
        <v>163</v>
      </c>
      <c r="C124" s="18" t="s">
        <v>98</v>
      </c>
      <c r="D124" s="22">
        <f>$D120</f>
        <v>19269000000</v>
      </c>
      <c r="E124" s="22">
        <f>$E120</f>
        <v>20716000000</v>
      </c>
      <c r="F124" s="22">
        <f>$F120</f>
        <v>24512000000</v>
      </c>
      <c r="G124" s="23">
        <f t="shared" si="91"/>
        <v>20</v>
      </c>
      <c r="H124" s="4">
        <v>7653000000</v>
      </c>
      <c r="J124" s="20">
        <f t="shared" si="86"/>
        <v>7653000000</v>
      </c>
      <c r="K124" s="20">
        <f t="shared" si="88"/>
        <v>7142000000</v>
      </c>
      <c r="L124" s="20">
        <f t="shared" si="92"/>
        <v>6659000000</v>
      </c>
      <c r="M124" s="20">
        <f t="shared" si="93"/>
        <v>6739000000</v>
      </c>
      <c r="N124" s="20">
        <f t="shared" ref="N124:N131" si="94">H120</f>
        <v>6984000000</v>
      </c>
      <c r="O124" s="20">
        <f>$F120/4</f>
        <v>6128000000</v>
      </c>
      <c r="P124" s="20">
        <f>$F120/4</f>
        <v>6128000000</v>
      </c>
      <c r="Q124" s="20">
        <f>$F120/4</f>
        <v>6128000000</v>
      </c>
      <c r="R124" s="20">
        <f>$F120/4</f>
        <v>6128000000</v>
      </c>
      <c r="S124" s="20">
        <f>$E120/4</f>
        <v>5179000000</v>
      </c>
      <c r="T124" s="20">
        <f>$E120/4</f>
        <v>5179000000</v>
      </c>
      <c r="U124" s="20">
        <f>$E120/4</f>
        <v>5179000000</v>
      </c>
      <c r="V124" s="20">
        <f>$E120/4</f>
        <v>5179000000</v>
      </c>
      <c r="W124" s="20">
        <f>$D120/4</f>
        <v>4817250000</v>
      </c>
      <c r="X124" s="20">
        <f>$D120/4</f>
        <v>4817250000</v>
      </c>
      <c r="Y124" s="20">
        <f>$D120/4</f>
        <v>4817250000</v>
      </c>
      <c r="Z124" s="20">
        <f>$D120/4</f>
        <v>4817250000</v>
      </c>
      <c r="AA124" s="20">
        <v>0</v>
      </c>
      <c r="AB124" s="20">
        <v>0</v>
      </c>
      <c r="AC124" s="20">
        <v>0</v>
      </c>
      <c r="AE124" s="21">
        <f t="shared" si="89"/>
        <v>4983700000</v>
      </c>
      <c r="AF124" s="21">
        <f t="shared" si="90"/>
        <v>63431025000</v>
      </c>
      <c r="AG124" s="21">
        <f t="shared" si="87"/>
        <v>2669300000</v>
      </c>
    </row>
    <row r="125" spans="1:33" x14ac:dyDescent="0.2">
      <c r="B125" t="s">
        <v>163</v>
      </c>
      <c r="C125" s="18" t="s">
        <v>97</v>
      </c>
      <c r="D125" s="22">
        <f>$D120</f>
        <v>19269000000</v>
      </c>
      <c r="E125" s="22">
        <f>$E120</f>
        <v>20716000000</v>
      </c>
      <c r="F125" s="22">
        <f>$F120</f>
        <v>24512000000</v>
      </c>
      <c r="G125" s="23">
        <f t="shared" si="91"/>
        <v>20</v>
      </c>
      <c r="H125" s="4">
        <v>8056000000</v>
      </c>
      <c r="J125" s="20">
        <f t="shared" si="86"/>
        <v>8056000000</v>
      </c>
      <c r="K125" s="20">
        <f t="shared" si="88"/>
        <v>7653000000</v>
      </c>
      <c r="L125" s="20">
        <f t="shared" si="92"/>
        <v>7142000000</v>
      </c>
      <c r="M125" s="20">
        <f t="shared" si="93"/>
        <v>6659000000</v>
      </c>
      <c r="N125" s="20">
        <f t="shared" si="94"/>
        <v>6739000000</v>
      </c>
      <c r="O125" s="20">
        <f t="shared" ref="O125:O131" si="95">H120</f>
        <v>6984000000</v>
      </c>
      <c r="P125" s="20">
        <f>$F120/4</f>
        <v>6128000000</v>
      </c>
      <c r="Q125" s="20">
        <f>$F120/4</f>
        <v>6128000000</v>
      </c>
      <c r="R125" s="20">
        <f>$F120/4</f>
        <v>6128000000</v>
      </c>
      <c r="S125" s="20">
        <f>$F120/4</f>
        <v>6128000000</v>
      </c>
      <c r="T125" s="20">
        <f>$E120/4</f>
        <v>5179000000</v>
      </c>
      <c r="U125" s="20">
        <f>$E120/4</f>
        <v>5179000000</v>
      </c>
      <c r="V125" s="20">
        <f>$E120/4</f>
        <v>5179000000</v>
      </c>
      <c r="W125" s="20">
        <f>$E120/4</f>
        <v>5179000000</v>
      </c>
      <c r="X125" s="20">
        <f>$D120/4</f>
        <v>4817250000</v>
      </c>
      <c r="Y125" s="20">
        <f>$D120/4</f>
        <v>4817250000</v>
      </c>
      <c r="Z125" s="20">
        <f>$D120/4</f>
        <v>4817250000</v>
      </c>
      <c r="AA125" s="20">
        <f>$D120/4</f>
        <v>4817250000</v>
      </c>
      <c r="AB125" s="20">
        <v>0</v>
      </c>
      <c r="AC125" s="20">
        <v>0</v>
      </c>
      <c r="AE125" s="21">
        <f t="shared" si="89"/>
        <v>5386500000</v>
      </c>
      <c r="AF125" s="21">
        <f t="shared" si="90"/>
        <v>66503325000</v>
      </c>
      <c r="AG125" s="21">
        <f t="shared" si="87"/>
        <v>2669500000</v>
      </c>
    </row>
    <row r="126" spans="1:33" x14ac:dyDescent="0.2">
      <c r="B126" t="s">
        <v>163</v>
      </c>
      <c r="C126" s="18" t="s">
        <v>96</v>
      </c>
      <c r="D126" s="22">
        <f>$D120</f>
        <v>19269000000</v>
      </c>
      <c r="E126" s="22">
        <f>$E120</f>
        <v>20716000000</v>
      </c>
      <c r="F126" s="22">
        <f>$F120</f>
        <v>24512000000</v>
      </c>
      <c r="G126" s="23">
        <f t="shared" si="91"/>
        <v>20</v>
      </c>
      <c r="H126" s="4">
        <v>7544000000</v>
      </c>
      <c r="J126" s="20">
        <f t="shared" si="86"/>
        <v>7544000000</v>
      </c>
      <c r="K126" s="20">
        <f t="shared" si="88"/>
        <v>8056000000</v>
      </c>
      <c r="L126" s="20">
        <f t="shared" si="92"/>
        <v>7653000000</v>
      </c>
      <c r="M126" s="20">
        <f t="shared" si="93"/>
        <v>7142000000</v>
      </c>
      <c r="N126" s="20">
        <f t="shared" si="94"/>
        <v>6659000000</v>
      </c>
      <c r="O126" s="20">
        <f t="shared" si="95"/>
        <v>6739000000</v>
      </c>
      <c r="P126" s="20">
        <f t="shared" ref="P126:P131" si="96">H120</f>
        <v>6984000000</v>
      </c>
      <c r="Q126" s="20">
        <f>$F120/4</f>
        <v>6128000000</v>
      </c>
      <c r="R126" s="20">
        <f>$F120/4</f>
        <v>6128000000</v>
      </c>
      <c r="S126" s="20">
        <f>$F120/4</f>
        <v>6128000000</v>
      </c>
      <c r="T126" s="20">
        <f>$F120/4</f>
        <v>6128000000</v>
      </c>
      <c r="U126" s="20">
        <f>$E120/4</f>
        <v>5179000000</v>
      </c>
      <c r="V126" s="20">
        <f>$E120/4</f>
        <v>5179000000</v>
      </c>
      <c r="W126" s="20">
        <f>$E120/4</f>
        <v>5179000000</v>
      </c>
      <c r="X126" s="20">
        <f>$E120/4</f>
        <v>5179000000</v>
      </c>
      <c r="Y126" s="20">
        <f>$D120/4</f>
        <v>4817250000</v>
      </c>
      <c r="Z126" s="20">
        <f>$D120/4</f>
        <v>4817250000</v>
      </c>
      <c r="AA126" s="20">
        <f>$D120/4</f>
        <v>4817250000</v>
      </c>
      <c r="AB126" s="20">
        <f>$D120/4</f>
        <v>4817250000</v>
      </c>
      <c r="AC126" s="20">
        <v>0</v>
      </c>
      <c r="AE126" s="21">
        <f t="shared" si="89"/>
        <v>5763700000</v>
      </c>
      <c r="AF126" s="21">
        <f t="shared" si="90"/>
        <v>68660825000</v>
      </c>
      <c r="AG126" s="21">
        <f t="shared" si="87"/>
        <v>1780300000</v>
      </c>
    </row>
    <row r="127" spans="1:33" x14ac:dyDescent="0.2">
      <c r="B127" t="s">
        <v>163</v>
      </c>
      <c r="C127" s="18" t="s">
        <v>95</v>
      </c>
      <c r="D127" s="22">
        <f>$D120</f>
        <v>19269000000</v>
      </c>
      <c r="E127" s="22">
        <f>$E120</f>
        <v>20716000000</v>
      </c>
      <c r="F127" s="22">
        <f>$F120</f>
        <v>24512000000</v>
      </c>
      <c r="G127" s="23">
        <f t="shared" si="91"/>
        <v>20</v>
      </c>
      <c r="H127" s="4">
        <v>7917000000</v>
      </c>
      <c r="J127" s="20">
        <f t="shared" si="86"/>
        <v>7917000000</v>
      </c>
      <c r="K127" s="20">
        <f t="shared" si="88"/>
        <v>7544000000</v>
      </c>
      <c r="L127" s="20">
        <f t="shared" si="92"/>
        <v>8056000000</v>
      </c>
      <c r="M127" s="20">
        <f t="shared" si="93"/>
        <v>7653000000</v>
      </c>
      <c r="N127" s="20">
        <f t="shared" si="94"/>
        <v>7142000000</v>
      </c>
      <c r="O127" s="20">
        <f t="shared" si="95"/>
        <v>6659000000</v>
      </c>
      <c r="P127" s="20">
        <f t="shared" si="96"/>
        <v>6739000000</v>
      </c>
      <c r="Q127" s="20">
        <f>H120</f>
        <v>6984000000</v>
      </c>
      <c r="R127" s="20">
        <f>$F120/4</f>
        <v>6128000000</v>
      </c>
      <c r="S127" s="20">
        <f>$F120/4</f>
        <v>6128000000</v>
      </c>
      <c r="T127" s="20">
        <f>$F120/4</f>
        <v>6128000000</v>
      </c>
      <c r="U127" s="20">
        <f>$F120/4</f>
        <v>6128000000</v>
      </c>
      <c r="V127" s="20">
        <f>$E120/4</f>
        <v>5179000000</v>
      </c>
      <c r="W127" s="20">
        <f>$E120/4</f>
        <v>5179000000</v>
      </c>
      <c r="X127" s="20">
        <f>$E120/4</f>
        <v>5179000000</v>
      </c>
      <c r="Y127" s="20">
        <f>$E120/4</f>
        <v>5179000000</v>
      </c>
      <c r="Z127" s="20">
        <f>$D120/4</f>
        <v>4817250000</v>
      </c>
      <c r="AA127" s="20">
        <f>$D120/4</f>
        <v>4817250000</v>
      </c>
      <c r="AB127" s="20">
        <f>$D120/4</f>
        <v>4817250000</v>
      </c>
      <c r="AC127" s="20">
        <f>$D120/4</f>
        <v>4817250000</v>
      </c>
      <c r="AE127" s="21">
        <f t="shared" si="89"/>
        <v>6159550000</v>
      </c>
      <c r="AF127" s="21">
        <f t="shared" si="90"/>
        <v>70814125000</v>
      </c>
      <c r="AG127" s="21">
        <f t="shared" si="87"/>
        <v>1757450000</v>
      </c>
    </row>
    <row r="128" spans="1:33" x14ac:dyDescent="0.2">
      <c r="B128" t="s">
        <v>163</v>
      </c>
      <c r="C128" s="18" t="s">
        <v>94</v>
      </c>
      <c r="D128" s="22">
        <f>$D120</f>
        <v>19269000000</v>
      </c>
      <c r="E128" s="22">
        <f>$E120</f>
        <v>20716000000</v>
      </c>
      <c r="F128" s="22">
        <f>$F120</f>
        <v>24512000000</v>
      </c>
      <c r="G128" s="23">
        <f t="shared" si="91"/>
        <v>20</v>
      </c>
      <c r="H128" s="4">
        <v>8198000000</v>
      </c>
      <c r="J128" s="20">
        <f t="shared" si="86"/>
        <v>8198000000</v>
      </c>
      <c r="K128" s="20">
        <f t="shared" si="88"/>
        <v>7917000000</v>
      </c>
      <c r="L128" s="20">
        <f t="shared" si="92"/>
        <v>7544000000</v>
      </c>
      <c r="M128" s="20">
        <f t="shared" si="93"/>
        <v>8056000000</v>
      </c>
      <c r="N128" s="20">
        <f t="shared" si="94"/>
        <v>7653000000</v>
      </c>
      <c r="O128" s="20">
        <f t="shared" si="95"/>
        <v>7142000000</v>
      </c>
      <c r="P128" s="20">
        <f t="shared" si="96"/>
        <v>6659000000</v>
      </c>
      <c r="Q128" s="20">
        <f>H121</f>
        <v>6739000000</v>
      </c>
      <c r="R128" s="20">
        <f>H120</f>
        <v>6984000000</v>
      </c>
      <c r="S128" s="20">
        <f>$F120/4</f>
        <v>6128000000</v>
      </c>
      <c r="T128" s="20">
        <f>$F120/4</f>
        <v>6128000000</v>
      </c>
      <c r="U128" s="20">
        <f>$F120/4</f>
        <v>6128000000</v>
      </c>
      <c r="V128" s="20">
        <f>$F120/4</f>
        <v>6128000000</v>
      </c>
      <c r="W128" s="20">
        <f>$E120/4</f>
        <v>5179000000</v>
      </c>
      <c r="X128" s="20">
        <f>$E120/4</f>
        <v>5179000000</v>
      </c>
      <c r="Y128" s="20">
        <f>$E120/4</f>
        <v>5179000000</v>
      </c>
      <c r="Z128" s="20">
        <f>$E120/4</f>
        <v>5179000000</v>
      </c>
      <c r="AA128" s="20">
        <f>$D120/4</f>
        <v>4817250000</v>
      </c>
      <c r="AB128" s="20">
        <f>$D120/4</f>
        <v>4817250000</v>
      </c>
      <c r="AC128" s="20">
        <f>$D120/4</f>
        <v>4817250000</v>
      </c>
      <c r="AE128" s="21">
        <f t="shared" si="89"/>
        <v>6328587500</v>
      </c>
      <c r="AF128" s="21">
        <f t="shared" si="90"/>
        <v>72852575000</v>
      </c>
      <c r="AG128" s="21">
        <f t="shared" si="87"/>
        <v>1869412500</v>
      </c>
    </row>
    <row r="129" spans="1:33" x14ac:dyDescent="0.2">
      <c r="B129" t="s">
        <v>163</v>
      </c>
      <c r="C129" s="18" t="s">
        <v>93</v>
      </c>
      <c r="D129" s="22">
        <f>$D120</f>
        <v>19269000000</v>
      </c>
      <c r="E129" s="22">
        <f>$E120</f>
        <v>20716000000</v>
      </c>
      <c r="F129" s="22">
        <f>$F120</f>
        <v>24512000000</v>
      </c>
      <c r="G129" s="23">
        <f t="shared" si="91"/>
        <v>20</v>
      </c>
      <c r="H129" s="4">
        <v>8829000000</v>
      </c>
      <c r="J129" s="20">
        <f t="shared" si="86"/>
        <v>8829000000</v>
      </c>
      <c r="K129" s="20">
        <f t="shared" si="88"/>
        <v>8198000000</v>
      </c>
      <c r="L129" s="20">
        <f t="shared" si="92"/>
        <v>7917000000</v>
      </c>
      <c r="M129" s="20">
        <f t="shared" si="93"/>
        <v>7544000000</v>
      </c>
      <c r="N129" s="20">
        <f t="shared" si="94"/>
        <v>8056000000</v>
      </c>
      <c r="O129" s="20">
        <f t="shared" si="95"/>
        <v>7653000000</v>
      </c>
      <c r="P129" s="20">
        <f t="shared" si="96"/>
        <v>7142000000</v>
      </c>
      <c r="Q129" s="20">
        <f>H122</f>
        <v>6659000000</v>
      </c>
      <c r="R129" s="20">
        <f>H121</f>
        <v>6739000000</v>
      </c>
      <c r="S129" s="20">
        <f>H120</f>
        <v>6984000000</v>
      </c>
      <c r="T129" s="20">
        <f>$F120/4</f>
        <v>6128000000</v>
      </c>
      <c r="U129" s="20">
        <f>$F120/4</f>
        <v>6128000000</v>
      </c>
      <c r="V129" s="20">
        <f>$F120/4</f>
        <v>6128000000</v>
      </c>
      <c r="W129" s="20">
        <f>$F120/4</f>
        <v>6128000000</v>
      </c>
      <c r="X129" s="20">
        <f>$E120/4</f>
        <v>5179000000</v>
      </c>
      <c r="Y129" s="20">
        <f>$E120/4</f>
        <v>5179000000</v>
      </c>
      <c r="Z129" s="20">
        <f>$E120/4</f>
        <v>5179000000</v>
      </c>
      <c r="AA129" s="20">
        <f>$E120/4</f>
        <v>5179000000</v>
      </c>
      <c r="AB129" s="20">
        <f>$D120/4</f>
        <v>4817250000</v>
      </c>
      <c r="AC129" s="20">
        <f>$D120/4</f>
        <v>4817250000</v>
      </c>
      <c r="AE129" s="21">
        <f t="shared" si="89"/>
        <v>6529175000</v>
      </c>
      <c r="AF129" s="21">
        <f t="shared" si="90"/>
        <v>75352987500</v>
      </c>
      <c r="AG129" s="21">
        <f t="shared" si="87"/>
        <v>2299825000</v>
      </c>
    </row>
    <row r="130" spans="1:33" x14ac:dyDescent="0.2">
      <c r="B130" t="s">
        <v>163</v>
      </c>
      <c r="C130" s="18" t="s">
        <v>141</v>
      </c>
      <c r="D130" s="22">
        <f>$D120</f>
        <v>19269000000</v>
      </c>
      <c r="E130" s="22">
        <f>$E120</f>
        <v>20716000000</v>
      </c>
      <c r="F130" s="22">
        <f>$F120</f>
        <v>24512000000</v>
      </c>
      <c r="G130" s="23">
        <f t="shared" si="91"/>
        <v>20</v>
      </c>
      <c r="H130" s="4">
        <v>8146000000</v>
      </c>
      <c r="J130" s="20">
        <f t="shared" si="86"/>
        <v>8146000000</v>
      </c>
      <c r="K130" s="20">
        <f t="shared" si="88"/>
        <v>8829000000</v>
      </c>
      <c r="L130" s="20">
        <f t="shared" si="92"/>
        <v>8198000000</v>
      </c>
      <c r="M130" s="20">
        <f t="shared" si="93"/>
        <v>7917000000</v>
      </c>
      <c r="N130" s="20">
        <f t="shared" si="94"/>
        <v>7544000000</v>
      </c>
      <c r="O130" s="20">
        <f t="shared" si="95"/>
        <v>8056000000</v>
      </c>
      <c r="P130" s="20">
        <f t="shared" si="96"/>
        <v>7653000000</v>
      </c>
      <c r="Q130" s="20">
        <f>H123</f>
        <v>7142000000</v>
      </c>
      <c r="R130" s="20">
        <f>H122</f>
        <v>6659000000</v>
      </c>
      <c r="S130" s="20">
        <f>H121</f>
        <v>6739000000</v>
      </c>
      <c r="T130" s="20">
        <f>H120</f>
        <v>6984000000</v>
      </c>
      <c r="U130" s="20">
        <f>$F120/4</f>
        <v>6128000000</v>
      </c>
      <c r="V130" s="20">
        <f>$F120/4</f>
        <v>6128000000</v>
      </c>
      <c r="W130" s="20">
        <f>$F120/4</f>
        <v>6128000000</v>
      </c>
      <c r="X130" s="20">
        <f>$F120/4</f>
        <v>6128000000</v>
      </c>
      <c r="Y130" s="20">
        <f>$E120/4</f>
        <v>5179000000</v>
      </c>
      <c r="Z130" s="20">
        <f>$E120/4</f>
        <v>5179000000</v>
      </c>
      <c r="AA130" s="20">
        <f>$E120/4</f>
        <v>5179000000</v>
      </c>
      <c r="AB130" s="20">
        <f>$E120/4</f>
        <v>5179000000</v>
      </c>
      <c r="AC130" s="20">
        <f>$D120/4</f>
        <v>4817250000</v>
      </c>
      <c r="AE130" s="21">
        <f t="shared" si="89"/>
        <v>6695612500</v>
      </c>
      <c r="AF130" s="21">
        <f t="shared" si="90"/>
        <v>76969812500</v>
      </c>
      <c r="AG130" s="21">
        <f t="shared" si="87"/>
        <v>1450387500</v>
      </c>
    </row>
    <row r="131" spans="1:33" x14ac:dyDescent="0.2">
      <c r="B131" t="s">
        <v>163</v>
      </c>
      <c r="C131" s="18" t="s">
        <v>160</v>
      </c>
      <c r="D131" s="22">
        <f>$D120</f>
        <v>19269000000</v>
      </c>
      <c r="E131" s="22">
        <f>$E120</f>
        <v>20716000000</v>
      </c>
      <c r="F131" s="22">
        <f>$F120</f>
        <v>24512000000</v>
      </c>
      <c r="G131" s="23">
        <f t="shared" si="91"/>
        <v>20</v>
      </c>
      <c r="H131" s="4">
        <v>8504000000</v>
      </c>
      <c r="J131" s="20">
        <f t="shared" si="86"/>
        <v>8504000000</v>
      </c>
      <c r="K131" s="20">
        <f t="shared" si="88"/>
        <v>8146000000</v>
      </c>
      <c r="L131" s="20">
        <f t="shared" si="92"/>
        <v>8829000000</v>
      </c>
      <c r="M131" s="20">
        <f t="shared" si="93"/>
        <v>8198000000</v>
      </c>
      <c r="N131" s="20">
        <f t="shared" si="94"/>
        <v>7917000000</v>
      </c>
      <c r="O131" s="20">
        <f t="shared" si="95"/>
        <v>7544000000</v>
      </c>
      <c r="P131" s="20">
        <f t="shared" si="96"/>
        <v>8056000000</v>
      </c>
      <c r="Q131" s="20">
        <f>H124</f>
        <v>7653000000</v>
      </c>
      <c r="R131" s="20">
        <f>H123</f>
        <v>7142000000</v>
      </c>
      <c r="S131" s="20">
        <f>H122</f>
        <v>6659000000</v>
      </c>
      <c r="T131" s="20">
        <f>H121</f>
        <v>6739000000</v>
      </c>
      <c r="U131" s="20">
        <f>H120</f>
        <v>6984000000</v>
      </c>
      <c r="V131" s="20">
        <f>$F120/4</f>
        <v>6128000000</v>
      </c>
      <c r="W131" s="20">
        <f>$F120/4</f>
        <v>6128000000</v>
      </c>
      <c r="X131" s="20">
        <f>$F120/4</f>
        <v>6128000000</v>
      </c>
      <c r="Y131" s="20">
        <f>$F120/4</f>
        <v>6128000000</v>
      </c>
      <c r="Z131" s="20">
        <f>$E120/4</f>
        <v>5179000000</v>
      </c>
      <c r="AA131" s="20">
        <f>$E120/4</f>
        <v>5179000000</v>
      </c>
      <c r="AB131" s="20">
        <f>$E120/4</f>
        <v>5179000000</v>
      </c>
      <c r="AC131" s="20">
        <f>$E120/4</f>
        <v>5179000000</v>
      </c>
      <c r="AE131" s="21">
        <f t="shared" si="89"/>
        <v>6879950000</v>
      </c>
      <c r="AF131" s="21">
        <f t="shared" si="90"/>
        <v>78778200000</v>
      </c>
      <c r="AG131" s="21">
        <f t="shared" si="87"/>
        <v>1624050000</v>
      </c>
    </row>
    <row r="133" spans="1:33" x14ac:dyDescent="0.2">
      <c r="C133" t="s">
        <v>179</v>
      </c>
    </row>
    <row r="134" spans="1:33" x14ac:dyDescent="0.2">
      <c r="C134" s="6" t="s">
        <v>107</v>
      </c>
      <c r="D134" s="6" t="s">
        <v>439</v>
      </c>
      <c r="E134" s="6" t="s">
        <v>440</v>
      </c>
      <c r="F134" s="6" t="s">
        <v>471</v>
      </c>
      <c r="G134" s="6" t="s">
        <v>441</v>
      </c>
      <c r="H134" s="6" t="s">
        <v>442</v>
      </c>
      <c r="I134" s="15"/>
      <c r="J134" s="6" t="s">
        <v>443</v>
      </c>
      <c r="K134" s="6" t="s">
        <v>444</v>
      </c>
      <c r="L134" s="6" t="s">
        <v>445</v>
      </c>
      <c r="M134" s="6" t="s">
        <v>446</v>
      </c>
      <c r="N134" s="6" t="s">
        <v>447</v>
      </c>
      <c r="O134" s="6" t="s">
        <v>448</v>
      </c>
      <c r="P134" s="6" t="s">
        <v>449</v>
      </c>
      <c r="Q134" s="6" t="s">
        <v>450</v>
      </c>
      <c r="R134" s="6" t="s">
        <v>451</v>
      </c>
      <c r="S134" s="6" t="s">
        <v>452</v>
      </c>
      <c r="T134" s="6" t="s">
        <v>453</v>
      </c>
      <c r="U134" s="6" t="s">
        <v>454</v>
      </c>
      <c r="V134" s="6" t="s">
        <v>455</v>
      </c>
      <c r="W134" s="6" t="s">
        <v>456</v>
      </c>
      <c r="X134" s="6" t="s">
        <v>457</v>
      </c>
      <c r="Y134" s="6" t="s">
        <v>458</v>
      </c>
      <c r="Z134" s="6" t="s">
        <v>459</v>
      </c>
      <c r="AA134" s="6" t="s">
        <v>460</v>
      </c>
      <c r="AB134" s="6" t="s">
        <v>461</v>
      </c>
      <c r="AC134" s="6" t="s">
        <v>462</v>
      </c>
      <c r="AD134" s="15"/>
      <c r="AE134" s="6" t="s">
        <v>106</v>
      </c>
      <c r="AF134" s="6" t="s">
        <v>105</v>
      </c>
      <c r="AG134" s="6" t="s">
        <v>463</v>
      </c>
    </row>
    <row r="135" spans="1:33" x14ac:dyDescent="0.2">
      <c r="C135" s="16" t="s">
        <v>464</v>
      </c>
      <c r="J135" s="17">
        <v>20</v>
      </c>
      <c r="K135" s="17">
        <v>19</v>
      </c>
      <c r="L135" s="17">
        <v>18</v>
      </c>
      <c r="M135" s="17">
        <v>17</v>
      </c>
      <c r="N135" s="17">
        <v>16</v>
      </c>
      <c r="O135" s="17">
        <v>15</v>
      </c>
      <c r="P135" s="17">
        <v>14</v>
      </c>
      <c r="Q135" s="17">
        <v>13</v>
      </c>
      <c r="R135" s="17">
        <v>12</v>
      </c>
      <c r="S135" s="17">
        <v>11</v>
      </c>
      <c r="T135" s="17">
        <v>10</v>
      </c>
      <c r="U135" s="17">
        <v>9</v>
      </c>
      <c r="V135" s="17">
        <v>8</v>
      </c>
      <c r="W135" s="17">
        <v>7</v>
      </c>
      <c r="X135" s="17">
        <v>6</v>
      </c>
      <c r="Y135" s="17">
        <v>5</v>
      </c>
      <c r="Z135" s="17">
        <v>4</v>
      </c>
      <c r="AA135" s="17">
        <v>3</v>
      </c>
      <c r="AB135" s="17">
        <v>2</v>
      </c>
      <c r="AC135" s="17">
        <v>1</v>
      </c>
    </row>
    <row r="136" spans="1:33" x14ac:dyDescent="0.2">
      <c r="A136">
        <v>1</v>
      </c>
      <c r="B136" t="s">
        <v>179</v>
      </c>
      <c r="C136" s="18" t="s">
        <v>490</v>
      </c>
      <c r="G136" s="23">
        <f t="shared" ref="G136:G143" si="97">$G$13</f>
        <v>20</v>
      </c>
      <c r="H136" s="4">
        <v>311000000</v>
      </c>
      <c r="I136" s="20">
        <f>+H136/20</f>
        <v>15550000</v>
      </c>
      <c r="J136" s="20">
        <f>+H136-$I136</f>
        <v>295450000</v>
      </c>
      <c r="K136" s="20">
        <f>+J136-$I136</f>
        <v>279900000</v>
      </c>
      <c r="L136" s="20">
        <f t="shared" ref="L136" si="98">+K136-$I136</f>
        <v>264350000</v>
      </c>
      <c r="M136" s="20">
        <f t="shared" ref="M136:M137" si="99">+L136-$I136</f>
        <v>248800000</v>
      </c>
      <c r="N136" s="20">
        <f t="shared" ref="N136:N138" si="100">+M136-$I136</f>
        <v>233250000</v>
      </c>
      <c r="O136" s="20">
        <f t="shared" ref="O136:O140" si="101">+N136-$I136</f>
        <v>217700000</v>
      </c>
      <c r="P136" s="20">
        <f t="shared" ref="P136:P141" si="102">+O136-$I136</f>
        <v>202150000</v>
      </c>
      <c r="Q136" s="20">
        <f t="shared" ref="Q136:Q142" si="103">+P136-$I136</f>
        <v>186600000</v>
      </c>
      <c r="R136" s="20">
        <f t="shared" ref="R136:R143" si="104">+Q136-$I136</f>
        <v>171050000</v>
      </c>
      <c r="S136" s="20">
        <f t="shared" ref="S136:S144" si="105">+R136-$I136</f>
        <v>155500000</v>
      </c>
      <c r="T136" s="20">
        <f t="shared" ref="T136:T145" si="106">+S136-$I136</f>
        <v>139950000</v>
      </c>
      <c r="U136" s="20">
        <f t="shared" ref="U136:U146" si="107">+T136-$I136</f>
        <v>124400000</v>
      </c>
      <c r="V136" s="20">
        <f t="shared" ref="V136:V147" si="108">+U136-$I136</f>
        <v>108850000</v>
      </c>
      <c r="W136" s="20">
        <f t="shared" ref="W136:W148" si="109">+V136-$I136</f>
        <v>93300000</v>
      </c>
      <c r="X136" s="20">
        <f t="shared" ref="X136:X149" si="110">+W136-$I136</f>
        <v>77750000</v>
      </c>
      <c r="Y136" s="20">
        <f t="shared" ref="Y136:Y150" si="111">+X136-$I136</f>
        <v>62200000</v>
      </c>
      <c r="Z136" s="20">
        <f t="shared" ref="Z136:Z151" si="112">+Y136-$I136</f>
        <v>46650000</v>
      </c>
      <c r="AA136" s="20">
        <f t="shared" ref="AA136:AA152" si="113">+Z136-$I136</f>
        <v>31100000</v>
      </c>
      <c r="AB136" s="20">
        <f t="shared" ref="AB136:AB153" si="114">+AA136-$I136</f>
        <v>15550000</v>
      </c>
      <c r="AC136" s="20">
        <f t="shared" ref="AC136:AC154" si="115">+AB136-$I136</f>
        <v>0</v>
      </c>
      <c r="AE136" s="21">
        <f>SUM(I136)</f>
        <v>15550000</v>
      </c>
      <c r="AF136" s="21">
        <f>SUM(J136:J136)</f>
        <v>295450000</v>
      </c>
      <c r="AG136" s="21">
        <f t="shared" ref="AG136:AG155" si="116">H136-AE136</f>
        <v>295450000</v>
      </c>
    </row>
    <row r="137" spans="1:33" x14ac:dyDescent="0.2">
      <c r="A137">
        <v>2</v>
      </c>
      <c r="B137" t="s">
        <v>179</v>
      </c>
      <c r="C137" s="18" t="s">
        <v>491</v>
      </c>
      <c r="G137" s="23">
        <f t="shared" si="97"/>
        <v>20</v>
      </c>
      <c r="H137" s="4">
        <v>325300000</v>
      </c>
      <c r="I137" s="20">
        <f t="shared" ref="I137:I155" si="117">+H137/20</f>
        <v>16265000</v>
      </c>
      <c r="J137" s="20"/>
      <c r="K137" s="20">
        <f>+H137-I137</f>
        <v>309035000</v>
      </c>
      <c r="L137" s="20">
        <f>+K137-$I137</f>
        <v>292770000</v>
      </c>
      <c r="M137" s="20">
        <f t="shared" si="99"/>
        <v>276505000</v>
      </c>
      <c r="N137" s="20">
        <f t="shared" si="100"/>
        <v>260240000</v>
      </c>
      <c r="O137" s="20">
        <f t="shared" si="101"/>
        <v>243975000</v>
      </c>
      <c r="P137" s="20">
        <f t="shared" si="102"/>
        <v>227710000</v>
      </c>
      <c r="Q137" s="20">
        <f t="shared" si="103"/>
        <v>211445000</v>
      </c>
      <c r="R137" s="20">
        <f t="shared" si="104"/>
        <v>195180000</v>
      </c>
      <c r="S137" s="20">
        <f t="shared" si="105"/>
        <v>178915000</v>
      </c>
      <c r="T137" s="20">
        <f t="shared" si="106"/>
        <v>162650000</v>
      </c>
      <c r="U137" s="20">
        <f t="shared" si="107"/>
        <v>146385000</v>
      </c>
      <c r="V137" s="20">
        <f t="shared" si="108"/>
        <v>130120000</v>
      </c>
      <c r="W137" s="20">
        <f t="shared" si="109"/>
        <v>113855000</v>
      </c>
      <c r="X137" s="20">
        <f t="shared" si="110"/>
        <v>97590000</v>
      </c>
      <c r="Y137" s="20">
        <f t="shared" si="111"/>
        <v>81325000</v>
      </c>
      <c r="Z137" s="20">
        <f t="shared" si="112"/>
        <v>65060000</v>
      </c>
      <c r="AA137" s="20">
        <f t="shared" si="113"/>
        <v>48795000</v>
      </c>
      <c r="AB137" s="20">
        <f t="shared" si="114"/>
        <v>32530000</v>
      </c>
      <c r="AC137" s="20">
        <f t="shared" si="115"/>
        <v>16265000</v>
      </c>
      <c r="AE137" s="21">
        <f>SUM(I136:I137)</f>
        <v>31815000</v>
      </c>
      <c r="AF137" s="21">
        <f>SUM(K136:K137)</f>
        <v>588935000</v>
      </c>
      <c r="AG137" s="21">
        <f t="shared" si="116"/>
        <v>293485000</v>
      </c>
    </row>
    <row r="138" spans="1:33" x14ac:dyDescent="0.2">
      <c r="A138">
        <v>3</v>
      </c>
      <c r="B138" t="s">
        <v>179</v>
      </c>
      <c r="C138" s="18" t="s">
        <v>484</v>
      </c>
      <c r="G138" s="23">
        <f t="shared" si="97"/>
        <v>20</v>
      </c>
      <c r="H138" s="4">
        <v>339500000</v>
      </c>
      <c r="I138" s="20">
        <f t="shared" si="117"/>
        <v>16975000</v>
      </c>
      <c r="J138" s="20"/>
      <c r="K138" s="20"/>
      <c r="L138" s="20">
        <f>+H138-I138</f>
        <v>322525000</v>
      </c>
      <c r="M138" s="20">
        <f>+L138-$I138</f>
        <v>305550000</v>
      </c>
      <c r="N138" s="20">
        <f t="shared" si="100"/>
        <v>288575000</v>
      </c>
      <c r="O138" s="20">
        <f t="shared" si="101"/>
        <v>271600000</v>
      </c>
      <c r="P138" s="20">
        <f t="shared" si="102"/>
        <v>254625000</v>
      </c>
      <c r="Q138" s="20">
        <f t="shared" si="103"/>
        <v>237650000</v>
      </c>
      <c r="R138" s="20">
        <f t="shared" si="104"/>
        <v>220675000</v>
      </c>
      <c r="S138" s="20">
        <f t="shared" si="105"/>
        <v>203700000</v>
      </c>
      <c r="T138" s="20">
        <f t="shared" si="106"/>
        <v>186725000</v>
      </c>
      <c r="U138" s="20">
        <f t="shared" si="107"/>
        <v>169750000</v>
      </c>
      <c r="V138" s="20">
        <f t="shared" si="108"/>
        <v>152775000</v>
      </c>
      <c r="W138" s="20">
        <f t="shared" si="109"/>
        <v>135800000</v>
      </c>
      <c r="X138" s="20">
        <f t="shared" si="110"/>
        <v>118825000</v>
      </c>
      <c r="Y138" s="20">
        <f t="shared" si="111"/>
        <v>101850000</v>
      </c>
      <c r="Z138" s="20">
        <f t="shared" si="112"/>
        <v>84875000</v>
      </c>
      <c r="AA138" s="20">
        <f t="shared" si="113"/>
        <v>67900000</v>
      </c>
      <c r="AB138" s="20">
        <f t="shared" si="114"/>
        <v>50925000</v>
      </c>
      <c r="AC138" s="20">
        <f t="shared" si="115"/>
        <v>33950000</v>
      </c>
      <c r="AE138" s="21">
        <f>SUM(I136:I138)</f>
        <v>48790000</v>
      </c>
      <c r="AF138" s="21">
        <f>SUM(L136:L138)</f>
        <v>879645000</v>
      </c>
      <c r="AG138" s="21">
        <f t="shared" si="116"/>
        <v>290710000</v>
      </c>
    </row>
    <row r="139" spans="1:33" x14ac:dyDescent="0.2">
      <c r="A139">
        <v>4</v>
      </c>
      <c r="B139" t="s">
        <v>179</v>
      </c>
      <c r="C139" s="18" t="s">
        <v>485</v>
      </c>
      <c r="G139" s="23">
        <f t="shared" si="97"/>
        <v>20</v>
      </c>
      <c r="H139" s="4">
        <v>359000000</v>
      </c>
      <c r="I139" s="20">
        <f t="shared" si="117"/>
        <v>17950000</v>
      </c>
      <c r="J139" s="20"/>
      <c r="K139" s="20"/>
      <c r="L139" s="20"/>
      <c r="M139" s="20">
        <f>+H139-I139</f>
        <v>341050000</v>
      </c>
      <c r="N139" s="20">
        <f>+M139-$I139</f>
        <v>323100000</v>
      </c>
      <c r="O139" s="20">
        <f t="shared" si="101"/>
        <v>305150000</v>
      </c>
      <c r="P139" s="20">
        <f t="shared" si="102"/>
        <v>287200000</v>
      </c>
      <c r="Q139" s="20">
        <f t="shared" si="103"/>
        <v>269250000</v>
      </c>
      <c r="R139" s="20">
        <f t="shared" si="104"/>
        <v>251300000</v>
      </c>
      <c r="S139" s="20">
        <f t="shared" si="105"/>
        <v>233350000</v>
      </c>
      <c r="T139" s="20">
        <f t="shared" si="106"/>
        <v>215400000</v>
      </c>
      <c r="U139" s="20">
        <f t="shared" si="107"/>
        <v>197450000</v>
      </c>
      <c r="V139" s="20">
        <f t="shared" si="108"/>
        <v>179500000</v>
      </c>
      <c r="W139" s="20">
        <f t="shared" si="109"/>
        <v>161550000</v>
      </c>
      <c r="X139" s="20">
        <f t="shared" si="110"/>
        <v>143600000</v>
      </c>
      <c r="Y139" s="20">
        <f t="shared" si="111"/>
        <v>125650000</v>
      </c>
      <c r="Z139" s="20">
        <f t="shared" si="112"/>
        <v>107700000</v>
      </c>
      <c r="AA139" s="20">
        <f t="shared" si="113"/>
        <v>89750000</v>
      </c>
      <c r="AB139" s="20">
        <f t="shared" si="114"/>
        <v>71800000</v>
      </c>
      <c r="AC139" s="20">
        <f t="shared" si="115"/>
        <v>53850000</v>
      </c>
      <c r="AE139" s="21">
        <f>SUM(I136:I139)</f>
        <v>66740000</v>
      </c>
      <c r="AF139" s="21">
        <f>SUM(M136:M139)</f>
        <v>1171905000</v>
      </c>
      <c r="AG139" s="21">
        <f t="shared" si="116"/>
        <v>292260000</v>
      </c>
    </row>
    <row r="140" spans="1:33" x14ac:dyDescent="0.2">
      <c r="A140">
        <v>5</v>
      </c>
      <c r="B140" t="s">
        <v>179</v>
      </c>
      <c r="C140" s="18" t="s">
        <v>486</v>
      </c>
      <c r="G140" s="23">
        <f t="shared" si="97"/>
        <v>20</v>
      </c>
      <c r="H140" s="4">
        <v>355400000</v>
      </c>
      <c r="I140" s="20">
        <f t="shared" si="117"/>
        <v>17770000</v>
      </c>
      <c r="J140" s="20"/>
      <c r="K140" s="20"/>
      <c r="L140" s="20"/>
      <c r="M140" s="20"/>
      <c r="N140" s="20">
        <f>+H140-I140</f>
        <v>337630000</v>
      </c>
      <c r="O140" s="20">
        <f t="shared" si="101"/>
        <v>319860000</v>
      </c>
      <c r="P140" s="20">
        <f t="shared" si="102"/>
        <v>302090000</v>
      </c>
      <c r="Q140" s="20">
        <f t="shared" si="103"/>
        <v>284320000</v>
      </c>
      <c r="R140" s="20">
        <f t="shared" si="104"/>
        <v>266550000</v>
      </c>
      <c r="S140" s="20">
        <f t="shared" si="105"/>
        <v>248780000</v>
      </c>
      <c r="T140" s="20">
        <f t="shared" si="106"/>
        <v>231010000</v>
      </c>
      <c r="U140" s="20">
        <f t="shared" si="107"/>
        <v>213240000</v>
      </c>
      <c r="V140" s="20">
        <f t="shared" si="108"/>
        <v>195470000</v>
      </c>
      <c r="W140" s="20">
        <f t="shared" si="109"/>
        <v>177700000</v>
      </c>
      <c r="X140" s="20">
        <f t="shared" si="110"/>
        <v>159930000</v>
      </c>
      <c r="Y140" s="20">
        <f t="shared" si="111"/>
        <v>142160000</v>
      </c>
      <c r="Z140" s="20">
        <f t="shared" si="112"/>
        <v>124390000</v>
      </c>
      <c r="AA140" s="20">
        <f t="shared" si="113"/>
        <v>106620000</v>
      </c>
      <c r="AB140" s="20">
        <f t="shared" si="114"/>
        <v>88850000</v>
      </c>
      <c r="AC140" s="20">
        <f t="shared" si="115"/>
        <v>71080000</v>
      </c>
      <c r="AE140" s="21">
        <f>SUM(I136:I140)</f>
        <v>84510000</v>
      </c>
      <c r="AF140" s="21">
        <f>SUM(N136:N140)</f>
        <v>1442795000</v>
      </c>
      <c r="AG140" s="21">
        <f t="shared" si="116"/>
        <v>270890000</v>
      </c>
    </row>
    <row r="141" spans="1:33" x14ac:dyDescent="0.2">
      <c r="A141">
        <v>6</v>
      </c>
      <c r="B141" t="s">
        <v>179</v>
      </c>
      <c r="C141" s="18" t="s">
        <v>487</v>
      </c>
      <c r="G141" s="23">
        <f t="shared" si="97"/>
        <v>20</v>
      </c>
      <c r="H141" s="4">
        <v>363800000</v>
      </c>
      <c r="I141" s="20">
        <f t="shared" si="117"/>
        <v>18190000</v>
      </c>
      <c r="J141" s="20"/>
      <c r="K141" s="20"/>
      <c r="L141" s="20"/>
      <c r="M141" s="20"/>
      <c r="N141" s="20"/>
      <c r="O141" s="20">
        <f>+H141-I141</f>
        <v>345610000</v>
      </c>
      <c r="P141" s="20">
        <f t="shared" si="102"/>
        <v>327420000</v>
      </c>
      <c r="Q141" s="20">
        <f t="shared" si="103"/>
        <v>309230000</v>
      </c>
      <c r="R141" s="20">
        <f t="shared" si="104"/>
        <v>291040000</v>
      </c>
      <c r="S141" s="20">
        <f t="shared" si="105"/>
        <v>272850000</v>
      </c>
      <c r="T141" s="20">
        <f t="shared" si="106"/>
        <v>254660000</v>
      </c>
      <c r="U141" s="20">
        <f t="shared" si="107"/>
        <v>236470000</v>
      </c>
      <c r="V141" s="20">
        <f t="shared" si="108"/>
        <v>218280000</v>
      </c>
      <c r="W141" s="20">
        <f t="shared" si="109"/>
        <v>200090000</v>
      </c>
      <c r="X141" s="20">
        <f t="shared" si="110"/>
        <v>181900000</v>
      </c>
      <c r="Y141" s="20">
        <f t="shared" si="111"/>
        <v>163710000</v>
      </c>
      <c r="Z141" s="20">
        <f t="shared" si="112"/>
        <v>145520000</v>
      </c>
      <c r="AA141" s="20">
        <f t="shared" si="113"/>
        <v>127330000</v>
      </c>
      <c r="AB141" s="20">
        <f t="shared" si="114"/>
        <v>109140000</v>
      </c>
      <c r="AC141" s="20">
        <f t="shared" si="115"/>
        <v>90950000</v>
      </c>
      <c r="AE141" s="21">
        <f>SUM(I136:I141)</f>
        <v>102700000</v>
      </c>
      <c r="AF141" s="21">
        <f>SUM(O136:O141)</f>
        <v>1703895000</v>
      </c>
      <c r="AG141" s="21">
        <f t="shared" si="116"/>
        <v>261100000</v>
      </c>
    </row>
    <row r="142" spans="1:33" x14ac:dyDescent="0.2">
      <c r="A142">
        <v>7</v>
      </c>
      <c r="B142" t="s">
        <v>179</v>
      </c>
      <c r="C142" s="18" t="s">
        <v>104</v>
      </c>
      <c r="G142" s="23">
        <f t="shared" si="97"/>
        <v>20</v>
      </c>
      <c r="H142" s="4">
        <v>371800000</v>
      </c>
      <c r="I142" s="20">
        <f t="shared" si="117"/>
        <v>18590000</v>
      </c>
      <c r="J142" s="20"/>
      <c r="K142" s="20"/>
      <c r="L142" s="20"/>
      <c r="M142" s="20"/>
      <c r="N142" s="20"/>
      <c r="O142" s="20"/>
      <c r="P142" s="20">
        <f>+H142-I142</f>
        <v>353210000</v>
      </c>
      <c r="Q142" s="20">
        <f t="shared" si="103"/>
        <v>334620000</v>
      </c>
      <c r="R142" s="20">
        <f t="shared" si="104"/>
        <v>316030000</v>
      </c>
      <c r="S142" s="20">
        <f t="shared" si="105"/>
        <v>297440000</v>
      </c>
      <c r="T142" s="20">
        <f t="shared" si="106"/>
        <v>278850000</v>
      </c>
      <c r="U142" s="20">
        <f t="shared" si="107"/>
        <v>260260000</v>
      </c>
      <c r="V142" s="20">
        <f t="shared" si="108"/>
        <v>241670000</v>
      </c>
      <c r="W142" s="20">
        <f t="shared" si="109"/>
        <v>223080000</v>
      </c>
      <c r="X142" s="20">
        <f t="shared" si="110"/>
        <v>204490000</v>
      </c>
      <c r="Y142" s="20">
        <f t="shared" si="111"/>
        <v>185900000</v>
      </c>
      <c r="Z142" s="20">
        <f t="shared" si="112"/>
        <v>167310000</v>
      </c>
      <c r="AA142" s="20">
        <f t="shared" si="113"/>
        <v>148720000</v>
      </c>
      <c r="AB142" s="20">
        <f t="shared" si="114"/>
        <v>130130000</v>
      </c>
      <c r="AC142" s="20">
        <f t="shared" si="115"/>
        <v>111540000</v>
      </c>
      <c r="AE142" s="21">
        <f>SUM(I136:I142)</f>
        <v>121290000</v>
      </c>
      <c r="AF142" s="21">
        <f>SUM(P136:P142)</f>
        <v>1954405000</v>
      </c>
      <c r="AG142" s="21">
        <f t="shared" si="116"/>
        <v>250510000</v>
      </c>
    </row>
    <row r="143" spans="1:33" x14ac:dyDescent="0.2">
      <c r="A143">
        <v>8</v>
      </c>
      <c r="B143" t="s">
        <v>179</v>
      </c>
      <c r="C143" s="18" t="s">
        <v>103</v>
      </c>
      <c r="G143" s="23">
        <f t="shared" si="97"/>
        <v>20</v>
      </c>
      <c r="H143" s="4">
        <v>404100000</v>
      </c>
      <c r="I143" s="20">
        <f t="shared" si="117"/>
        <v>20205000</v>
      </c>
      <c r="J143" s="20"/>
      <c r="K143" s="20"/>
      <c r="L143" s="20"/>
      <c r="M143" s="20"/>
      <c r="N143" s="20"/>
      <c r="O143" s="20"/>
      <c r="P143" s="20"/>
      <c r="Q143" s="20">
        <f>+H143-I143</f>
        <v>383895000</v>
      </c>
      <c r="R143" s="20">
        <f t="shared" si="104"/>
        <v>363690000</v>
      </c>
      <c r="S143" s="20">
        <f t="shared" si="105"/>
        <v>343485000</v>
      </c>
      <c r="T143" s="20">
        <f t="shared" si="106"/>
        <v>323280000</v>
      </c>
      <c r="U143" s="20">
        <f t="shared" si="107"/>
        <v>303075000</v>
      </c>
      <c r="V143" s="20">
        <f t="shared" si="108"/>
        <v>282870000</v>
      </c>
      <c r="W143" s="20">
        <f t="shared" si="109"/>
        <v>262665000</v>
      </c>
      <c r="X143" s="20">
        <f t="shared" si="110"/>
        <v>242460000</v>
      </c>
      <c r="Y143" s="20">
        <f t="shared" si="111"/>
        <v>222255000</v>
      </c>
      <c r="Z143" s="20">
        <f t="shared" si="112"/>
        <v>202050000</v>
      </c>
      <c r="AA143" s="20">
        <f t="shared" si="113"/>
        <v>181845000</v>
      </c>
      <c r="AB143" s="20">
        <f t="shared" si="114"/>
        <v>161640000</v>
      </c>
      <c r="AC143" s="20">
        <f t="shared" si="115"/>
        <v>141435000</v>
      </c>
      <c r="AE143" s="21">
        <f>SUM(I136:I143)</f>
        <v>141495000</v>
      </c>
      <c r="AF143" s="21">
        <f>SUM(Q136:Q143)</f>
        <v>2217010000</v>
      </c>
      <c r="AG143" s="21">
        <f t="shared" si="116"/>
        <v>262605000</v>
      </c>
    </row>
    <row r="144" spans="1:33" x14ac:dyDescent="0.2">
      <c r="A144">
        <v>9</v>
      </c>
      <c r="B144" t="s">
        <v>179</v>
      </c>
      <c r="C144" s="18" t="s">
        <v>102</v>
      </c>
      <c r="D144" s="4">
        <v>3924000000</v>
      </c>
      <c r="E144" s="4">
        <v>5268000000</v>
      </c>
      <c r="F144" s="4">
        <v>7339000000</v>
      </c>
      <c r="G144" s="19">
        <v>20</v>
      </c>
      <c r="H144" s="4">
        <v>413700000</v>
      </c>
      <c r="I144" s="20">
        <f t="shared" si="117"/>
        <v>20685000</v>
      </c>
      <c r="J144" s="20"/>
      <c r="K144" s="20"/>
      <c r="L144" s="20"/>
      <c r="M144" s="20"/>
      <c r="N144" s="20"/>
      <c r="O144" s="20"/>
      <c r="P144" s="20"/>
      <c r="Q144" s="20"/>
      <c r="R144" s="20">
        <f>+H144-I144</f>
        <v>393015000</v>
      </c>
      <c r="S144" s="20">
        <f t="shared" si="105"/>
        <v>372330000</v>
      </c>
      <c r="T144" s="20">
        <f t="shared" si="106"/>
        <v>351645000</v>
      </c>
      <c r="U144" s="20">
        <f t="shared" si="107"/>
        <v>330960000</v>
      </c>
      <c r="V144" s="20">
        <f t="shared" si="108"/>
        <v>310275000</v>
      </c>
      <c r="W144" s="20">
        <f t="shared" si="109"/>
        <v>289590000</v>
      </c>
      <c r="X144" s="20">
        <f t="shared" si="110"/>
        <v>268905000</v>
      </c>
      <c r="Y144" s="20">
        <f t="shared" si="111"/>
        <v>248220000</v>
      </c>
      <c r="Z144" s="20">
        <f t="shared" si="112"/>
        <v>227535000</v>
      </c>
      <c r="AA144" s="20">
        <f t="shared" si="113"/>
        <v>206850000</v>
      </c>
      <c r="AB144" s="20">
        <f t="shared" si="114"/>
        <v>186165000</v>
      </c>
      <c r="AC144" s="20">
        <f t="shared" si="115"/>
        <v>165480000</v>
      </c>
      <c r="AE144" s="21">
        <f>SUM(I136:I144)</f>
        <v>162180000</v>
      </c>
      <c r="AF144" s="21">
        <f>SUM(R136:R144)</f>
        <v>2468530000</v>
      </c>
      <c r="AG144" s="21">
        <f t="shared" si="116"/>
        <v>251520000</v>
      </c>
    </row>
    <row r="145" spans="1:33" x14ac:dyDescent="0.2">
      <c r="A145">
        <v>10</v>
      </c>
      <c r="B145" t="s">
        <v>179</v>
      </c>
      <c r="C145" s="18" t="s">
        <v>101</v>
      </c>
      <c r="D145" s="22">
        <f>$D144</f>
        <v>3924000000</v>
      </c>
      <c r="E145" s="22">
        <f>$E144</f>
        <v>5268000000</v>
      </c>
      <c r="F145" s="22">
        <f>$F144</f>
        <v>7339000000</v>
      </c>
      <c r="G145" s="23">
        <f>$G$13</f>
        <v>20</v>
      </c>
      <c r="H145" s="4">
        <v>414399999.99999994</v>
      </c>
      <c r="I145" s="20">
        <f t="shared" si="117"/>
        <v>20719999.999999996</v>
      </c>
      <c r="J145" s="20"/>
      <c r="K145" s="20"/>
      <c r="L145" s="20"/>
      <c r="M145" s="20"/>
      <c r="N145" s="20"/>
      <c r="O145" s="20"/>
      <c r="P145" s="20"/>
      <c r="Q145" s="20"/>
      <c r="R145" s="20"/>
      <c r="S145" s="20">
        <f>+H145-I145</f>
        <v>393679999.99999994</v>
      </c>
      <c r="T145" s="20">
        <f t="shared" si="106"/>
        <v>372959999.99999994</v>
      </c>
      <c r="U145" s="20">
        <f t="shared" si="107"/>
        <v>352239999.99999994</v>
      </c>
      <c r="V145" s="20">
        <f t="shared" si="108"/>
        <v>331519999.99999994</v>
      </c>
      <c r="W145" s="20">
        <f t="shared" si="109"/>
        <v>310799999.99999994</v>
      </c>
      <c r="X145" s="20">
        <f t="shared" si="110"/>
        <v>290079999.99999994</v>
      </c>
      <c r="Y145" s="20">
        <f t="shared" si="111"/>
        <v>269359999.99999994</v>
      </c>
      <c r="Z145" s="20">
        <f t="shared" si="112"/>
        <v>248639999.99999994</v>
      </c>
      <c r="AA145" s="20">
        <f t="shared" si="113"/>
        <v>227919999.99999994</v>
      </c>
      <c r="AB145" s="20">
        <f t="shared" si="114"/>
        <v>207199999.99999994</v>
      </c>
      <c r="AC145" s="20">
        <f t="shared" si="115"/>
        <v>186479999.99999994</v>
      </c>
      <c r="AE145" s="21">
        <f>SUM(I136:I145)</f>
        <v>182900000</v>
      </c>
      <c r="AF145" s="21">
        <f>SUM(S136:S145)</f>
        <v>2700030000</v>
      </c>
      <c r="AG145" s="21">
        <f t="shared" si="116"/>
        <v>231499999.99999994</v>
      </c>
    </row>
    <row r="146" spans="1:33" x14ac:dyDescent="0.2">
      <c r="A146">
        <v>11</v>
      </c>
      <c r="B146" t="s">
        <v>179</v>
      </c>
      <c r="C146" s="18" t="s">
        <v>100</v>
      </c>
      <c r="D146" s="22">
        <f>$D144</f>
        <v>3924000000</v>
      </c>
      <c r="E146" s="22">
        <f>$E144</f>
        <v>5268000000</v>
      </c>
      <c r="F146" s="22">
        <f>$F144</f>
        <v>7339000000</v>
      </c>
      <c r="G146" s="23">
        <f t="shared" ref="G146:G155" si="118">$G$13</f>
        <v>20</v>
      </c>
      <c r="H146" s="4">
        <v>409500000</v>
      </c>
      <c r="I146" s="20">
        <f t="shared" si="117"/>
        <v>20475000</v>
      </c>
      <c r="J146" s="20"/>
      <c r="K146" s="20"/>
      <c r="L146" s="20"/>
      <c r="M146" s="20"/>
      <c r="N146" s="20"/>
      <c r="O146" s="20"/>
      <c r="P146" s="20"/>
      <c r="Q146" s="20"/>
      <c r="R146" s="20"/>
      <c r="S146" s="20"/>
      <c r="T146" s="20">
        <f>+H146-I146</f>
        <v>389025000</v>
      </c>
      <c r="U146" s="20">
        <f t="shared" si="107"/>
        <v>368550000</v>
      </c>
      <c r="V146" s="20">
        <f t="shared" si="108"/>
        <v>348075000</v>
      </c>
      <c r="W146" s="20">
        <f t="shared" si="109"/>
        <v>327600000</v>
      </c>
      <c r="X146" s="20">
        <f t="shared" si="110"/>
        <v>307125000</v>
      </c>
      <c r="Y146" s="20">
        <f t="shared" si="111"/>
        <v>286650000</v>
      </c>
      <c r="Z146" s="20">
        <f t="shared" si="112"/>
        <v>266175000</v>
      </c>
      <c r="AA146" s="20">
        <f t="shared" si="113"/>
        <v>245700000</v>
      </c>
      <c r="AB146" s="20">
        <f t="shared" si="114"/>
        <v>225225000</v>
      </c>
      <c r="AC146" s="20">
        <f t="shared" si="115"/>
        <v>204750000</v>
      </c>
      <c r="AE146" s="21">
        <f>SUM(I136:I146)</f>
        <v>203375000</v>
      </c>
      <c r="AF146" s="21">
        <f>SUM(T136:T146)</f>
        <v>2906155000</v>
      </c>
      <c r="AG146" s="21">
        <f t="shared" si="116"/>
        <v>206125000</v>
      </c>
    </row>
    <row r="147" spans="1:33" x14ac:dyDescent="0.2">
      <c r="A147">
        <v>12</v>
      </c>
      <c r="B147" t="s">
        <v>179</v>
      </c>
      <c r="C147" s="18" t="s">
        <v>99</v>
      </c>
      <c r="D147" s="22">
        <f>$D144</f>
        <v>3924000000</v>
      </c>
      <c r="E147" s="22">
        <f>$E144</f>
        <v>5268000000</v>
      </c>
      <c r="F147" s="22">
        <f>$F144</f>
        <v>7339000000</v>
      </c>
      <c r="G147" s="23">
        <f t="shared" si="118"/>
        <v>20</v>
      </c>
      <c r="H147" s="4">
        <v>447900000</v>
      </c>
      <c r="I147" s="20">
        <f t="shared" si="117"/>
        <v>22395000</v>
      </c>
      <c r="J147" s="20"/>
      <c r="K147" s="20"/>
      <c r="L147" s="20"/>
      <c r="M147" s="20"/>
      <c r="N147" s="20"/>
      <c r="O147" s="20"/>
      <c r="P147" s="20"/>
      <c r="Q147" s="20"/>
      <c r="R147" s="20"/>
      <c r="S147" s="20"/>
      <c r="T147" s="20"/>
      <c r="U147" s="20">
        <f>+H147-I147</f>
        <v>425505000</v>
      </c>
      <c r="V147" s="20">
        <f t="shared" si="108"/>
        <v>403110000</v>
      </c>
      <c r="W147" s="20">
        <f t="shared" si="109"/>
        <v>380715000</v>
      </c>
      <c r="X147" s="20">
        <f t="shared" si="110"/>
        <v>358320000</v>
      </c>
      <c r="Y147" s="20">
        <f t="shared" si="111"/>
        <v>335925000</v>
      </c>
      <c r="Z147" s="20">
        <f t="shared" si="112"/>
        <v>313530000</v>
      </c>
      <c r="AA147" s="20">
        <f t="shared" si="113"/>
        <v>291135000</v>
      </c>
      <c r="AB147" s="20">
        <f t="shared" si="114"/>
        <v>268740000</v>
      </c>
      <c r="AC147" s="20">
        <f t="shared" si="115"/>
        <v>246345000</v>
      </c>
      <c r="AE147" s="21">
        <f>SUM(I136:I147)</f>
        <v>225770000</v>
      </c>
      <c r="AF147" s="21">
        <f>SUM(U136:U147)</f>
        <v>3128285000</v>
      </c>
      <c r="AG147" s="21">
        <f t="shared" si="116"/>
        <v>222130000</v>
      </c>
    </row>
    <row r="148" spans="1:33" x14ac:dyDescent="0.2">
      <c r="A148">
        <v>13</v>
      </c>
      <c r="B148" t="s">
        <v>179</v>
      </c>
      <c r="C148" s="18" t="s">
        <v>98</v>
      </c>
      <c r="D148" s="22">
        <f>$D144</f>
        <v>3924000000</v>
      </c>
      <c r="E148" s="22">
        <f>$E144</f>
        <v>5268000000</v>
      </c>
      <c r="F148" s="22">
        <f>$F144</f>
        <v>7339000000</v>
      </c>
      <c r="G148" s="23">
        <f t="shared" si="118"/>
        <v>20</v>
      </c>
      <c r="H148" s="4">
        <v>457200000</v>
      </c>
      <c r="I148" s="20">
        <f t="shared" si="117"/>
        <v>22860000</v>
      </c>
      <c r="J148" s="20"/>
      <c r="K148" s="20"/>
      <c r="L148" s="20"/>
      <c r="M148" s="20"/>
      <c r="N148" s="20"/>
      <c r="O148" s="20"/>
      <c r="P148" s="20"/>
      <c r="Q148" s="20"/>
      <c r="R148" s="20"/>
      <c r="S148" s="20"/>
      <c r="T148" s="20"/>
      <c r="U148" s="20"/>
      <c r="V148" s="20">
        <f>+H148-I148</f>
        <v>434340000</v>
      </c>
      <c r="W148" s="20">
        <f t="shared" si="109"/>
        <v>411480000</v>
      </c>
      <c r="X148" s="20">
        <f t="shared" si="110"/>
        <v>388620000</v>
      </c>
      <c r="Y148" s="20">
        <f t="shared" si="111"/>
        <v>365760000</v>
      </c>
      <c r="Z148" s="20">
        <f t="shared" si="112"/>
        <v>342900000</v>
      </c>
      <c r="AA148" s="20">
        <f t="shared" si="113"/>
        <v>320040000</v>
      </c>
      <c r="AB148" s="20">
        <f t="shared" si="114"/>
        <v>297180000</v>
      </c>
      <c r="AC148" s="20">
        <f t="shared" si="115"/>
        <v>274320000</v>
      </c>
      <c r="AE148" s="21">
        <f>SUM(I136:I148)</f>
        <v>248630000</v>
      </c>
      <c r="AF148" s="21">
        <f>SUM(V136:V148)</f>
        <v>3336855000</v>
      </c>
      <c r="AG148" s="21">
        <f t="shared" si="116"/>
        <v>208570000</v>
      </c>
    </row>
    <row r="149" spans="1:33" x14ac:dyDescent="0.2">
      <c r="A149">
        <v>14</v>
      </c>
      <c r="B149" t="s">
        <v>179</v>
      </c>
      <c r="C149" s="18" t="s">
        <v>97</v>
      </c>
      <c r="D149" s="22">
        <f>$D144</f>
        <v>3924000000</v>
      </c>
      <c r="E149" s="22">
        <f>$E144</f>
        <v>5268000000</v>
      </c>
      <c r="F149" s="22">
        <f>$F144</f>
        <v>7339000000</v>
      </c>
      <c r="G149" s="23">
        <f t="shared" si="118"/>
        <v>20</v>
      </c>
      <c r="H149" s="4">
        <v>494800000.00000006</v>
      </c>
      <c r="I149" s="20">
        <f t="shared" si="117"/>
        <v>24740000.000000004</v>
      </c>
      <c r="J149" s="20"/>
      <c r="K149" s="20"/>
      <c r="L149" s="20"/>
      <c r="M149" s="20"/>
      <c r="N149" s="20"/>
      <c r="O149" s="20"/>
      <c r="P149" s="20"/>
      <c r="Q149" s="20"/>
      <c r="R149" s="20"/>
      <c r="S149" s="20"/>
      <c r="T149" s="20"/>
      <c r="U149" s="20"/>
      <c r="V149" s="20"/>
      <c r="W149" s="20">
        <f>+H149-I149</f>
        <v>470060000.00000006</v>
      </c>
      <c r="X149" s="20">
        <f t="shared" si="110"/>
        <v>445320000.00000006</v>
      </c>
      <c r="Y149" s="20">
        <f t="shared" si="111"/>
        <v>420580000.00000006</v>
      </c>
      <c r="Z149" s="20">
        <f t="shared" si="112"/>
        <v>395840000.00000006</v>
      </c>
      <c r="AA149" s="20">
        <f t="shared" si="113"/>
        <v>371100000.00000006</v>
      </c>
      <c r="AB149" s="20">
        <f t="shared" si="114"/>
        <v>346360000.00000006</v>
      </c>
      <c r="AC149" s="20">
        <f t="shared" si="115"/>
        <v>321620000.00000006</v>
      </c>
      <c r="AE149" s="21">
        <f>SUM(I136:I149)</f>
        <v>273370000</v>
      </c>
      <c r="AF149" s="21">
        <f>SUM(W136:W149)</f>
        <v>3558285000</v>
      </c>
      <c r="AG149" s="21">
        <f t="shared" si="116"/>
        <v>221430000.00000006</v>
      </c>
    </row>
    <row r="150" spans="1:33" x14ac:dyDescent="0.2">
      <c r="A150">
        <v>15</v>
      </c>
      <c r="B150" t="s">
        <v>179</v>
      </c>
      <c r="C150" s="18" t="s">
        <v>96</v>
      </c>
      <c r="D150" s="22">
        <f>$D144</f>
        <v>3924000000</v>
      </c>
      <c r="E150" s="22">
        <f>$E144</f>
        <v>5268000000</v>
      </c>
      <c r="F150" s="22">
        <f>$F144</f>
        <v>7339000000</v>
      </c>
      <c r="G150" s="23">
        <f t="shared" si="118"/>
        <v>20</v>
      </c>
      <c r="H150" s="4">
        <v>480400000</v>
      </c>
      <c r="I150" s="20">
        <f t="shared" si="117"/>
        <v>24020000</v>
      </c>
      <c r="J150" s="20"/>
      <c r="K150" s="20"/>
      <c r="L150" s="20"/>
      <c r="M150" s="20"/>
      <c r="N150" s="20"/>
      <c r="O150" s="20"/>
      <c r="P150" s="20"/>
      <c r="Q150" s="20"/>
      <c r="R150" s="20"/>
      <c r="S150" s="20"/>
      <c r="T150" s="20"/>
      <c r="U150" s="20"/>
      <c r="V150" s="20"/>
      <c r="W150" s="20"/>
      <c r="X150" s="20">
        <f>+H150-I150</f>
        <v>456380000</v>
      </c>
      <c r="Y150" s="20">
        <f t="shared" si="111"/>
        <v>432360000</v>
      </c>
      <c r="Z150" s="20">
        <f t="shared" si="112"/>
        <v>408340000</v>
      </c>
      <c r="AA150" s="20">
        <f t="shared" si="113"/>
        <v>384320000</v>
      </c>
      <c r="AB150" s="20">
        <f t="shared" si="114"/>
        <v>360300000</v>
      </c>
      <c r="AC150" s="20">
        <f t="shared" si="115"/>
        <v>336280000</v>
      </c>
      <c r="AE150" s="21">
        <f>SUM(I136:I150)</f>
        <v>297390000</v>
      </c>
      <c r="AF150" s="21">
        <f>SUM(X136:X150)</f>
        <v>3741295000</v>
      </c>
      <c r="AG150" s="21">
        <f t="shared" si="116"/>
        <v>183010000</v>
      </c>
    </row>
    <row r="151" spans="1:33" x14ac:dyDescent="0.2">
      <c r="A151">
        <v>16</v>
      </c>
      <c r="B151" t="s">
        <v>179</v>
      </c>
      <c r="C151" s="18" t="s">
        <v>95</v>
      </c>
      <c r="D151" s="22">
        <f>$D144</f>
        <v>3924000000</v>
      </c>
      <c r="E151" s="22">
        <f>$E144</f>
        <v>5268000000</v>
      </c>
      <c r="F151" s="22">
        <f>$F144</f>
        <v>7339000000</v>
      </c>
      <c r="G151" s="23">
        <f t="shared" si="118"/>
        <v>20</v>
      </c>
      <c r="H151" s="4">
        <v>505700000</v>
      </c>
      <c r="I151" s="20">
        <f t="shared" si="117"/>
        <v>25285000</v>
      </c>
      <c r="J151" s="20"/>
      <c r="K151" s="20"/>
      <c r="L151" s="20"/>
      <c r="M151" s="20"/>
      <c r="N151" s="20"/>
      <c r="O151" s="20"/>
      <c r="P151" s="20"/>
      <c r="Q151" s="20"/>
      <c r="R151" s="20"/>
      <c r="S151" s="20"/>
      <c r="T151" s="20"/>
      <c r="U151" s="20"/>
      <c r="V151" s="20"/>
      <c r="W151" s="20"/>
      <c r="X151" s="20"/>
      <c r="Y151" s="20">
        <f>+H151-I151</f>
        <v>480415000</v>
      </c>
      <c r="Z151" s="20">
        <f t="shared" si="112"/>
        <v>455130000</v>
      </c>
      <c r="AA151" s="20">
        <f t="shared" si="113"/>
        <v>429845000</v>
      </c>
      <c r="AB151" s="20">
        <f t="shared" si="114"/>
        <v>404560000</v>
      </c>
      <c r="AC151" s="20">
        <f t="shared" si="115"/>
        <v>379275000</v>
      </c>
      <c r="AE151" s="21">
        <f>SUM(I136:I151)</f>
        <v>322675000</v>
      </c>
      <c r="AF151" s="21">
        <f>SUM(Y136:Y151)</f>
        <v>3924320000</v>
      </c>
      <c r="AG151" s="21">
        <f t="shared" si="116"/>
        <v>183025000</v>
      </c>
    </row>
    <row r="152" spans="1:33" x14ac:dyDescent="0.2">
      <c r="A152">
        <v>17</v>
      </c>
      <c r="B152" t="s">
        <v>179</v>
      </c>
      <c r="C152" s="18" t="s">
        <v>94</v>
      </c>
      <c r="D152" s="22">
        <f>$D144</f>
        <v>3924000000</v>
      </c>
      <c r="E152" s="22">
        <f>$E144</f>
        <v>5268000000</v>
      </c>
      <c r="F152" s="22">
        <f>$F144</f>
        <v>7339000000</v>
      </c>
      <c r="G152" s="23">
        <f t="shared" si="118"/>
        <v>20</v>
      </c>
      <c r="H152" s="4">
        <v>494500000</v>
      </c>
      <c r="I152" s="20">
        <f t="shared" si="117"/>
        <v>24725000</v>
      </c>
      <c r="J152" s="20"/>
      <c r="K152" s="20"/>
      <c r="L152" s="20"/>
      <c r="M152" s="20"/>
      <c r="N152" s="20"/>
      <c r="O152" s="20"/>
      <c r="P152" s="20"/>
      <c r="Q152" s="20"/>
      <c r="R152" s="20"/>
      <c r="S152" s="20"/>
      <c r="T152" s="20"/>
      <c r="U152" s="20"/>
      <c r="V152" s="20"/>
      <c r="W152" s="20"/>
      <c r="X152" s="20"/>
      <c r="Y152" s="20"/>
      <c r="Z152" s="20">
        <f>+H152-I152</f>
        <v>469775000</v>
      </c>
      <c r="AA152" s="20">
        <f t="shared" si="113"/>
        <v>445050000</v>
      </c>
      <c r="AB152" s="20">
        <f t="shared" si="114"/>
        <v>420325000</v>
      </c>
      <c r="AC152" s="20">
        <f t="shared" si="115"/>
        <v>395600000</v>
      </c>
      <c r="AE152" s="21">
        <f>SUM(I136:I152)</f>
        <v>347400000</v>
      </c>
      <c r="AF152" s="21">
        <f>SUM(Z136:Z152)</f>
        <v>4071420000</v>
      </c>
      <c r="AG152" s="21">
        <f t="shared" si="116"/>
        <v>147100000</v>
      </c>
    </row>
    <row r="153" spans="1:33" x14ac:dyDescent="0.2">
      <c r="A153">
        <v>18</v>
      </c>
      <c r="B153" t="s">
        <v>179</v>
      </c>
      <c r="C153" s="18" t="s">
        <v>93</v>
      </c>
      <c r="D153" s="22">
        <f>$D144</f>
        <v>3924000000</v>
      </c>
      <c r="E153" s="22">
        <f>$E144</f>
        <v>5268000000</v>
      </c>
      <c r="F153" s="22">
        <f>$F144</f>
        <v>7339000000</v>
      </c>
      <c r="G153" s="23">
        <f t="shared" si="118"/>
        <v>20</v>
      </c>
      <c r="H153" s="4">
        <v>503499999.99999988</v>
      </c>
      <c r="I153" s="20">
        <f t="shared" si="117"/>
        <v>25174999.999999993</v>
      </c>
      <c r="J153" s="20"/>
      <c r="K153" s="20"/>
      <c r="L153" s="20"/>
      <c r="M153" s="20"/>
      <c r="N153" s="20"/>
      <c r="O153" s="20"/>
      <c r="P153" s="20"/>
      <c r="Q153" s="20"/>
      <c r="R153" s="20"/>
      <c r="S153" s="20"/>
      <c r="T153" s="20"/>
      <c r="U153" s="20"/>
      <c r="V153" s="20"/>
      <c r="W153" s="20"/>
      <c r="X153" s="20"/>
      <c r="Y153" s="20"/>
      <c r="Z153" s="20"/>
      <c r="AA153" s="20">
        <f>+H153-I153</f>
        <v>478324999.99999988</v>
      </c>
      <c r="AB153" s="20">
        <f t="shared" si="114"/>
        <v>453149999.99999988</v>
      </c>
      <c r="AC153" s="20">
        <f t="shared" si="115"/>
        <v>427974999.99999988</v>
      </c>
      <c r="AE153" s="21">
        <f>SUM(I136:I153)</f>
        <v>372575000</v>
      </c>
      <c r="AF153" s="21">
        <f>SUM(AA136:AA153)</f>
        <v>4202345000</v>
      </c>
      <c r="AG153" s="21">
        <f t="shared" si="116"/>
        <v>130924999.99999988</v>
      </c>
    </row>
    <row r="154" spans="1:33" x14ac:dyDescent="0.2">
      <c r="A154">
        <v>19</v>
      </c>
      <c r="B154" t="s">
        <v>179</v>
      </c>
      <c r="C154" s="18" t="s">
        <v>141</v>
      </c>
      <c r="D154" s="22">
        <f>$D144</f>
        <v>3924000000</v>
      </c>
      <c r="E154" s="22">
        <f>$E144</f>
        <v>5268000000</v>
      </c>
      <c r="F154" s="22">
        <f>$F144</f>
        <v>7339000000</v>
      </c>
      <c r="G154" s="23">
        <f t="shared" si="118"/>
        <v>20</v>
      </c>
      <c r="H154" s="4">
        <v>528000000</v>
      </c>
      <c r="I154" s="20">
        <f t="shared" si="117"/>
        <v>26400000</v>
      </c>
      <c r="J154" s="20"/>
      <c r="K154" s="20"/>
      <c r="L154" s="20"/>
      <c r="M154" s="20"/>
      <c r="N154" s="20"/>
      <c r="O154" s="20"/>
      <c r="P154" s="20"/>
      <c r="Q154" s="20"/>
      <c r="R154" s="20"/>
      <c r="S154" s="20"/>
      <c r="T154" s="20"/>
      <c r="U154" s="20"/>
      <c r="V154" s="20"/>
      <c r="W154" s="20"/>
      <c r="X154" s="20"/>
      <c r="Y154" s="20"/>
      <c r="Z154" s="20"/>
      <c r="AA154" s="20"/>
      <c r="AB154" s="20">
        <f>+H154-I154</f>
        <v>501600000</v>
      </c>
      <c r="AC154" s="20">
        <f t="shared" si="115"/>
        <v>475200000</v>
      </c>
      <c r="AE154" s="21">
        <f>SUM(I136:I154)</f>
        <v>398975000</v>
      </c>
      <c r="AF154" s="21">
        <f>SUM(AB136:AB154)</f>
        <v>4331370000</v>
      </c>
      <c r="AG154" s="21">
        <f t="shared" si="116"/>
        <v>129025000</v>
      </c>
    </row>
    <row r="155" spans="1:33" x14ac:dyDescent="0.2">
      <c r="A155">
        <v>20</v>
      </c>
      <c r="B155" t="s">
        <v>179</v>
      </c>
      <c r="C155" s="18" t="s">
        <v>160</v>
      </c>
      <c r="D155" s="22">
        <f>$D144</f>
        <v>3924000000</v>
      </c>
      <c r="E155" s="22">
        <f>$E144</f>
        <v>5268000000</v>
      </c>
      <c r="F155" s="22">
        <f>$F144</f>
        <v>7339000000</v>
      </c>
      <c r="G155" s="23">
        <f t="shared" si="118"/>
        <v>20</v>
      </c>
      <c r="H155" s="4">
        <v>511000000</v>
      </c>
      <c r="I155" s="20">
        <f t="shared" si="117"/>
        <v>25550000</v>
      </c>
      <c r="J155" s="20"/>
      <c r="K155" s="20"/>
      <c r="L155" s="20"/>
      <c r="M155" s="20"/>
      <c r="N155" s="20"/>
      <c r="O155" s="20"/>
      <c r="P155" s="20"/>
      <c r="Q155" s="20"/>
      <c r="R155" s="20"/>
      <c r="S155" s="20"/>
      <c r="T155" s="20"/>
      <c r="U155" s="20"/>
      <c r="V155" s="20"/>
      <c r="W155" s="20"/>
      <c r="X155" s="20"/>
      <c r="Y155" s="20"/>
      <c r="Z155" s="20"/>
      <c r="AA155" s="20"/>
      <c r="AB155" s="20"/>
      <c r="AC155" s="20">
        <f>+H155-I155</f>
        <v>485450000</v>
      </c>
      <c r="AE155" s="21">
        <f>SUM(I136:I155)</f>
        <v>424525000</v>
      </c>
      <c r="AF155" s="21">
        <f>SUM(AC136:AC155)</f>
        <v>4417845000</v>
      </c>
      <c r="AG155" s="21">
        <f t="shared" si="116"/>
        <v>86475000</v>
      </c>
    </row>
    <row r="158" spans="1:33" x14ac:dyDescent="0.2">
      <c r="I158" s="3"/>
    </row>
    <row r="159" spans="1:33" x14ac:dyDescent="0.2">
      <c r="C159" t="s">
        <v>303</v>
      </c>
    </row>
    <row r="160" spans="1:33" x14ac:dyDescent="0.2">
      <c r="C160" s="6" t="s">
        <v>107</v>
      </c>
      <c r="D160" s="6" t="s">
        <v>438</v>
      </c>
      <c r="E160" s="6" t="s">
        <v>439</v>
      </c>
      <c r="F160" s="6" t="s">
        <v>440</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2: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2:33" x14ac:dyDescent="0.2">
      <c r="B162" t="s">
        <v>303</v>
      </c>
      <c r="C162" s="18" t="s">
        <v>104</v>
      </c>
      <c r="D162" s="4">
        <v>0</v>
      </c>
      <c r="E162" s="4">
        <v>0</v>
      </c>
      <c r="F162" s="4">
        <v>0</v>
      </c>
      <c r="G162" s="19">
        <v>20</v>
      </c>
      <c r="H162" s="4">
        <v>0</v>
      </c>
      <c r="J162" s="20">
        <f t="shared" ref="J162:J173" si="119">H162</f>
        <v>0</v>
      </c>
      <c r="K162" s="20">
        <f>$F162/4</f>
        <v>0</v>
      </c>
      <c r="L162" s="20">
        <f>$F162/4</f>
        <v>0</v>
      </c>
      <c r="M162" s="20">
        <f>$F162/4</f>
        <v>0</v>
      </c>
      <c r="N162" s="20">
        <f>$F162/4</f>
        <v>0</v>
      </c>
      <c r="O162" s="20">
        <f>$E162/4</f>
        <v>0</v>
      </c>
      <c r="P162" s="20">
        <f>$E162/4</f>
        <v>0</v>
      </c>
      <c r="Q162" s="20">
        <f>$E162/4</f>
        <v>0</v>
      </c>
      <c r="R162" s="20">
        <f>$E162/4</f>
        <v>0</v>
      </c>
      <c r="S162" s="20">
        <f>$D162/4</f>
        <v>0</v>
      </c>
      <c r="T162" s="20">
        <f>$D162/4</f>
        <v>0</v>
      </c>
      <c r="U162" s="20">
        <f>$D162/4</f>
        <v>0</v>
      </c>
      <c r="V162" s="20">
        <f>$D162/4</f>
        <v>0</v>
      </c>
      <c r="W162" s="20">
        <v>0</v>
      </c>
      <c r="X162" s="20">
        <v>0</v>
      </c>
      <c r="Y162" s="20">
        <v>0</v>
      </c>
      <c r="Z162" s="20">
        <v>0</v>
      </c>
      <c r="AA162" s="20">
        <v>0</v>
      </c>
      <c r="AB162" s="20">
        <v>0</v>
      </c>
      <c r="AC162" s="20">
        <v>0</v>
      </c>
      <c r="AE162" s="21">
        <f>SUM(J162:AC162)/$G162</f>
        <v>0</v>
      </c>
      <c r="AF162" s="21">
        <f>SUMPRODUCT($J$161:$AC$161,J162:AC162)/$G162</f>
        <v>0</v>
      </c>
      <c r="AG162" s="21">
        <f t="shared" ref="AG162:AG173" si="120">H162-AE162</f>
        <v>0</v>
      </c>
    </row>
    <row r="163" spans="2:33" x14ac:dyDescent="0.2">
      <c r="B163" t="s">
        <v>303</v>
      </c>
      <c r="C163" s="18" t="s">
        <v>103</v>
      </c>
      <c r="D163" s="22">
        <f>$D162</f>
        <v>0</v>
      </c>
      <c r="E163" s="22">
        <f>$E162</f>
        <v>0</v>
      </c>
      <c r="F163" s="22">
        <f>$F162</f>
        <v>0</v>
      </c>
      <c r="G163" s="23">
        <f>$G$162</f>
        <v>20</v>
      </c>
      <c r="H163" s="4">
        <v>0</v>
      </c>
      <c r="J163" s="20">
        <f t="shared" si="119"/>
        <v>0</v>
      </c>
      <c r="K163" s="20">
        <f t="shared" ref="K163:K173" si="121">H162</f>
        <v>0</v>
      </c>
      <c r="L163" s="20">
        <f>$F162/4</f>
        <v>0</v>
      </c>
      <c r="M163" s="20">
        <f>$F162/4</f>
        <v>0</v>
      </c>
      <c r="N163" s="20">
        <f>$F162/4</f>
        <v>0</v>
      </c>
      <c r="O163" s="20">
        <f>$F162/4</f>
        <v>0</v>
      </c>
      <c r="P163" s="20">
        <f>$E162/4</f>
        <v>0</v>
      </c>
      <c r="Q163" s="20">
        <f>$E162/4</f>
        <v>0</v>
      </c>
      <c r="R163" s="20">
        <f>$E162/4</f>
        <v>0</v>
      </c>
      <c r="S163" s="20">
        <f>$E162/4</f>
        <v>0</v>
      </c>
      <c r="T163" s="20">
        <f>$D162/4</f>
        <v>0</v>
      </c>
      <c r="U163" s="20">
        <f>$D162/4</f>
        <v>0</v>
      </c>
      <c r="V163" s="20">
        <f>$D162/4</f>
        <v>0</v>
      </c>
      <c r="W163" s="20">
        <f>$D162/4</f>
        <v>0</v>
      </c>
      <c r="X163" s="20">
        <v>0</v>
      </c>
      <c r="Y163" s="20">
        <v>0</v>
      </c>
      <c r="Z163" s="20">
        <v>0</v>
      </c>
      <c r="AA163" s="20">
        <v>0</v>
      </c>
      <c r="AB163" s="20">
        <v>0</v>
      </c>
      <c r="AC163" s="20">
        <v>0</v>
      </c>
      <c r="AE163" s="21">
        <f t="shared" ref="AE163:AE173" si="122">SUM(J163:AC163)/$G163</f>
        <v>0</v>
      </c>
      <c r="AF163" s="21">
        <f t="shared" ref="AF163:AF173" si="123">SUMPRODUCT($J$161:$AC$161,J163:AC163)/$G163</f>
        <v>0</v>
      </c>
      <c r="AG163" s="21">
        <f t="shared" si="120"/>
        <v>0</v>
      </c>
    </row>
    <row r="164" spans="2:33" x14ac:dyDescent="0.2">
      <c r="B164" t="s">
        <v>303</v>
      </c>
      <c r="C164" s="18" t="s">
        <v>102</v>
      </c>
      <c r="D164" s="22">
        <f>$D162</f>
        <v>0</v>
      </c>
      <c r="E164" s="22">
        <f>$E162</f>
        <v>0</v>
      </c>
      <c r="F164" s="22">
        <f>$F162</f>
        <v>0</v>
      </c>
      <c r="G164" s="23">
        <f t="shared" ref="G164:G173" si="124">$G$162</f>
        <v>20</v>
      </c>
      <c r="H164" s="4">
        <v>0</v>
      </c>
      <c r="J164" s="20">
        <f t="shared" si="119"/>
        <v>0</v>
      </c>
      <c r="K164" s="20">
        <f t="shared" si="121"/>
        <v>0</v>
      </c>
      <c r="L164" s="20">
        <f t="shared" ref="L164:L173" si="125">H162</f>
        <v>0</v>
      </c>
      <c r="M164" s="20">
        <f>$F162/4</f>
        <v>0</v>
      </c>
      <c r="N164" s="20">
        <f>$F162/4</f>
        <v>0</v>
      </c>
      <c r="O164" s="20">
        <f>$F162/4</f>
        <v>0</v>
      </c>
      <c r="P164" s="20">
        <f>$F162/4</f>
        <v>0</v>
      </c>
      <c r="Q164" s="20">
        <f>$E162/4</f>
        <v>0</v>
      </c>
      <c r="R164" s="20">
        <f>$E162/4</f>
        <v>0</v>
      </c>
      <c r="S164" s="20">
        <f>$E162/4</f>
        <v>0</v>
      </c>
      <c r="T164" s="20">
        <f>$E162/4</f>
        <v>0</v>
      </c>
      <c r="U164" s="20">
        <f>$D162/4</f>
        <v>0</v>
      </c>
      <c r="V164" s="20">
        <f>$D162/4</f>
        <v>0</v>
      </c>
      <c r="W164" s="20">
        <f>$D162/4</f>
        <v>0</v>
      </c>
      <c r="X164" s="20">
        <f>$D162/4</f>
        <v>0</v>
      </c>
      <c r="Y164" s="20">
        <v>0</v>
      </c>
      <c r="Z164" s="20">
        <v>0</v>
      </c>
      <c r="AA164" s="20">
        <v>0</v>
      </c>
      <c r="AB164" s="20">
        <v>0</v>
      </c>
      <c r="AC164" s="20">
        <v>0</v>
      </c>
      <c r="AE164" s="21">
        <f t="shared" si="122"/>
        <v>0</v>
      </c>
      <c r="AF164" s="21">
        <f t="shared" si="123"/>
        <v>0</v>
      </c>
      <c r="AG164" s="21">
        <f t="shared" si="120"/>
        <v>0</v>
      </c>
    </row>
    <row r="165" spans="2:33" x14ac:dyDescent="0.2">
      <c r="B165" t="s">
        <v>303</v>
      </c>
      <c r="C165" s="18" t="s">
        <v>101</v>
      </c>
      <c r="D165" s="22">
        <f>$D162</f>
        <v>0</v>
      </c>
      <c r="E165" s="22">
        <f>$E162</f>
        <v>0</v>
      </c>
      <c r="F165" s="22">
        <f>$F162</f>
        <v>0</v>
      </c>
      <c r="G165" s="23">
        <f t="shared" si="124"/>
        <v>20</v>
      </c>
      <c r="H165" s="4">
        <v>0</v>
      </c>
      <c r="J165" s="20">
        <f t="shared" si="119"/>
        <v>0</v>
      </c>
      <c r="K165" s="20">
        <f t="shared" si="121"/>
        <v>0</v>
      </c>
      <c r="L165" s="20">
        <f t="shared" si="125"/>
        <v>0</v>
      </c>
      <c r="M165" s="20">
        <f t="shared" ref="M165:M173" si="126">H162</f>
        <v>0</v>
      </c>
      <c r="N165" s="20">
        <f>$F162/4</f>
        <v>0</v>
      </c>
      <c r="O165" s="20">
        <f>$F162/4</f>
        <v>0</v>
      </c>
      <c r="P165" s="20">
        <f>$F162/4</f>
        <v>0</v>
      </c>
      <c r="Q165" s="20">
        <f>$F162/4</f>
        <v>0</v>
      </c>
      <c r="R165" s="20">
        <f>$E162/4</f>
        <v>0</v>
      </c>
      <c r="S165" s="20">
        <f>$E162/4</f>
        <v>0</v>
      </c>
      <c r="T165" s="20">
        <f>$E162/4</f>
        <v>0</v>
      </c>
      <c r="U165" s="20">
        <f>$E162/4</f>
        <v>0</v>
      </c>
      <c r="V165" s="20">
        <f>$D162/4</f>
        <v>0</v>
      </c>
      <c r="W165" s="20">
        <f>$D162/4</f>
        <v>0</v>
      </c>
      <c r="X165" s="20">
        <f>$D162/4</f>
        <v>0</v>
      </c>
      <c r="Y165" s="20">
        <f>$D162/4</f>
        <v>0</v>
      </c>
      <c r="Z165" s="20">
        <v>0</v>
      </c>
      <c r="AA165" s="20">
        <v>0</v>
      </c>
      <c r="AB165" s="20">
        <v>0</v>
      </c>
      <c r="AC165" s="20">
        <v>0</v>
      </c>
      <c r="AE165" s="21">
        <f t="shared" si="122"/>
        <v>0</v>
      </c>
      <c r="AF165" s="21">
        <f t="shared" si="123"/>
        <v>0</v>
      </c>
      <c r="AG165" s="21">
        <f t="shared" si="120"/>
        <v>0</v>
      </c>
    </row>
    <row r="166" spans="2:33" x14ac:dyDescent="0.2">
      <c r="B166" t="s">
        <v>303</v>
      </c>
      <c r="C166" s="18" t="s">
        <v>100</v>
      </c>
      <c r="D166" s="22">
        <f>$D162</f>
        <v>0</v>
      </c>
      <c r="E166" s="22">
        <f>$E162</f>
        <v>0</v>
      </c>
      <c r="F166" s="22">
        <f>$F162</f>
        <v>0</v>
      </c>
      <c r="G166" s="23">
        <f t="shared" si="124"/>
        <v>20</v>
      </c>
      <c r="H166" s="4">
        <v>0</v>
      </c>
      <c r="J166" s="20">
        <f t="shared" si="119"/>
        <v>0</v>
      </c>
      <c r="K166" s="20">
        <f t="shared" si="121"/>
        <v>0</v>
      </c>
      <c r="L166" s="20">
        <f t="shared" si="125"/>
        <v>0</v>
      </c>
      <c r="M166" s="20">
        <f t="shared" si="126"/>
        <v>0</v>
      </c>
      <c r="N166" s="20">
        <f t="shared" ref="N166:N173" si="127">H162</f>
        <v>0</v>
      </c>
      <c r="O166" s="20">
        <f>$F162/4</f>
        <v>0</v>
      </c>
      <c r="P166" s="20">
        <f>$F162/4</f>
        <v>0</v>
      </c>
      <c r="Q166" s="20">
        <f>$F162/4</f>
        <v>0</v>
      </c>
      <c r="R166" s="20">
        <f>$F162/4</f>
        <v>0</v>
      </c>
      <c r="S166" s="20">
        <f>$E162/4</f>
        <v>0</v>
      </c>
      <c r="T166" s="20">
        <f>$E162/4</f>
        <v>0</v>
      </c>
      <c r="U166" s="20">
        <f>$E162/4</f>
        <v>0</v>
      </c>
      <c r="V166" s="20">
        <f>$E162/4</f>
        <v>0</v>
      </c>
      <c r="W166" s="20">
        <f>$D162/4</f>
        <v>0</v>
      </c>
      <c r="X166" s="20">
        <f>$D162/4</f>
        <v>0</v>
      </c>
      <c r="Y166" s="20">
        <f>$D162/4</f>
        <v>0</v>
      </c>
      <c r="Z166" s="20">
        <f>$D162/4</f>
        <v>0</v>
      </c>
      <c r="AA166" s="20">
        <v>0</v>
      </c>
      <c r="AB166" s="20">
        <v>0</v>
      </c>
      <c r="AC166" s="20">
        <v>0</v>
      </c>
      <c r="AE166" s="21">
        <f t="shared" si="122"/>
        <v>0</v>
      </c>
      <c r="AF166" s="21">
        <f t="shared" si="123"/>
        <v>0</v>
      </c>
      <c r="AG166" s="21">
        <f t="shared" si="120"/>
        <v>0</v>
      </c>
    </row>
    <row r="167" spans="2:33" x14ac:dyDescent="0.2">
      <c r="B167" t="s">
        <v>303</v>
      </c>
      <c r="C167" s="18" t="s">
        <v>99</v>
      </c>
      <c r="D167" s="22">
        <f>$D162</f>
        <v>0</v>
      </c>
      <c r="E167" s="22">
        <f>$E162</f>
        <v>0</v>
      </c>
      <c r="F167" s="22">
        <f>$F162</f>
        <v>0</v>
      </c>
      <c r="G167" s="23">
        <f t="shared" si="124"/>
        <v>20</v>
      </c>
      <c r="H167" s="4">
        <v>10719142</v>
      </c>
      <c r="J167" s="20">
        <f t="shared" si="119"/>
        <v>10719142</v>
      </c>
      <c r="K167" s="20">
        <f t="shared" si="121"/>
        <v>0</v>
      </c>
      <c r="L167" s="20">
        <f t="shared" si="125"/>
        <v>0</v>
      </c>
      <c r="M167" s="20">
        <f t="shared" si="126"/>
        <v>0</v>
      </c>
      <c r="N167" s="20">
        <f t="shared" si="127"/>
        <v>0</v>
      </c>
      <c r="O167" s="20">
        <f t="shared" ref="O167:O173" si="128">H162</f>
        <v>0</v>
      </c>
      <c r="P167" s="20">
        <f>$F162/4</f>
        <v>0</v>
      </c>
      <c r="Q167" s="20">
        <f>$F162/4</f>
        <v>0</v>
      </c>
      <c r="R167" s="20">
        <f>$F162/4</f>
        <v>0</v>
      </c>
      <c r="S167" s="20">
        <f>$F162/4</f>
        <v>0</v>
      </c>
      <c r="T167" s="20">
        <f>$E162/4</f>
        <v>0</v>
      </c>
      <c r="U167" s="20">
        <f>$E162/4</f>
        <v>0</v>
      </c>
      <c r="V167" s="20">
        <f>$E162/4</f>
        <v>0</v>
      </c>
      <c r="W167" s="20">
        <f>$E162/4</f>
        <v>0</v>
      </c>
      <c r="X167" s="20">
        <f>$D162/4</f>
        <v>0</v>
      </c>
      <c r="Y167" s="20">
        <f>$D162/4</f>
        <v>0</v>
      </c>
      <c r="Z167" s="20">
        <f>$D162/4</f>
        <v>0</v>
      </c>
      <c r="AA167" s="20">
        <f>$D162/4</f>
        <v>0</v>
      </c>
      <c r="AB167" s="20">
        <v>0</v>
      </c>
      <c r="AC167" s="20">
        <v>0</v>
      </c>
      <c r="AE167" s="21">
        <f t="shared" si="122"/>
        <v>535957.1</v>
      </c>
      <c r="AF167" s="21">
        <f t="shared" si="123"/>
        <v>10719142</v>
      </c>
      <c r="AG167" s="21">
        <f t="shared" si="120"/>
        <v>10183184.9</v>
      </c>
    </row>
    <row r="168" spans="2:33" x14ac:dyDescent="0.2">
      <c r="B168" t="s">
        <v>303</v>
      </c>
      <c r="C168" s="18" t="s">
        <v>98</v>
      </c>
      <c r="D168" s="22">
        <f>$D162</f>
        <v>0</v>
      </c>
      <c r="E168" s="22">
        <f>$E162</f>
        <v>0</v>
      </c>
      <c r="F168" s="22">
        <f>$F162</f>
        <v>0</v>
      </c>
      <c r="G168" s="23">
        <f t="shared" si="124"/>
        <v>20</v>
      </c>
      <c r="H168" s="4">
        <v>5049070</v>
      </c>
      <c r="J168" s="20">
        <f t="shared" si="119"/>
        <v>5049070</v>
      </c>
      <c r="K168" s="20">
        <f t="shared" si="121"/>
        <v>10719142</v>
      </c>
      <c r="L168" s="20">
        <f t="shared" si="125"/>
        <v>0</v>
      </c>
      <c r="M168" s="20">
        <f t="shared" si="126"/>
        <v>0</v>
      </c>
      <c r="N168" s="20">
        <f t="shared" si="127"/>
        <v>0</v>
      </c>
      <c r="O168" s="20">
        <f t="shared" si="128"/>
        <v>0</v>
      </c>
      <c r="P168" s="20">
        <f t="shared" ref="P168:P173" si="129">H162</f>
        <v>0</v>
      </c>
      <c r="Q168" s="20">
        <f>$F162/4</f>
        <v>0</v>
      </c>
      <c r="R168" s="20">
        <f>$F162/4</f>
        <v>0</v>
      </c>
      <c r="S168" s="20">
        <f>$F162/4</f>
        <v>0</v>
      </c>
      <c r="T168" s="20">
        <f>$F162/4</f>
        <v>0</v>
      </c>
      <c r="U168" s="20">
        <f>$E162/4</f>
        <v>0</v>
      </c>
      <c r="V168" s="20">
        <f>$E162/4</f>
        <v>0</v>
      </c>
      <c r="W168" s="20">
        <f>$E162/4</f>
        <v>0</v>
      </c>
      <c r="X168" s="20">
        <f>$E162/4</f>
        <v>0</v>
      </c>
      <c r="Y168" s="20">
        <f>$D162/4</f>
        <v>0</v>
      </c>
      <c r="Z168" s="20">
        <f>$D162/4</f>
        <v>0</v>
      </c>
      <c r="AA168" s="20">
        <f>$D162/4</f>
        <v>0</v>
      </c>
      <c r="AB168" s="20">
        <f>$D162/4</f>
        <v>0</v>
      </c>
      <c r="AC168" s="20">
        <v>0</v>
      </c>
      <c r="AE168" s="21">
        <f t="shared" si="122"/>
        <v>788410.6</v>
      </c>
      <c r="AF168" s="21">
        <f t="shared" si="123"/>
        <v>15232254.9</v>
      </c>
      <c r="AG168" s="21">
        <f t="shared" si="120"/>
        <v>4260659.4000000004</v>
      </c>
    </row>
    <row r="169" spans="2:33" x14ac:dyDescent="0.2">
      <c r="B169" t="s">
        <v>303</v>
      </c>
      <c r="C169" s="18" t="s">
        <v>97</v>
      </c>
      <c r="D169" s="22">
        <f>$D162</f>
        <v>0</v>
      </c>
      <c r="E169" s="22">
        <f>$E162</f>
        <v>0</v>
      </c>
      <c r="F169" s="22">
        <f>$F162</f>
        <v>0</v>
      </c>
      <c r="G169" s="23">
        <f t="shared" si="124"/>
        <v>20</v>
      </c>
      <c r="H169" s="4">
        <v>10942788</v>
      </c>
      <c r="J169" s="20">
        <f t="shared" si="119"/>
        <v>10942788</v>
      </c>
      <c r="K169" s="20">
        <f t="shared" si="121"/>
        <v>5049070</v>
      </c>
      <c r="L169" s="20">
        <f t="shared" si="125"/>
        <v>10719142</v>
      </c>
      <c r="M169" s="20">
        <f t="shared" si="126"/>
        <v>0</v>
      </c>
      <c r="N169" s="20">
        <f t="shared" si="127"/>
        <v>0</v>
      </c>
      <c r="O169" s="20">
        <f t="shared" si="128"/>
        <v>0</v>
      </c>
      <c r="P169" s="20">
        <f t="shared" si="129"/>
        <v>0</v>
      </c>
      <c r="Q169" s="20">
        <f>H162</f>
        <v>0</v>
      </c>
      <c r="R169" s="20">
        <f>$F162/4</f>
        <v>0</v>
      </c>
      <c r="S169" s="20">
        <f>$F162/4</f>
        <v>0</v>
      </c>
      <c r="T169" s="20">
        <f>$F162/4</f>
        <v>0</v>
      </c>
      <c r="U169" s="20">
        <f>$F162/4</f>
        <v>0</v>
      </c>
      <c r="V169" s="20">
        <f>$E162/4</f>
        <v>0</v>
      </c>
      <c r="W169" s="20">
        <f>$E162/4</f>
        <v>0</v>
      </c>
      <c r="X169" s="20">
        <f>$E162/4</f>
        <v>0</v>
      </c>
      <c r="Y169" s="20">
        <f>$E162/4</f>
        <v>0</v>
      </c>
      <c r="Z169" s="20">
        <f>$D162/4</f>
        <v>0</v>
      </c>
      <c r="AA169" s="20">
        <f>$D162/4</f>
        <v>0</v>
      </c>
      <c r="AB169" s="20">
        <f>$D162/4</f>
        <v>0</v>
      </c>
      <c r="AC169" s="20">
        <f>$D162/4</f>
        <v>0</v>
      </c>
      <c r="AE169" s="21">
        <f t="shared" si="122"/>
        <v>1335550</v>
      </c>
      <c r="AF169" s="21">
        <f t="shared" si="123"/>
        <v>25386632.300000001</v>
      </c>
      <c r="AG169" s="21">
        <f t="shared" si="120"/>
        <v>9607238</v>
      </c>
    </row>
    <row r="170" spans="2:33" x14ac:dyDescent="0.2">
      <c r="B170" t="s">
        <v>303</v>
      </c>
      <c r="C170" s="18" t="s">
        <v>96</v>
      </c>
      <c r="D170" s="22">
        <f>$D162</f>
        <v>0</v>
      </c>
      <c r="E170" s="22">
        <f>$E162</f>
        <v>0</v>
      </c>
      <c r="F170" s="22">
        <f>$F162</f>
        <v>0</v>
      </c>
      <c r="G170" s="23">
        <f t="shared" si="124"/>
        <v>20</v>
      </c>
      <c r="H170" s="4">
        <v>7846000</v>
      </c>
      <c r="J170" s="20">
        <f t="shared" si="119"/>
        <v>7846000</v>
      </c>
      <c r="K170" s="20">
        <f t="shared" si="121"/>
        <v>10942788</v>
      </c>
      <c r="L170" s="20">
        <f t="shared" si="125"/>
        <v>5049070</v>
      </c>
      <c r="M170" s="20">
        <f t="shared" si="126"/>
        <v>10719142</v>
      </c>
      <c r="N170" s="20">
        <f t="shared" si="127"/>
        <v>0</v>
      </c>
      <c r="O170" s="20">
        <f t="shared" si="128"/>
        <v>0</v>
      </c>
      <c r="P170" s="20">
        <f t="shared" si="129"/>
        <v>0</v>
      </c>
      <c r="Q170" s="20">
        <f>H163</f>
        <v>0</v>
      </c>
      <c r="R170" s="20">
        <f>H162</f>
        <v>0</v>
      </c>
      <c r="S170" s="20">
        <f>$F162/4</f>
        <v>0</v>
      </c>
      <c r="T170" s="20">
        <f>$F162/4</f>
        <v>0</v>
      </c>
      <c r="U170" s="20">
        <f>$F162/4</f>
        <v>0</v>
      </c>
      <c r="V170" s="20">
        <f>$F162/4</f>
        <v>0</v>
      </c>
      <c r="W170" s="20">
        <f>$E162/4</f>
        <v>0</v>
      </c>
      <c r="X170" s="20">
        <f>$E162/4</f>
        <v>0</v>
      </c>
      <c r="Y170" s="20">
        <f>$E162/4</f>
        <v>0</v>
      </c>
      <c r="Z170" s="20">
        <f>$E162/4</f>
        <v>0</v>
      </c>
      <c r="AA170" s="20">
        <f>$D162/4</f>
        <v>0</v>
      </c>
      <c r="AB170" s="20">
        <f>$D162/4</f>
        <v>0</v>
      </c>
      <c r="AC170" s="20">
        <f>$D162/4</f>
        <v>0</v>
      </c>
      <c r="AE170" s="21">
        <f t="shared" si="122"/>
        <v>1727850</v>
      </c>
      <c r="AF170" s="21">
        <f t="shared" si="123"/>
        <v>31897082.300000001</v>
      </c>
      <c r="AG170" s="21">
        <f t="shared" si="120"/>
        <v>6118150</v>
      </c>
    </row>
    <row r="171" spans="2:33" x14ac:dyDescent="0.2">
      <c r="B171" t="s">
        <v>303</v>
      </c>
      <c r="C171" s="18" t="s">
        <v>95</v>
      </c>
      <c r="D171" s="22">
        <f>$D162</f>
        <v>0</v>
      </c>
      <c r="E171" s="22">
        <f>$E162</f>
        <v>0</v>
      </c>
      <c r="F171" s="22">
        <f>$F162</f>
        <v>0</v>
      </c>
      <c r="G171" s="23">
        <f t="shared" si="124"/>
        <v>20</v>
      </c>
      <c r="H171" s="4">
        <v>11468000</v>
      </c>
      <c r="J171" s="20">
        <f t="shared" si="119"/>
        <v>11468000</v>
      </c>
      <c r="K171" s="20">
        <f t="shared" si="121"/>
        <v>7846000</v>
      </c>
      <c r="L171" s="20">
        <f t="shared" si="125"/>
        <v>10942788</v>
      </c>
      <c r="M171" s="20">
        <f t="shared" si="126"/>
        <v>5049070</v>
      </c>
      <c r="N171" s="20">
        <f t="shared" si="127"/>
        <v>10719142</v>
      </c>
      <c r="O171" s="20">
        <f t="shared" si="128"/>
        <v>0</v>
      </c>
      <c r="P171" s="20">
        <f t="shared" si="129"/>
        <v>0</v>
      </c>
      <c r="Q171" s="20">
        <f>H164</f>
        <v>0</v>
      </c>
      <c r="R171" s="20">
        <f>H163</f>
        <v>0</v>
      </c>
      <c r="S171" s="20">
        <f>H162</f>
        <v>0</v>
      </c>
      <c r="T171" s="20">
        <f>$F162/4</f>
        <v>0</v>
      </c>
      <c r="U171" s="20">
        <f>$F162/4</f>
        <v>0</v>
      </c>
      <c r="V171" s="20">
        <f>$F162/4</f>
        <v>0</v>
      </c>
      <c r="W171" s="20">
        <f>$F162/4</f>
        <v>0</v>
      </c>
      <c r="X171" s="20">
        <f>$E162/4</f>
        <v>0</v>
      </c>
      <c r="Y171" s="20">
        <f>$E162/4</f>
        <v>0</v>
      </c>
      <c r="Z171" s="20">
        <f>$E162/4</f>
        <v>0</v>
      </c>
      <c r="AA171" s="20">
        <f>$E162/4</f>
        <v>0</v>
      </c>
      <c r="AB171" s="20">
        <f>$D162/4</f>
        <v>0</v>
      </c>
      <c r="AC171" s="20">
        <f>$D162/4</f>
        <v>0</v>
      </c>
      <c r="AE171" s="21">
        <f t="shared" si="122"/>
        <v>2301250</v>
      </c>
      <c r="AF171" s="21">
        <f t="shared" si="123"/>
        <v>41637232.299999997</v>
      </c>
      <c r="AG171" s="21">
        <f t="shared" si="120"/>
        <v>9166750</v>
      </c>
    </row>
    <row r="172" spans="2:33" x14ac:dyDescent="0.2">
      <c r="B172" t="s">
        <v>303</v>
      </c>
      <c r="C172" s="18" t="s">
        <v>94</v>
      </c>
      <c r="D172" s="22">
        <f>$D162</f>
        <v>0</v>
      </c>
      <c r="E172" s="22">
        <f>$E162</f>
        <v>0</v>
      </c>
      <c r="F172" s="22">
        <f>$F162</f>
        <v>0</v>
      </c>
      <c r="G172" s="23">
        <f t="shared" si="124"/>
        <v>20</v>
      </c>
      <c r="H172" s="4">
        <v>14945000</v>
      </c>
      <c r="J172" s="20">
        <f t="shared" si="119"/>
        <v>14945000</v>
      </c>
      <c r="K172" s="20">
        <f t="shared" si="121"/>
        <v>11468000</v>
      </c>
      <c r="L172" s="20">
        <f t="shared" si="125"/>
        <v>7846000</v>
      </c>
      <c r="M172" s="20">
        <f t="shared" si="126"/>
        <v>10942788</v>
      </c>
      <c r="N172" s="20">
        <f t="shared" si="127"/>
        <v>5049070</v>
      </c>
      <c r="O172" s="20">
        <f t="shared" si="128"/>
        <v>10719142</v>
      </c>
      <c r="P172" s="20">
        <f t="shared" si="129"/>
        <v>0</v>
      </c>
      <c r="Q172" s="20">
        <f>H165</f>
        <v>0</v>
      </c>
      <c r="R172" s="20">
        <f>H164</f>
        <v>0</v>
      </c>
      <c r="S172" s="20">
        <f>H163</f>
        <v>0</v>
      </c>
      <c r="T172" s="20">
        <f>H162</f>
        <v>0</v>
      </c>
      <c r="U172" s="20">
        <f>$F162/4</f>
        <v>0</v>
      </c>
      <c r="V172" s="20">
        <f>$F162/4</f>
        <v>0</v>
      </c>
      <c r="W172" s="20">
        <f>$F162/4</f>
        <v>0</v>
      </c>
      <c r="X172" s="20">
        <f>$F162/4</f>
        <v>0</v>
      </c>
      <c r="Y172" s="20">
        <f>$E162/4</f>
        <v>0</v>
      </c>
      <c r="Z172" s="20">
        <f>$E162/4</f>
        <v>0</v>
      </c>
      <c r="AA172" s="20">
        <f>$E162/4</f>
        <v>0</v>
      </c>
      <c r="AB172" s="20">
        <f>$E162/4</f>
        <v>0</v>
      </c>
      <c r="AC172" s="20">
        <f>$D162/4</f>
        <v>0</v>
      </c>
      <c r="AE172" s="21">
        <f t="shared" si="122"/>
        <v>3048500</v>
      </c>
      <c r="AF172" s="21">
        <f t="shared" si="123"/>
        <v>54280982.299999997</v>
      </c>
      <c r="AG172" s="21">
        <f t="shared" si="120"/>
        <v>11896500</v>
      </c>
    </row>
    <row r="173" spans="2:33" x14ac:dyDescent="0.2">
      <c r="B173" t="s">
        <v>303</v>
      </c>
      <c r="C173" s="18" t="s">
        <v>93</v>
      </c>
      <c r="D173" s="22">
        <f>$D162</f>
        <v>0</v>
      </c>
      <c r="E173" s="22">
        <f>$E162</f>
        <v>0</v>
      </c>
      <c r="F173" s="22">
        <f>$F162</f>
        <v>0</v>
      </c>
      <c r="G173" s="23">
        <f t="shared" si="124"/>
        <v>20</v>
      </c>
      <c r="H173" s="4">
        <v>24593000</v>
      </c>
      <c r="J173" s="20">
        <f t="shared" si="119"/>
        <v>24593000</v>
      </c>
      <c r="K173" s="20">
        <f t="shared" si="121"/>
        <v>14945000</v>
      </c>
      <c r="L173" s="20">
        <f t="shared" si="125"/>
        <v>11468000</v>
      </c>
      <c r="M173" s="20">
        <f t="shared" si="126"/>
        <v>7846000</v>
      </c>
      <c r="N173" s="20">
        <f t="shared" si="127"/>
        <v>10942788</v>
      </c>
      <c r="O173" s="20">
        <f t="shared" si="128"/>
        <v>5049070</v>
      </c>
      <c r="P173" s="20">
        <f t="shared" si="129"/>
        <v>10719142</v>
      </c>
      <c r="Q173" s="20">
        <f>H166</f>
        <v>0</v>
      </c>
      <c r="R173" s="20">
        <f>H165</f>
        <v>0</v>
      </c>
      <c r="S173" s="20">
        <f>H164</f>
        <v>0</v>
      </c>
      <c r="T173" s="20">
        <f>H163</f>
        <v>0</v>
      </c>
      <c r="U173" s="20">
        <f>H162</f>
        <v>0</v>
      </c>
      <c r="V173" s="20">
        <f>$F162/4</f>
        <v>0</v>
      </c>
      <c r="W173" s="20">
        <f>$F162/4</f>
        <v>0</v>
      </c>
      <c r="X173" s="20">
        <f>$F162/4</f>
        <v>0</v>
      </c>
      <c r="Y173" s="20">
        <f>$F162/4</f>
        <v>0</v>
      </c>
      <c r="Z173" s="20">
        <f>$E162/4</f>
        <v>0</v>
      </c>
      <c r="AA173" s="20">
        <f>$E162/4</f>
        <v>0</v>
      </c>
      <c r="AB173" s="20">
        <f>$E162/4</f>
        <v>0</v>
      </c>
      <c r="AC173" s="20">
        <f>$E162/4</f>
        <v>0</v>
      </c>
      <c r="AE173" s="21">
        <f t="shared" si="122"/>
        <v>4278150</v>
      </c>
      <c r="AF173" s="21">
        <f t="shared" si="123"/>
        <v>75825482.299999997</v>
      </c>
      <c r="AG173" s="21">
        <f t="shared" si="120"/>
        <v>20314850</v>
      </c>
    </row>
    <row r="174" spans="2:33" x14ac:dyDescent="0.2">
      <c r="I174" s="3"/>
    </row>
    <row r="175" spans="2:33" x14ac:dyDescent="0.2">
      <c r="I175" s="3"/>
    </row>
    <row r="176" spans="2:33" x14ac:dyDescent="0.2">
      <c r="C176" t="s">
        <v>342</v>
      </c>
    </row>
    <row r="177" spans="2:33" x14ac:dyDescent="0.2">
      <c r="C177" s="6" t="s">
        <v>107</v>
      </c>
      <c r="D177" s="6" t="s">
        <v>439</v>
      </c>
      <c r="E177" s="6" t="s">
        <v>440</v>
      </c>
      <c r="F177" s="6" t="s">
        <v>471</v>
      </c>
      <c r="G177" s="6" t="s">
        <v>441</v>
      </c>
      <c r="H177" s="6" t="s">
        <v>442</v>
      </c>
      <c r="I177" s="15"/>
      <c r="J177" s="6" t="s">
        <v>443</v>
      </c>
      <c r="K177" s="6" t="s">
        <v>444</v>
      </c>
      <c r="L177" s="6" t="s">
        <v>445</v>
      </c>
      <c r="M177" s="6" t="s">
        <v>446</v>
      </c>
      <c r="N177" s="6" t="s">
        <v>447</v>
      </c>
      <c r="O177" s="6" t="s">
        <v>448</v>
      </c>
      <c r="P177" s="6" t="s">
        <v>449</v>
      </c>
      <c r="Q177" s="6" t="s">
        <v>450</v>
      </c>
      <c r="R177" s="6" t="s">
        <v>451</v>
      </c>
      <c r="S177" s="6" t="s">
        <v>452</v>
      </c>
      <c r="T177" s="6" t="s">
        <v>453</v>
      </c>
      <c r="U177" s="6" t="s">
        <v>454</v>
      </c>
      <c r="V177" s="6" t="s">
        <v>455</v>
      </c>
      <c r="W177" s="6" t="s">
        <v>456</v>
      </c>
      <c r="X177" s="6" t="s">
        <v>457</v>
      </c>
      <c r="Y177" s="6" t="s">
        <v>458</v>
      </c>
      <c r="Z177" s="6" t="s">
        <v>459</v>
      </c>
      <c r="AA177" s="6" t="s">
        <v>460</v>
      </c>
      <c r="AB177" s="6" t="s">
        <v>461</v>
      </c>
      <c r="AC177" s="6" t="s">
        <v>462</v>
      </c>
      <c r="AD177" s="15"/>
      <c r="AE177" s="6" t="s">
        <v>106</v>
      </c>
      <c r="AF177" s="6" t="s">
        <v>105</v>
      </c>
      <c r="AG177" s="6" t="s">
        <v>463</v>
      </c>
    </row>
    <row r="178" spans="2:33" x14ac:dyDescent="0.2">
      <c r="C178" s="16" t="s">
        <v>464</v>
      </c>
      <c r="J178" s="17">
        <v>20</v>
      </c>
      <c r="K178" s="17">
        <v>19</v>
      </c>
      <c r="L178" s="17">
        <v>18</v>
      </c>
      <c r="M178" s="17">
        <v>17</v>
      </c>
      <c r="N178" s="17">
        <v>16</v>
      </c>
      <c r="O178" s="17">
        <v>15</v>
      </c>
      <c r="P178" s="17">
        <v>14</v>
      </c>
      <c r="Q178" s="17">
        <v>13</v>
      </c>
      <c r="R178" s="17">
        <v>12</v>
      </c>
      <c r="S178" s="17">
        <v>11</v>
      </c>
      <c r="T178" s="17">
        <v>10</v>
      </c>
      <c r="U178" s="17">
        <v>9</v>
      </c>
      <c r="V178" s="17">
        <v>8</v>
      </c>
      <c r="W178" s="17">
        <v>7</v>
      </c>
      <c r="X178" s="17">
        <v>6</v>
      </c>
      <c r="Y178" s="17">
        <v>5</v>
      </c>
      <c r="Z178" s="17">
        <v>4</v>
      </c>
      <c r="AA178" s="17">
        <v>3</v>
      </c>
      <c r="AB178" s="17">
        <v>2</v>
      </c>
      <c r="AC178" s="17">
        <v>1</v>
      </c>
    </row>
    <row r="179" spans="2:33" x14ac:dyDescent="0.2">
      <c r="B179" t="s">
        <v>342</v>
      </c>
      <c r="C179" s="5" t="s">
        <v>100</v>
      </c>
      <c r="D179" s="4">
        <v>77740000</v>
      </c>
      <c r="E179" s="4">
        <v>136274000</v>
      </c>
      <c r="F179" s="4">
        <v>207008000</v>
      </c>
      <c r="G179" s="19">
        <v>20</v>
      </c>
      <c r="H179" s="4">
        <v>55263000</v>
      </c>
      <c r="J179" s="20">
        <f t="shared" ref="J179:J190" si="130">H179</f>
        <v>55263000</v>
      </c>
      <c r="K179" s="20">
        <f>$F179/4</f>
        <v>51752000</v>
      </c>
      <c r="L179" s="20">
        <f>$F179/4</f>
        <v>51752000</v>
      </c>
      <c r="M179" s="20">
        <f>$F179/4</f>
        <v>51752000</v>
      </c>
      <c r="N179" s="20">
        <f>$F179/4</f>
        <v>51752000</v>
      </c>
      <c r="O179" s="20">
        <f>$E179/4</f>
        <v>34068500</v>
      </c>
      <c r="P179" s="20">
        <f>$E179/4</f>
        <v>34068500</v>
      </c>
      <c r="Q179" s="20">
        <f>$E179/4</f>
        <v>34068500</v>
      </c>
      <c r="R179" s="20">
        <f>$E179/4</f>
        <v>34068500</v>
      </c>
      <c r="S179" s="20">
        <f>$D179/4</f>
        <v>19435000</v>
      </c>
      <c r="T179" s="20">
        <f>$D179/4</f>
        <v>19435000</v>
      </c>
      <c r="U179" s="20">
        <f>$D179/4</f>
        <v>19435000</v>
      </c>
      <c r="V179" s="20">
        <f>$D179/4</f>
        <v>19435000</v>
      </c>
      <c r="W179" s="20">
        <v>0</v>
      </c>
      <c r="X179" s="20">
        <v>0</v>
      </c>
      <c r="Y179" s="20">
        <v>0</v>
      </c>
      <c r="Z179" s="20">
        <v>0</v>
      </c>
      <c r="AA179" s="20">
        <v>0</v>
      </c>
      <c r="AB179" s="20">
        <v>0</v>
      </c>
      <c r="AC179" s="20">
        <v>0</v>
      </c>
      <c r="AE179" s="21">
        <f>SUM(J179:AC179)/$G179</f>
        <v>23814250</v>
      </c>
      <c r="AF179" s="21">
        <f>SUMPRODUCT($J$178:$AC$178,J179:AC179)/$G179</f>
        <v>365306450</v>
      </c>
      <c r="AG179" s="21">
        <f t="shared" ref="AG179:AG190" si="131">H179-AE179</f>
        <v>31448750</v>
      </c>
    </row>
    <row r="180" spans="2:33" x14ac:dyDescent="0.2">
      <c r="B180" t="s">
        <v>342</v>
      </c>
      <c r="C180" s="5" t="s">
        <v>99</v>
      </c>
      <c r="D180" s="22">
        <f>$D179</f>
        <v>77740000</v>
      </c>
      <c r="E180" s="22">
        <f>$E179</f>
        <v>136274000</v>
      </c>
      <c r="F180" s="22">
        <f>$F179</f>
        <v>207008000</v>
      </c>
      <c r="G180" s="23">
        <f>$G$179</f>
        <v>20</v>
      </c>
      <c r="H180" s="4">
        <v>54161000</v>
      </c>
      <c r="J180" s="20">
        <f t="shared" si="130"/>
        <v>54161000</v>
      </c>
      <c r="K180" s="20">
        <f t="shared" ref="K180:K190" si="132">H179</f>
        <v>55263000</v>
      </c>
      <c r="L180" s="20">
        <f>$F179/4</f>
        <v>51752000</v>
      </c>
      <c r="M180" s="20">
        <f>$F179/4</f>
        <v>51752000</v>
      </c>
      <c r="N180" s="20">
        <f>$F179/4</f>
        <v>51752000</v>
      </c>
      <c r="O180" s="20">
        <f>$F179/4</f>
        <v>51752000</v>
      </c>
      <c r="P180" s="20">
        <f>$E179/4</f>
        <v>34068500</v>
      </c>
      <c r="Q180" s="20">
        <f>$E179/4</f>
        <v>34068500</v>
      </c>
      <c r="R180" s="20">
        <f>$E179/4</f>
        <v>34068500</v>
      </c>
      <c r="S180" s="20">
        <f>$E179/4</f>
        <v>34068500</v>
      </c>
      <c r="T180" s="20">
        <f>$D179/4</f>
        <v>19435000</v>
      </c>
      <c r="U180" s="20">
        <f>$D179/4</f>
        <v>19435000</v>
      </c>
      <c r="V180" s="20">
        <f>$D179/4</f>
        <v>19435000</v>
      </c>
      <c r="W180" s="20">
        <f>$D179/4</f>
        <v>19435000</v>
      </c>
      <c r="X180" s="20">
        <v>0</v>
      </c>
      <c r="Y180" s="20">
        <v>0</v>
      </c>
      <c r="Z180" s="20">
        <v>0</v>
      </c>
      <c r="AA180" s="20">
        <v>0</v>
      </c>
      <c r="AB180" s="20">
        <v>0</v>
      </c>
      <c r="AC180" s="20">
        <v>0</v>
      </c>
      <c r="AE180" s="21">
        <f t="shared" ref="AE180:AE190" si="133">SUM(J180:AC180)/$G180</f>
        <v>26522300</v>
      </c>
      <c r="AF180" s="21">
        <f t="shared" ref="AF180:AF190" si="134">SUMPRODUCT($J$178:$AC$178,J180:AC180)/$G180</f>
        <v>395653200</v>
      </c>
      <c r="AG180" s="21">
        <f t="shared" si="131"/>
        <v>27638700</v>
      </c>
    </row>
    <row r="181" spans="2:33" x14ac:dyDescent="0.2">
      <c r="B181" t="s">
        <v>342</v>
      </c>
      <c r="C181" s="5" t="s">
        <v>98</v>
      </c>
      <c r="D181" s="22">
        <f>$D179</f>
        <v>77740000</v>
      </c>
      <c r="E181" s="22">
        <f>$E179</f>
        <v>136274000</v>
      </c>
      <c r="F181" s="22">
        <f>$F179</f>
        <v>207008000</v>
      </c>
      <c r="G181" s="23">
        <f t="shared" ref="G181:G190" si="135">$G$179</f>
        <v>20</v>
      </c>
      <c r="H181" s="4">
        <v>52306000</v>
      </c>
      <c r="J181" s="20">
        <f t="shared" si="130"/>
        <v>52306000</v>
      </c>
      <c r="K181" s="20">
        <f t="shared" si="132"/>
        <v>54161000</v>
      </c>
      <c r="L181" s="20">
        <f t="shared" ref="L181:L190" si="136">H179</f>
        <v>55263000</v>
      </c>
      <c r="M181" s="20">
        <f>$F179/4</f>
        <v>51752000</v>
      </c>
      <c r="N181" s="20">
        <f>$F179/4</f>
        <v>51752000</v>
      </c>
      <c r="O181" s="20">
        <f>$F179/4</f>
        <v>51752000</v>
      </c>
      <c r="P181" s="20">
        <f>$F179/4</f>
        <v>51752000</v>
      </c>
      <c r="Q181" s="20">
        <f>$E179/4</f>
        <v>34068500</v>
      </c>
      <c r="R181" s="20">
        <f>$E179/4</f>
        <v>34068500</v>
      </c>
      <c r="S181" s="20">
        <f>$E179/4</f>
        <v>34068500</v>
      </c>
      <c r="T181" s="20">
        <f>$E179/4</f>
        <v>34068500</v>
      </c>
      <c r="U181" s="20">
        <f>$D179/4</f>
        <v>19435000</v>
      </c>
      <c r="V181" s="20">
        <f>$D179/4</f>
        <v>19435000</v>
      </c>
      <c r="W181" s="20">
        <f>$D179/4</f>
        <v>19435000</v>
      </c>
      <c r="X181" s="20">
        <f>$D179/4</f>
        <v>19435000</v>
      </c>
      <c r="Y181" s="20">
        <v>0</v>
      </c>
      <c r="Z181" s="20">
        <v>0</v>
      </c>
      <c r="AA181" s="20">
        <v>0</v>
      </c>
      <c r="AB181" s="20">
        <v>0</v>
      </c>
      <c r="AC181" s="20">
        <v>0</v>
      </c>
      <c r="AE181" s="21">
        <f t="shared" si="133"/>
        <v>29137600</v>
      </c>
      <c r="AF181" s="21">
        <f t="shared" si="134"/>
        <v>421436900</v>
      </c>
      <c r="AG181" s="21">
        <f t="shared" si="131"/>
        <v>23168400</v>
      </c>
    </row>
    <row r="182" spans="2:33" x14ac:dyDescent="0.2">
      <c r="B182" t="s">
        <v>342</v>
      </c>
      <c r="C182" s="5" t="s">
        <v>97</v>
      </c>
      <c r="D182" s="22">
        <f>$D179</f>
        <v>77740000</v>
      </c>
      <c r="E182" s="22">
        <f>$E179</f>
        <v>136274000</v>
      </c>
      <c r="F182" s="22">
        <f>$F179</f>
        <v>207008000</v>
      </c>
      <c r="G182" s="23">
        <f t="shared" si="135"/>
        <v>20</v>
      </c>
      <c r="H182" s="4">
        <v>56446000</v>
      </c>
      <c r="J182" s="20">
        <f t="shared" si="130"/>
        <v>56446000</v>
      </c>
      <c r="K182" s="20">
        <f t="shared" si="132"/>
        <v>52306000</v>
      </c>
      <c r="L182" s="20">
        <f t="shared" si="136"/>
        <v>54161000</v>
      </c>
      <c r="M182" s="20">
        <f t="shared" ref="M182:M190" si="137">H179</f>
        <v>55263000</v>
      </c>
      <c r="N182" s="20">
        <f>$F179/4</f>
        <v>51752000</v>
      </c>
      <c r="O182" s="20">
        <f>$F179/4</f>
        <v>51752000</v>
      </c>
      <c r="P182" s="20">
        <f>$F179/4</f>
        <v>51752000</v>
      </c>
      <c r="Q182" s="20">
        <f>$F179/4</f>
        <v>51752000</v>
      </c>
      <c r="R182" s="20">
        <f>$E179/4</f>
        <v>34068500</v>
      </c>
      <c r="S182" s="20">
        <f>$E179/4</f>
        <v>34068500</v>
      </c>
      <c r="T182" s="20">
        <f>$E179/4</f>
        <v>34068500</v>
      </c>
      <c r="U182" s="20">
        <f>$E179/4</f>
        <v>34068500</v>
      </c>
      <c r="V182" s="20">
        <f>$D179/4</f>
        <v>19435000</v>
      </c>
      <c r="W182" s="20">
        <f>$D179/4</f>
        <v>19435000</v>
      </c>
      <c r="X182" s="20">
        <f>$D179/4</f>
        <v>19435000</v>
      </c>
      <c r="Y182" s="20">
        <f>$D179/4</f>
        <v>19435000</v>
      </c>
      <c r="Z182" s="20">
        <v>0</v>
      </c>
      <c r="AA182" s="20">
        <v>0</v>
      </c>
      <c r="AB182" s="20">
        <v>0</v>
      </c>
      <c r="AC182" s="20">
        <v>0</v>
      </c>
      <c r="AE182" s="21">
        <f t="shared" si="133"/>
        <v>31959900</v>
      </c>
      <c r="AF182" s="21">
        <f t="shared" si="134"/>
        <v>448745300</v>
      </c>
      <c r="AG182" s="21">
        <f t="shared" si="131"/>
        <v>24486100</v>
      </c>
    </row>
    <row r="183" spans="2:33" x14ac:dyDescent="0.2">
      <c r="B183" t="s">
        <v>342</v>
      </c>
      <c r="C183" s="5" t="s">
        <v>96</v>
      </c>
      <c r="D183" s="22">
        <f>$D179</f>
        <v>77740000</v>
      </c>
      <c r="E183" s="22">
        <f>$E179</f>
        <v>136274000</v>
      </c>
      <c r="F183" s="22">
        <f>$F179</f>
        <v>207008000</v>
      </c>
      <c r="G183" s="23">
        <f t="shared" si="135"/>
        <v>20</v>
      </c>
      <c r="H183" s="4">
        <v>58321000</v>
      </c>
      <c r="J183" s="20">
        <f t="shared" si="130"/>
        <v>58321000</v>
      </c>
      <c r="K183" s="20">
        <f t="shared" si="132"/>
        <v>56446000</v>
      </c>
      <c r="L183" s="20">
        <f t="shared" si="136"/>
        <v>52306000</v>
      </c>
      <c r="M183" s="20">
        <f t="shared" si="137"/>
        <v>54161000</v>
      </c>
      <c r="N183" s="20">
        <f t="shared" ref="N183:N190" si="138">H179</f>
        <v>55263000</v>
      </c>
      <c r="O183" s="20">
        <f>$F179/4</f>
        <v>51752000</v>
      </c>
      <c r="P183" s="20">
        <f>$F179/4</f>
        <v>51752000</v>
      </c>
      <c r="Q183" s="20">
        <f>$F179/4</f>
        <v>51752000</v>
      </c>
      <c r="R183" s="20">
        <f>$F179/4</f>
        <v>51752000</v>
      </c>
      <c r="S183" s="20">
        <f>$E179/4</f>
        <v>34068500</v>
      </c>
      <c r="T183" s="20">
        <f>$E179/4</f>
        <v>34068500</v>
      </c>
      <c r="U183" s="20">
        <f>$E179/4</f>
        <v>34068500</v>
      </c>
      <c r="V183" s="20">
        <f>$E179/4</f>
        <v>34068500</v>
      </c>
      <c r="W183" s="20">
        <f>$D179/4</f>
        <v>19435000</v>
      </c>
      <c r="X183" s="20">
        <f>$D179/4</f>
        <v>19435000</v>
      </c>
      <c r="Y183" s="20">
        <f>$D179/4</f>
        <v>19435000</v>
      </c>
      <c r="Z183" s="20">
        <f>$D179/4</f>
        <v>19435000</v>
      </c>
      <c r="AA183" s="20">
        <v>0</v>
      </c>
      <c r="AB183" s="20">
        <v>0</v>
      </c>
      <c r="AC183" s="20">
        <v>0</v>
      </c>
      <c r="AE183" s="21">
        <f t="shared" si="133"/>
        <v>34875950</v>
      </c>
      <c r="AF183" s="21">
        <f t="shared" si="134"/>
        <v>475106400</v>
      </c>
      <c r="AG183" s="21">
        <f t="shared" si="131"/>
        <v>23445050</v>
      </c>
    </row>
    <row r="184" spans="2:33" x14ac:dyDescent="0.2">
      <c r="B184" t="s">
        <v>342</v>
      </c>
      <c r="C184" s="5" t="s">
        <v>95</v>
      </c>
      <c r="D184" s="22">
        <f>$D179</f>
        <v>77740000</v>
      </c>
      <c r="E184" s="22">
        <f>$E179</f>
        <v>136274000</v>
      </c>
      <c r="F184" s="22">
        <f>$F179</f>
        <v>207008000</v>
      </c>
      <c r="G184" s="23">
        <f t="shared" si="135"/>
        <v>20</v>
      </c>
      <c r="H184" s="4">
        <v>63602000</v>
      </c>
      <c r="J184" s="20">
        <f t="shared" si="130"/>
        <v>63602000</v>
      </c>
      <c r="K184" s="20">
        <f t="shared" si="132"/>
        <v>58321000</v>
      </c>
      <c r="L184" s="20">
        <f t="shared" si="136"/>
        <v>56446000</v>
      </c>
      <c r="M184" s="20">
        <f t="shared" si="137"/>
        <v>52306000</v>
      </c>
      <c r="N184" s="20">
        <f t="shared" si="138"/>
        <v>54161000</v>
      </c>
      <c r="O184" s="20">
        <f t="shared" ref="O184:O190" si="139">H179</f>
        <v>55263000</v>
      </c>
      <c r="P184" s="20">
        <f>$F179/4</f>
        <v>51752000</v>
      </c>
      <c r="Q184" s="20">
        <f>$F179/4</f>
        <v>51752000</v>
      </c>
      <c r="R184" s="20">
        <f>$F179/4</f>
        <v>51752000</v>
      </c>
      <c r="S184" s="20">
        <f>$F179/4</f>
        <v>51752000</v>
      </c>
      <c r="T184" s="20">
        <f>$E179/4</f>
        <v>34068500</v>
      </c>
      <c r="U184" s="20">
        <f>$E179/4</f>
        <v>34068500</v>
      </c>
      <c r="V184" s="20">
        <f>$E179/4</f>
        <v>34068500</v>
      </c>
      <c r="W184" s="20">
        <f>$E179/4</f>
        <v>34068500</v>
      </c>
      <c r="X184" s="20">
        <f>$D179/4</f>
        <v>19435000</v>
      </c>
      <c r="Y184" s="20">
        <f>$D179/4</f>
        <v>19435000</v>
      </c>
      <c r="Z184" s="20">
        <f>$D179/4</f>
        <v>19435000</v>
      </c>
      <c r="AA184" s="20">
        <f>$D179/4</f>
        <v>19435000</v>
      </c>
      <c r="AB184" s="20">
        <v>0</v>
      </c>
      <c r="AC184" s="20">
        <v>0</v>
      </c>
      <c r="AE184" s="21">
        <f t="shared" si="133"/>
        <v>38056050</v>
      </c>
      <c r="AF184" s="21">
        <f t="shared" si="134"/>
        <v>503832450</v>
      </c>
      <c r="AG184" s="21">
        <f t="shared" si="131"/>
        <v>25545950</v>
      </c>
    </row>
    <row r="185" spans="2:33" x14ac:dyDescent="0.2">
      <c r="B185" t="s">
        <v>342</v>
      </c>
      <c r="C185" s="5" t="s">
        <v>94</v>
      </c>
      <c r="D185" s="22">
        <f>$D179</f>
        <v>77740000</v>
      </c>
      <c r="E185" s="22">
        <f>$E179</f>
        <v>136274000</v>
      </c>
      <c r="F185" s="22">
        <f>$F179</f>
        <v>207008000</v>
      </c>
      <c r="G185" s="23">
        <f t="shared" si="135"/>
        <v>20</v>
      </c>
      <c r="H185" s="4">
        <v>70453000</v>
      </c>
      <c r="J185" s="20">
        <f t="shared" si="130"/>
        <v>70453000</v>
      </c>
      <c r="K185" s="20">
        <f t="shared" si="132"/>
        <v>63602000</v>
      </c>
      <c r="L185" s="20">
        <f t="shared" si="136"/>
        <v>58321000</v>
      </c>
      <c r="M185" s="20">
        <f t="shared" si="137"/>
        <v>56446000</v>
      </c>
      <c r="N185" s="20">
        <f t="shared" si="138"/>
        <v>52306000</v>
      </c>
      <c r="O185" s="20">
        <f t="shared" si="139"/>
        <v>54161000</v>
      </c>
      <c r="P185" s="20">
        <f t="shared" ref="P185:P190" si="140">H179</f>
        <v>55263000</v>
      </c>
      <c r="Q185" s="20">
        <f>$F179/4</f>
        <v>51752000</v>
      </c>
      <c r="R185" s="20">
        <f>$F179/4</f>
        <v>51752000</v>
      </c>
      <c r="S185" s="20">
        <f>$F179/4</f>
        <v>51752000</v>
      </c>
      <c r="T185" s="20">
        <f>$F179/4</f>
        <v>51752000</v>
      </c>
      <c r="U185" s="20">
        <f>$E179/4</f>
        <v>34068500</v>
      </c>
      <c r="V185" s="20">
        <f>$E179/4</f>
        <v>34068500</v>
      </c>
      <c r="W185" s="20">
        <f>$E179/4</f>
        <v>34068500</v>
      </c>
      <c r="X185" s="20">
        <f>$E179/4</f>
        <v>34068500</v>
      </c>
      <c r="Y185" s="20">
        <f>$D179/4</f>
        <v>19435000</v>
      </c>
      <c r="Z185" s="20">
        <f>$D179/4</f>
        <v>19435000</v>
      </c>
      <c r="AA185" s="20">
        <f>$D179/4</f>
        <v>19435000</v>
      </c>
      <c r="AB185" s="20">
        <f>$D179/4</f>
        <v>19435000</v>
      </c>
      <c r="AC185" s="20">
        <v>0</v>
      </c>
      <c r="AE185" s="21">
        <f t="shared" si="133"/>
        <v>41578700</v>
      </c>
      <c r="AF185" s="21">
        <f t="shared" si="134"/>
        <v>536229400</v>
      </c>
      <c r="AG185" s="21">
        <f t="shared" si="131"/>
        <v>28874300</v>
      </c>
    </row>
    <row r="186" spans="2:33" x14ac:dyDescent="0.2">
      <c r="B186" t="s">
        <v>342</v>
      </c>
      <c r="C186" s="5" t="s">
        <v>93</v>
      </c>
      <c r="D186" s="22">
        <f>$D179</f>
        <v>77740000</v>
      </c>
      <c r="E186" s="22">
        <f>$E179</f>
        <v>136274000</v>
      </c>
      <c r="F186" s="22">
        <f>$F179</f>
        <v>207008000</v>
      </c>
      <c r="G186" s="23">
        <f t="shared" si="135"/>
        <v>20</v>
      </c>
      <c r="H186" s="4">
        <v>74626000</v>
      </c>
      <c r="J186" s="20">
        <f t="shared" si="130"/>
        <v>74626000</v>
      </c>
      <c r="K186" s="20">
        <f t="shared" si="132"/>
        <v>70453000</v>
      </c>
      <c r="L186" s="20">
        <f t="shared" si="136"/>
        <v>63602000</v>
      </c>
      <c r="M186" s="20">
        <f t="shared" si="137"/>
        <v>58321000</v>
      </c>
      <c r="N186" s="20">
        <f t="shared" si="138"/>
        <v>56446000</v>
      </c>
      <c r="O186" s="20">
        <f t="shared" si="139"/>
        <v>52306000</v>
      </c>
      <c r="P186" s="20">
        <f t="shared" si="140"/>
        <v>54161000</v>
      </c>
      <c r="Q186" s="20">
        <f>H179</f>
        <v>55263000</v>
      </c>
      <c r="R186" s="20">
        <f>$F179/4</f>
        <v>51752000</v>
      </c>
      <c r="S186" s="20">
        <f>$F179/4</f>
        <v>51752000</v>
      </c>
      <c r="T186" s="20">
        <f>$F179/4</f>
        <v>51752000</v>
      </c>
      <c r="U186" s="20">
        <f>$F179/4</f>
        <v>51752000</v>
      </c>
      <c r="V186" s="20">
        <f>$E179/4</f>
        <v>34068500</v>
      </c>
      <c r="W186" s="20">
        <f>$E179/4</f>
        <v>34068500</v>
      </c>
      <c r="X186" s="20">
        <f>$E179/4</f>
        <v>34068500</v>
      </c>
      <c r="Y186" s="20">
        <f>$E179/4</f>
        <v>34068500</v>
      </c>
      <c r="Z186" s="20">
        <f>$D179/4</f>
        <v>19435000</v>
      </c>
      <c r="AA186" s="20">
        <f>$D179/4</f>
        <v>19435000</v>
      </c>
      <c r="AB186" s="20">
        <f>$D179/4</f>
        <v>19435000</v>
      </c>
      <c r="AC186" s="20">
        <f>$D179/4</f>
        <v>19435000</v>
      </c>
      <c r="AE186" s="21">
        <f t="shared" si="133"/>
        <v>45310000</v>
      </c>
      <c r="AF186" s="21">
        <f t="shared" si="134"/>
        <v>569276700</v>
      </c>
      <c r="AG186" s="21">
        <f t="shared" si="131"/>
        <v>29316000</v>
      </c>
    </row>
    <row r="187" spans="2:33" x14ac:dyDescent="0.2">
      <c r="B187" t="s">
        <v>342</v>
      </c>
      <c r="C187" s="5" t="s">
        <v>141</v>
      </c>
      <c r="D187" s="22">
        <f>$D179</f>
        <v>77740000</v>
      </c>
      <c r="E187" s="22">
        <f>$E179</f>
        <v>136274000</v>
      </c>
      <c r="F187" s="22">
        <f>$F179</f>
        <v>207008000</v>
      </c>
      <c r="G187" s="23">
        <f t="shared" si="135"/>
        <v>20</v>
      </c>
      <c r="H187" s="4">
        <v>72253000</v>
      </c>
      <c r="J187" s="20">
        <f t="shared" si="130"/>
        <v>72253000</v>
      </c>
      <c r="K187" s="20">
        <f t="shared" si="132"/>
        <v>74626000</v>
      </c>
      <c r="L187" s="20">
        <f t="shared" si="136"/>
        <v>70453000</v>
      </c>
      <c r="M187" s="20">
        <f t="shared" si="137"/>
        <v>63602000</v>
      </c>
      <c r="N187" s="20">
        <f t="shared" si="138"/>
        <v>58321000</v>
      </c>
      <c r="O187" s="20">
        <f t="shared" si="139"/>
        <v>56446000</v>
      </c>
      <c r="P187" s="20">
        <f t="shared" si="140"/>
        <v>52306000</v>
      </c>
      <c r="Q187" s="20">
        <f>H180</f>
        <v>54161000</v>
      </c>
      <c r="R187" s="20">
        <f>H179</f>
        <v>55263000</v>
      </c>
      <c r="S187" s="20">
        <f>$F179/4</f>
        <v>51752000</v>
      </c>
      <c r="T187" s="20">
        <f>$F179/4</f>
        <v>51752000</v>
      </c>
      <c r="U187" s="20">
        <f>$F179/4</f>
        <v>51752000</v>
      </c>
      <c r="V187" s="20">
        <f>$F179/4</f>
        <v>51752000</v>
      </c>
      <c r="W187" s="20">
        <f>$E179/4</f>
        <v>34068500</v>
      </c>
      <c r="X187" s="20">
        <f>$E179/4</f>
        <v>34068500</v>
      </c>
      <c r="Y187" s="20">
        <f>$E179/4</f>
        <v>34068500</v>
      </c>
      <c r="Z187" s="20">
        <f>$E179/4</f>
        <v>34068500</v>
      </c>
      <c r="AA187" s="20">
        <f>$D179/4</f>
        <v>19435000</v>
      </c>
      <c r="AB187" s="20">
        <f>$D179/4</f>
        <v>19435000</v>
      </c>
      <c r="AC187" s="20">
        <f>$D179/4</f>
        <v>19435000</v>
      </c>
      <c r="AE187" s="21">
        <f t="shared" si="133"/>
        <v>47950900</v>
      </c>
      <c r="AF187" s="21">
        <f t="shared" si="134"/>
        <v>596219700</v>
      </c>
      <c r="AG187" s="21">
        <f t="shared" si="131"/>
        <v>24302100</v>
      </c>
    </row>
    <row r="188" spans="2:33" x14ac:dyDescent="0.2">
      <c r="B188" t="s">
        <v>342</v>
      </c>
      <c r="C188" s="5" t="s">
        <v>160</v>
      </c>
      <c r="D188" s="22">
        <f>$D179</f>
        <v>77740000</v>
      </c>
      <c r="E188" s="22">
        <f>$E179</f>
        <v>136274000</v>
      </c>
      <c r="F188" s="22">
        <f>$F179</f>
        <v>207008000</v>
      </c>
      <c r="G188" s="23">
        <f t="shared" si="135"/>
        <v>20</v>
      </c>
      <c r="H188" s="4">
        <v>79091000</v>
      </c>
      <c r="J188" s="20">
        <f t="shared" si="130"/>
        <v>79091000</v>
      </c>
      <c r="K188" s="20">
        <f t="shared" si="132"/>
        <v>72253000</v>
      </c>
      <c r="L188" s="20">
        <f t="shared" si="136"/>
        <v>74626000</v>
      </c>
      <c r="M188" s="20">
        <f t="shared" si="137"/>
        <v>70453000</v>
      </c>
      <c r="N188" s="20">
        <f t="shared" si="138"/>
        <v>63602000</v>
      </c>
      <c r="O188" s="20">
        <f t="shared" si="139"/>
        <v>58321000</v>
      </c>
      <c r="P188" s="20">
        <f t="shared" si="140"/>
        <v>56446000</v>
      </c>
      <c r="Q188" s="20">
        <f>H181</f>
        <v>52306000</v>
      </c>
      <c r="R188" s="20">
        <f>H180</f>
        <v>54161000</v>
      </c>
      <c r="S188" s="20">
        <f>H179</f>
        <v>55263000</v>
      </c>
      <c r="T188" s="20">
        <f>$F179/4</f>
        <v>51752000</v>
      </c>
      <c r="U188" s="20">
        <f>$F179/4</f>
        <v>51752000</v>
      </c>
      <c r="V188" s="20">
        <f>$F179/4</f>
        <v>51752000</v>
      </c>
      <c r="W188" s="20">
        <f>$F179/4</f>
        <v>51752000</v>
      </c>
      <c r="X188" s="20">
        <f>$E179/4</f>
        <v>34068500</v>
      </c>
      <c r="Y188" s="20">
        <f>$E179/4</f>
        <v>34068500</v>
      </c>
      <c r="Z188" s="20">
        <f>$E179/4</f>
        <v>34068500</v>
      </c>
      <c r="AA188" s="20">
        <f>$E179/4</f>
        <v>34068500</v>
      </c>
      <c r="AB188" s="20">
        <f>$D179/4</f>
        <v>19435000</v>
      </c>
      <c r="AC188" s="20">
        <f>$D179/4</f>
        <v>19435000</v>
      </c>
      <c r="AE188" s="21">
        <f t="shared" si="133"/>
        <v>50933700</v>
      </c>
      <c r="AF188" s="21">
        <f t="shared" si="134"/>
        <v>627359800</v>
      </c>
      <c r="AG188" s="21">
        <f t="shared" si="131"/>
        <v>28157300</v>
      </c>
    </row>
    <row r="189" spans="2:33" x14ac:dyDescent="0.2">
      <c r="B189" t="s">
        <v>342</v>
      </c>
      <c r="C189" s="5" t="s">
        <v>161</v>
      </c>
      <c r="D189" s="22">
        <f>$D179</f>
        <v>77740000</v>
      </c>
      <c r="E189" s="22">
        <f>$E179</f>
        <v>136274000</v>
      </c>
      <c r="F189" s="22">
        <f>$F179</f>
        <v>207008000</v>
      </c>
      <c r="G189" s="23">
        <f t="shared" si="135"/>
        <v>20</v>
      </c>
      <c r="H189" s="4">
        <v>83146000</v>
      </c>
      <c r="J189" s="20">
        <f t="shared" si="130"/>
        <v>83146000</v>
      </c>
      <c r="K189" s="20">
        <f t="shared" si="132"/>
        <v>79091000</v>
      </c>
      <c r="L189" s="20">
        <f t="shared" si="136"/>
        <v>72253000</v>
      </c>
      <c r="M189" s="20">
        <f t="shared" si="137"/>
        <v>74626000</v>
      </c>
      <c r="N189" s="20">
        <f t="shared" si="138"/>
        <v>70453000</v>
      </c>
      <c r="O189" s="20">
        <f t="shared" si="139"/>
        <v>63602000</v>
      </c>
      <c r="P189" s="20">
        <f t="shared" si="140"/>
        <v>58321000</v>
      </c>
      <c r="Q189" s="20">
        <f>H182</f>
        <v>56446000</v>
      </c>
      <c r="R189" s="20">
        <f>H181</f>
        <v>52306000</v>
      </c>
      <c r="S189" s="20">
        <f>H180</f>
        <v>54161000</v>
      </c>
      <c r="T189" s="20">
        <f>H179</f>
        <v>55263000</v>
      </c>
      <c r="U189" s="20">
        <f>$F179/4</f>
        <v>51752000</v>
      </c>
      <c r="V189" s="20">
        <f>$F179/4</f>
        <v>51752000</v>
      </c>
      <c r="W189" s="20">
        <f>$F179/4</f>
        <v>51752000</v>
      </c>
      <c r="X189" s="20">
        <f>$F179/4</f>
        <v>51752000</v>
      </c>
      <c r="Y189" s="20">
        <f>$E179/4</f>
        <v>34068500</v>
      </c>
      <c r="Z189" s="20">
        <f>$E179/4</f>
        <v>34068500</v>
      </c>
      <c r="AA189" s="20">
        <f>$E179/4</f>
        <v>34068500</v>
      </c>
      <c r="AB189" s="20">
        <f>$E179/4</f>
        <v>34068500</v>
      </c>
      <c r="AC189" s="20">
        <f>$D179/4</f>
        <v>19435000</v>
      </c>
      <c r="AE189" s="21">
        <f t="shared" si="133"/>
        <v>54119250</v>
      </c>
      <c r="AF189" s="21">
        <f t="shared" si="134"/>
        <v>659572100</v>
      </c>
      <c r="AG189" s="21">
        <f t="shared" si="131"/>
        <v>29026750</v>
      </c>
    </row>
    <row r="190" spans="2:33" x14ac:dyDescent="0.2">
      <c r="B190" t="s">
        <v>342</v>
      </c>
      <c r="C190" s="5" t="s">
        <v>162</v>
      </c>
      <c r="D190" s="22">
        <f>$D179</f>
        <v>77740000</v>
      </c>
      <c r="E190" s="22">
        <f>$E179</f>
        <v>136274000</v>
      </c>
      <c r="F190" s="22">
        <f>$F179</f>
        <v>207008000</v>
      </c>
      <c r="G190" s="23">
        <f t="shared" si="135"/>
        <v>20</v>
      </c>
      <c r="H190" s="4">
        <v>89363000</v>
      </c>
      <c r="J190" s="20">
        <f t="shared" si="130"/>
        <v>89363000</v>
      </c>
      <c r="K190" s="20">
        <f t="shared" si="132"/>
        <v>83146000</v>
      </c>
      <c r="L190" s="20">
        <f t="shared" si="136"/>
        <v>79091000</v>
      </c>
      <c r="M190" s="20">
        <f t="shared" si="137"/>
        <v>72253000</v>
      </c>
      <c r="N190" s="20">
        <f t="shared" si="138"/>
        <v>74626000</v>
      </c>
      <c r="O190" s="20">
        <f t="shared" si="139"/>
        <v>70453000</v>
      </c>
      <c r="P190" s="20">
        <f t="shared" si="140"/>
        <v>63602000</v>
      </c>
      <c r="Q190" s="20">
        <f>H183</f>
        <v>58321000</v>
      </c>
      <c r="R190" s="20">
        <f>H182</f>
        <v>56446000</v>
      </c>
      <c r="S190" s="20">
        <f>H181</f>
        <v>52306000</v>
      </c>
      <c r="T190" s="20">
        <f>H180</f>
        <v>54161000</v>
      </c>
      <c r="U190" s="20">
        <f>H179</f>
        <v>55263000</v>
      </c>
      <c r="V190" s="20">
        <f>$F179/4</f>
        <v>51752000</v>
      </c>
      <c r="W190" s="20">
        <f>$F179/4</f>
        <v>51752000</v>
      </c>
      <c r="X190" s="20">
        <f>$F179/4</f>
        <v>51752000</v>
      </c>
      <c r="Y190" s="20">
        <f>$F179/4</f>
        <v>51752000</v>
      </c>
      <c r="Z190" s="20">
        <f>$E179/4</f>
        <v>34068500</v>
      </c>
      <c r="AA190" s="20">
        <f>$E179/4</f>
        <v>34068500</v>
      </c>
      <c r="AB190" s="20">
        <f>$E179/4</f>
        <v>34068500</v>
      </c>
      <c r="AC190" s="20">
        <f>$E179/4</f>
        <v>34068500</v>
      </c>
      <c r="AE190" s="21">
        <f t="shared" si="133"/>
        <v>57615650</v>
      </c>
      <c r="AF190" s="21">
        <f t="shared" si="134"/>
        <v>694815850</v>
      </c>
      <c r="AG190" s="21">
        <f t="shared" si="131"/>
        <v>31747350</v>
      </c>
    </row>
    <row r="191" spans="2:33" x14ac:dyDescent="0.2">
      <c r="I191" s="3"/>
    </row>
    <row r="192" spans="2:33" x14ac:dyDescent="0.2">
      <c r="C192" t="s">
        <v>338</v>
      </c>
    </row>
    <row r="193" spans="1:33" x14ac:dyDescent="0.2">
      <c r="C193" s="6" t="s">
        <v>107</v>
      </c>
      <c r="D193" s="6" t="s">
        <v>439</v>
      </c>
      <c r="E193" s="6" t="s">
        <v>440</v>
      </c>
      <c r="F193" s="6" t="s">
        <v>471</v>
      </c>
      <c r="G193" s="6" t="s">
        <v>441</v>
      </c>
      <c r="H193" s="6" t="s">
        <v>442</v>
      </c>
      <c r="I193" s="15"/>
      <c r="J193" s="6" t="s">
        <v>443</v>
      </c>
      <c r="K193" s="6" t="s">
        <v>444</v>
      </c>
      <c r="L193" s="6" t="s">
        <v>445</v>
      </c>
      <c r="M193" s="6" t="s">
        <v>446</v>
      </c>
      <c r="N193" s="6" t="s">
        <v>447</v>
      </c>
      <c r="O193" s="6" t="s">
        <v>448</v>
      </c>
      <c r="P193" s="6" t="s">
        <v>449</v>
      </c>
      <c r="Q193" s="6" t="s">
        <v>450</v>
      </c>
      <c r="R193" s="6" t="s">
        <v>451</v>
      </c>
      <c r="S193" s="6" t="s">
        <v>452</v>
      </c>
      <c r="T193" s="6" t="s">
        <v>453</v>
      </c>
      <c r="U193" s="6" t="s">
        <v>454</v>
      </c>
      <c r="V193" s="6" t="s">
        <v>455</v>
      </c>
      <c r="W193" s="6" t="s">
        <v>456</v>
      </c>
      <c r="X193" s="6" t="s">
        <v>457</v>
      </c>
      <c r="Y193" s="6" t="s">
        <v>458</v>
      </c>
      <c r="Z193" s="6" t="s">
        <v>459</v>
      </c>
      <c r="AA193" s="6" t="s">
        <v>460</v>
      </c>
      <c r="AB193" s="6" t="s">
        <v>461</v>
      </c>
      <c r="AC193" s="6" t="s">
        <v>462</v>
      </c>
      <c r="AD193" s="15"/>
      <c r="AE193" s="6" t="s">
        <v>106</v>
      </c>
      <c r="AF193" s="6" t="s">
        <v>105</v>
      </c>
      <c r="AG193" s="6" t="s">
        <v>463</v>
      </c>
    </row>
    <row r="194" spans="1:33" x14ac:dyDescent="0.2">
      <c r="C194" s="16" t="s">
        <v>464</v>
      </c>
      <c r="J194" s="17">
        <v>20</v>
      </c>
      <c r="K194" s="17">
        <v>19</v>
      </c>
      <c r="L194" s="17">
        <v>18</v>
      </c>
      <c r="M194" s="17">
        <v>17</v>
      </c>
      <c r="N194" s="17">
        <v>16</v>
      </c>
      <c r="O194" s="17">
        <v>15</v>
      </c>
      <c r="P194" s="17">
        <v>14</v>
      </c>
      <c r="Q194" s="17">
        <v>13</v>
      </c>
      <c r="R194" s="17">
        <v>12</v>
      </c>
      <c r="S194" s="17">
        <v>11</v>
      </c>
      <c r="T194" s="17">
        <v>10</v>
      </c>
      <c r="U194" s="17">
        <v>9</v>
      </c>
      <c r="V194" s="17">
        <v>8</v>
      </c>
      <c r="W194" s="17">
        <v>7</v>
      </c>
      <c r="X194" s="17">
        <v>6</v>
      </c>
      <c r="Y194" s="17">
        <v>5</v>
      </c>
      <c r="Z194" s="17">
        <v>4</v>
      </c>
      <c r="AA194" s="17">
        <v>3</v>
      </c>
      <c r="AB194" s="17">
        <v>2</v>
      </c>
      <c r="AC194" s="17">
        <v>1</v>
      </c>
    </row>
    <row r="195" spans="1:33" x14ac:dyDescent="0.2">
      <c r="A195">
        <v>1</v>
      </c>
      <c r="B195" t="s">
        <v>338</v>
      </c>
      <c r="C195" s="18" t="s">
        <v>488</v>
      </c>
      <c r="G195" s="23">
        <f t="shared" ref="G195:G202" si="141">$G$13</f>
        <v>20</v>
      </c>
      <c r="H195" s="4">
        <v>96871750</v>
      </c>
      <c r="I195" s="20">
        <f>+H195/20</f>
        <v>4843587.5</v>
      </c>
      <c r="J195" s="20">
        <f>+H195-$I195</f>
        <v>92028162.5</v>
      </c>
      <c r="K195" s="20">
        <f>+J195-$I195</f>
        <v>87184575</v>
      </c>
      <c r="L195" s="20">
        <f t="shared" ref="L195" si="142">+K195-$I195</f>
        <v>82340987.5</v>
      </c>
      <c r="M195" s="20">
        <f t="shared" ref="M195:M196" si="143">+L195-$I195</f>
        <v>77497400</v>
      </c>
      <c r="N195" s="20">
        <f t="shared" ref="N195:N197" si="144">+M195-$I195</f>
        <v>72653812.5</v>
      </c>
      <c r="O195" s="20">
        <f t="shared" ref="O195:O199" si="145">+N195-$I195</f>
        <v>67810225</v>
      </c>
      <c r="P195" s="20">
        <f t="shared" ref="P195:P200" si="146">+O195-$I195</f>
        <v>62966637.5</v>
      </c>
      <c r="Q195" s="20">
        <f t="shared" ref="Q195:Q201" si="147">+P195-$I195</f>
        <v>58123050</v>
      </c>
      <c r="R195" s="20">
        <f t="shared" ref="R195:R202" si="148">+Q195-$I195</f>
        <v>53279462.5</v>
      </c>
      <c r="S195" s="20">
        <f t="shared" ref="S195:S203" si="149">+R195-$I195</f>
        <v>48435875</v>
      </c>
      <c r="T195" s="20">
        <f t="shared" ref="T195:T204" si="150">+S195-$I195</f>
        <v>43592287.5</v>
      </c>
      <c r="U195" s="20">
        <f t="shared" ref="U195:U205" si="151">+T195-$I195</f>
        <v>38748700</v>
      </c>
      <c r="V195" s="20">
        <f t="shared" ref="V195:V206" si="152">+U195-$I195</f>
        <v>33905112.5</v>
      </c>
      <c r="W195" s="20">
        <f t="shared" ref="W195:W207" si="153">+V195-$I195</f>
        <v>29061525</v>
      </c>
      <c r="X195" s="20">
        <f t="shared" ref="X195:X208" si="154">+W195-$I195</f>
        <v>24217937.5</v>
      </c>
      <c r="Y195" s="20">
        <f t="shared" ref="Y195:Y209" si="155">+X195-$I195</f>
        <v>19374350</v>
      </c>
      <c r="Z195" s="20">
        <f t="shared" ref="Z195:Z210" si="156">+Y195-$I195</f>
        <v>14530762.5</v>
      </c>
      <c r="AA195" s="20">
        <f t="shared" ref="AA195:AA211" si="157">+Z195-$I195</f>
        <v>9687175</v>
      </c>
      <c r="AB195" s="20">
        <f t="shared" ref="AB195:AB212" si="158">+AA195-$I195</f>
        <v>4843587.5</v>
      </c>
      <c r="AC195" s="20">
        <f t="shared" ref="AC195:AC213" si="159">+AB195-$I195</f>
        <v>0</v>
      </c>
      <c r="AE195" s="21">
        <f>SUM(I195)</f>
        <v>4843587.5</v>
      </c>
      <c r="AF195" s="21">
        <f>SUM(J195:J195)</f>
        <v>92028162.5</v>
      </c>
      <c r="AG195" s="21">
        <f t="shared" ref="AG195:AG214" si="160">H195-AE195</f>
        <v>92028162.5</v>
      </c>
    </row>
    <row r="196" spans="1:33" x14ac:dyDescent="0.2">
      <c r="A196">
        <v>2</v>
      </c>
      <c r="B196" t="s">
        <v>338</v>
      </c>
      <c r="C196" s="18" t="s">
        <v>489</v>
      </c>
      <c r="G196" s="23">
        <f t="shared" si="141"/>
        <v>20</v>
      </c>
      <c r="H196" s="4">
        <v>110524000</v>
      </c>
      <c r="I196" s="20">
        <f t="shared" ref="I196:I214" si="161">+H196/20</f>
        <v>5526200</v>
      </c>
      <c r="J196" s="20"/>
      <c r="K196" s="20">
        <f>+H196-I196</f>
        <v>104997800</v>
      </c>
      <c r="L196" s="20">
        <f>+K196-$I196</f>
        <v>99471600</v>
      </c>
      <c r="M196" s="20">
        <f t="shared" si="143"/>
        <v>93945400</v>
      </c>
      <c r="N196" s="20">
        <f t="shared" si="144"/>
        <v>88419200</v>
      </c>
      <c r="O196" s="20">
        <f t="shared" si="145"/>
        <v>82893000</v>
      </c>
      <c r="P196" s="20">
        <f t="shared" si="146"/>
        <v>77366800</v>
      </c>
      <c r="Q196" s="20">
        <f t="shared" si="147"/>
        <v>71840600</v>
      </c>
      <c r="R196" s="20">
        <f t="shared" si="148"/>
        <v>66314400</v>
      </c>
      <c r="S196" s="20">
        <f t="shared" si="149"/>
        <v>60788200</v>
      </c>
      <c r="T196" s="20">
        <f t="shared" si="150"/>
        <v>55262000</v>
      </c>
      <c r="U196" s="20">
        <f t="shared" si="151"/>
        <v>49735800</v>
      </c>
      <c r="V196" s="20">
        <f t="shared" si="152"/>
        <v>44209600</v>
      </c>
      <c r="W196" s="20">
        <f t="shared" si="153"/>
        <v>38683400</v>
      </c>
      <c r="X196" s="20">
        <f t="shared" si="154"/>
        <v>33157200</v>
      </c>
      <c r="Y196" s="20">
        <f t="shared" si="155"/>
        <v>27631000</v>
      </c>
      <c r="Z196" s="20">
        <f t="shared" si="156"/>
        <v>22104800</v>
      </c>
      <c r="AA196" s="20">
        <f t="shared" si="157"/>
        <v>16578600</v>
      </c>
      <c r="AB196" s="20">
        <f t="shared" si="158"/>
        <v>11052400</v>
      </c>
      <c r="AC196" s="20">
        <f t="shared" si="159"/>
        <v>5526200</v>
      </c>
      <c r="AE196" s="21">
        <f>SUM(I195:I196)</f>
        <v>10369787.5</v>
      </c>
      <c r="AF196" s="21">
        <f>SUM(K195:K196)</f>
        <v>192182375</v>
      </c>
      <c r="AG196" s="21">
        <f t="shared" si="160"/>
        <v>100154212.5</v>
      </c>
    </row>
    <row r="197" spans="1:33" x14ac:dyDescent="0.2">
      <c r="A197">
        <v>3</v>
      </c>
      <c r="B197" t="s">
        <v>338</v>
      </c>
      <c r="C197" s="18" t="s">
        <v>490</v>
      </c>
      <c r="G197" s="23">
        <f t="shared" si="141"/>
        <v>20</v>
      </c>
      <c r="H197" s="4">
        <v>94316000</v>
      </c>
      <c r="I197" s="20">
        <f t="shared" si="161"/>
        <v>4715800</v>
      </c>
      <c r="J197" s="20"/>
      <c r="K197" s="20"/>
      <c r="L197" s="20">
        <f>+H197-I197</f>
        <v>89600200</v>
      </c>
      <c r="M197" s="20">
        <f>+L197-$I197</f>
        <v>84884400</v>
      </c>
      <c r="N197" s="20">
        <f t="shared" si="144"/>
        <v>80168600</v>
      </c>
      <c r="O197" s="20">
        <f t="shared" si="145"/>
        <v>75452800</v>
      </c>
      <c r="P197" s="20">
        <f t="shared" si="146"/>
        <v>70737000</v>
      </c>
      <c r="Q197" s="20">
        <f t="shared" si="147"/>
        <v>66021200</v>
      </c>
      <c r="R197" s="20">
        <f t="shared" si="148"/>
        <v>61305400</v>
      </c>
      <c r="S197" s="20">
        <f t="shared" si="149"/>
        <v>56589600</v>
      </c>
      <c r="T197" s="20">
        <f t="shared" si="150"/>
        <v>51873800</v>
      </c>
      <c r="U197" s="20">
        <f t="shared" si="151"/>
        <v>47158000</v>
      </c>
      <c r="V197" s="20">
        <f t="shared" si="152"/>
        <v>42442200</v>
      </c>
      <c r="W197" s="20">
        <f t="shared" si="153"/>
        <v>37726400</v>
      </c>
      <c r="X197" s="20">
        <f t="shared" si="154"/>
        <v>33010600</v>
      </c>
      <c r="Y197" s="20">
        <f t="shared" si="155"/>
        <v>28294800</v>
      </c>
      <c r="Z197" s="20">
        <f t="shared" si="156"/>
        <v>23579000</v>
      </c>
      <c r="AA197" s="20">
        <f t="shared" si="157"/>
        <v>18863200</v>
      </c>
      <c r="AB197" s="20">
        <f t="shared" si="158"/>
        <v>14147400</v>
      </c>
      <c r="AC197" s="20">
        <f t="shared" si="159"/>
        <v>9431600</v>
      </c>
      <c r="AE197" s="21">
        <f>SUM(I195:I197)</f>
        <v>15085587.5</v>
      </c>
      <c r="AF197" s="21">
        <f>SUM(L195:L197)</f>
        <v>271412787.5</v>
      </c>
      <c r="AG197" s="21">
        <f t="shared" si="160"/>
        <v>79230412.5</v>
      </c>
    </row>
    <row r="198" spans="1:33" x14ac:dyDescent="0.2">
      <c r="A198">
        <v>4</v>
      </c>
      <c r="B198" t="s">
        <v>338</v>
      </c>
      <c r="C198" s="18" t="s">
        <v>491</v>
      </c>
      <c r="G198" s="23">
        <f t="shared" si="141"/>
        <v>20</v>
      </c>
      <c r="H198" s="4">
        <v>84176000</v>
      </c>
      <c r="I198" s="20">
        <f t="shared" si="161"/>
        <v>4208800</v>
      </c>
      <c r="J198" s="20"/>
      <c r="K198" s="20"/>
      <c r="L198" s="20"/>
      <c r="M198" s="20">
        <f>+H198-I198</f>
        <v>79967200</v>
      </c>
      <c r="N198" s="20">
        <f>+M198-$I198</f>
        <v>75758400</v>
      </c>
      <c r="O198" s="20">
        <f t="shared" si="145"/>
        <v>71549600</v>
      </c>
      <c r="P198" s="20">
        <f t="shared" si="146"/>
        <v>67340800</v>
      </c>
      <c r="Q198" s="20">
        <f t="shared" si="147"/>
        <v>63132000</v>
      </c>
      <c r="R198" s="20">
        <f t="shared" si="148"/>
        <v>58923200</v>
      </c>
      <c r="S198" s="20">
        <f t="shared" si="149"/>
        <v>54714400</v>
      </c>
      <c r="T198" s="20">
        <f t="shared" si="150"/>
        <v>50505600</v>
      </c>
      <c r="U198" s="20">
        <f t="shared" si="151"/>
        <v>46296800</v>
      </c>
      <c r="V198" s="20">
        <f t="shared" si="152"/>
        <v>42088000</v>
      </c>
      <c r="W198" s="20">
        <f t="shared" si="153"/>
        <v>37879200</v>
      </c>
      <c r="X198" s="20">
        <f t="shared" si="154"/>
        <v>33670400</v>
      </c>
      <c r="Y198" s="20">
        <f t="shared" si="155"/>
        <v>29461600</v>
      </c>
      <c r="Z198" s="20">
        <f t="shared" si="156"/>
        <v>25252800</v>
      </c>
      <c r="AA198" s="20">
        <f t="shared" si="157"/>
        <v>21044000</v>
      </c>
      <c r="AB198" s="20">
        <f t="shared" si="158"/>
        <v>16835200</v>
      </c>
      <c r="AC198" s="20">
        <f t="shared" si="159"/>
        <v>12626400</v>
      </c>
      <c r="AE198" s="21">
        <f>SUM(I195:I198)</f>
        <v>19294387.5</v>
      </c>
      <c r="AF198" s="21">
        <f>SUM(M195:M198)</f>
        <v>336294400</v>
      </c>
      <c r="AG198" s="21">
        <f t="shared" si="160"/>
        <v>64881612.5</v>
      </c>
    </row>
    <row r="199" spans="1:33" x14ac:dyDescent="0.2">
      <c r="A199">
        <v>5</v>
      </c>
      <c r="B199" t="s">
        <v>338</v>
      </c>
      <c r="C199" s="18" t="s">
        <v>484</v>
      </c>
      <c r="G199" s="23">
        <f t="shared" si="141"/>
        <v>20</v>
      </c>
      <c r="H199" s="4">
        <v>88601000</v>
      </c>
      <c r="I199" s="20">
        <f t="shared" si="161"/>
        <v>4430050</v>
      </c>
      <c r="J199" s="20"/>
      <c r="K199" s="20"/>
      <c r="L199" s="20"/>
      <c r="M199" s="20"/>
      <c r="N199" s="20">
        <f>+H199-I199</f>
        <v>84170950</v>
      </c>
      <c r="O199" s="20">
        <f t="shared" si="145"/>
        <v>79740900</v>
      </c>
      <c r="P199" s="20">
        <f t="shared" si="146"/>
        <v>75310850</v>
      </c>
      <c r="Q199" s="20">
        <f t="shared" si="147"/>
        <v>70880800</v>
      </c>
      <c r="R199" s="20">
        <f t="shared" si="148"/>
        <v>66450750</v>
      </c>
      <c r="S199" s="20">
        <f t="shared" si="149"/>
        <v>62020700</v>
      </c>
      <c r="T199" s="20">
        <f t="shared" si="150"/>
        <v>57590650</v>
      </c>
      <c r="U199" s="20">
        <f t="shared" si="151"/>
        <v>53160600</v>
      </c>
      <c r="V199" s="20">
        <f t="shared" si="152"/>
        <v>48730550</v>
      </c>
      <c r="W199" s="20">
        <f t="shared" si="153"/>
        <v>44300500</v>
      </c>
      <c r="X199" s="20">
        <f t="shared" si="154"/>
        <v>39870450</v>
      </c>
      <c r="Y199" s="20">
        <f t="shared" si="155"/>
        <v>35440400</v>
      </c>
      <c r="Z199" s="20">
        <f t="shared" si="156"/>
        <v>31010350</v>
      </c>
      <c r="AA199" s="20">
        <f t="shared" si="157"/>
        <v>26580300</v>
      </c>
      <c r="AB199" s="20">
        <f t="shared" si="158"/>
        <v>22150250</v>
      </c>
      <c r="AC199" s="20">
        <f t="shared" si="159"/>
        <v>17720200</v>
      </c>
      <c r="AE199" s="21">
        <f>SUM(I195:I199)</f>
        <v>23724437.5</v>
      </c>
      <c r="AF199" s="21">
        <f>SUM(N195:N199)</f>
        <v>401170962.5</v>
      </c>
      <c r="AG199" s="21">
        <f t="shared" si="160"/>
        <v>64876562.5</v>
      </c>
    </row>
    <row r="200" spans="1:33" x14ac:dyDescent="0.2">
      <c r="A200">
        <v>6</v>
      </c>
      <c r="B200" t="s">
        <v>338</v>
      </c>
      <c r="C200" s="18" t="s">
        <v>485</v>
      </c>
      <c r="G200" s="23">
        <f t="shared" si="141"/>
        <v>20</v>
      </c>
      <c r="H200" s="4">
        <v>88171000</v>
      </c>
      <c r="I200" s="20">
        <f t="shared" si="161"/>
        <v>4408550</v>
      </c>
      <c r="J200" s="20"/>
      <c r="K200" s="20"/>
      <c r="L200" s="20"/>
      <c r="M200" s="20"/>
      <c r="N200" s="20"/>
      <c r="O200" s="20">
        <f>+H200-I200</f>
        <v>83762450</v>
      </c>
      <c r="P200" s="20">
        <f t="shared" si="146"/>
        <v>79353900</v>
      </c>
      <c r="Q200" s="20">
        <f t="shared" si="147"/>
        <v>74945350</v>
      </c>
      <c r="R200" s="20">
        <f t="shared" si="148"/>
        <v>70536800</v>
      </c>
      <c r="S200" s="20">
        <f t="shared" si="149"/>
        <v>66128250</v>
      </c>
      <c r="T200" s="20">
        <f t="shared" si="150"/>
        <v>61719700</v>
      </c>
      <c r="U200" s="20">
        <f t="shared" si="151"/>
        <v>57311150</v>
      </c>
      <c r="V200" s="20">
        <f t="shared" si="152"/>
        <v>52902600</v>
      </c>
      <c r="W200" s="20">
        <f t="shared" si="153"/>
        <v>48494050</v>
      </c>
      <c r="X200" s="20">
        <f t="shared" si="154"/>
        <v>44085500</v>
      </c>
      <c r="Y200" s="20">
        <f t="shared" si="155"/>
        <v>39676950</v>
      </c>
      <c r="Z200" s="20">
        <f t="shared" si="156"/>
        <v>35268400</v>
      </c>
      <c r="AA200" s="20">
        <f t="shared" si="157"/>
        <v>30859850</v>
      </c>
      <c r="AB200" s="20">
        <f t="shared" si="158"/>
        <v>26451300</v>
      </c>
      <c r="AC200" s="20">
        <f t="shared" si="159"/>
        <v>22042750</v>
      </c>
      <c r="AE200" s="21">
        <f>SUM(I195:I200)</f>
        <v>28132987.5</v>
      </c>
      <c r="AF200" s="21">
        <f>SUM(O195:O200)</f>
        <v>461208975</v>
      </c>
      <c r="AG200" s="21">
        <f t="shared" si="160"/>
        <v>60038012.5</v>
      </c>
    </row>
    <row r="201" spans="1:33" x14ac:dyDescent="0.2">
      <c r="A201">
        <v>7</v>
      </c>
      <c r="B201" t="s">
        <v>338</v>
      </c>
      <c r="C201" s="18" t="s">
        <v>486</v>
      </c>
      <c r="G201" s="23">
        <f t="shared" si="141"/>
        <v>20</v>
      </c>
      <c r="H201" s="4">
        <v>100863000</v>
      </c>
      <c r="I201" s="20">
        <f t="shared" si="161"/>
        <v>5043150</v>
      </c>
      <c r="J201" s="20"/>
      <c r="K201" s="20"/>
      <c r="L201" s="20"/>
      <c r="M201" s="20"/>
      <c r="N201" s="20"/>
      <c r="O201" s="20"/>
      <c r="P201" s="20">
        <f>+H201-I201</f>
        <v>95819850</v>
      </c>
      <c r="Q201" s="20">
        <f t="shared" si="147"/>
        <v>90776700</v>
      </c>
      <c r="R201" s="20">
        <f t="shared" si="148"/>
        <v>85733550</v>
      </c>
      <c r="S201" s="20">
        <f t="shared" si="149"/>
        <v>80690400</v>
      </c>
      <c r="T201" s="20">
        <f t="shared" si="150"/>
        <v>75647250</v>
      </c>
      <c r="U201" s="20">
        <f t="shared" si="151"/>
        <v>70604100</v>
      </c>
      <c r="V201" s="20">
        <f t="shared" si="152"/>
        <v>65560950</v>
      </c>
      <c r="W201" s="20">
        <f t="shared" si="153"/>
        <v>60517800</v>
      </c>
      <c r="X201" s="20">
        <f t="shared" si="154"/>
        <v>55474650</v>
      </c>
      <c r="Y201" s="20">
        <f t="shared" si="155"/>
        <v>50431500</v>
      </c>
      <c r="Z201" s="20">
        <f t="shared" si="156"/>
        <v>45388350</v>
      </c>
      <c r="AA201" s="20">
        <f t="shared" si="157"/>
        <v>40345200</v>
      </c>
      <c r="AB201" s="20">
        <f t="shared" si="158"/>
        <v>35302050</v>
      </c>
      <c r="AC201" s="20">
        <f t="shared" si="159"/>
        <v>30258900</v>
      </c>
      <c r="AE201" s="21">
        <f>SUM(I195:I201)</f>
        <v>33176137.5</v>
      </c>
      <c r="AF201" s="21">
        <f>SUM(P195:P201)</f>
        <v>528895837.5</v>
      </c>
      <c r="AG201" s="21">
        <f t="shared" si="160"/>
        <v>67686862.5</v>
      </c>
    </row>
    <row r="202" spans="1:33" x14ac:dyDescent="0.2">
      <c r="A202">
        <v>8</v>
      </c>
      <c r="B202" t="s">
        <v>338</v>
      </c>
      <c r="C202" s="18" t="s">
        <v>487</v>
      </c>
      <c r="G202" s="23">
        <f t="shared" si="141"/>
        <v>20</v>
      </c>
      <c r="H202" s="4">
        <v>82044000</v>
      </c>
      <c r="I202" s="20">
        <f t="shared" si="161"/>
        <v>4102200</v>
      </c>
      <c r="J202" s="20"/>
      <c r="K202" s="20"/>
      <c r="L202" s="20"/>
      <c r="M202" s="20"/>
      <c r="N202" s="20"/>
      <c r="O202" s="20"/>
      <c r="P202" s="20"/>
      <c r="Q202" s="20">
        <f>+H202-I202</f>
        <v>77941800</v>
      </c>
      <c r="R202" s="20">
        <f t="shared" si="148"/>
        <v>73839600</v>
      </c>
      <c r="S202" s="20">
        <f t="shared" si="149"/>
        <v>69737400</v>
      </c>
      <c r="T202" s="20">
        <f t="shared" si="150"/>
        <v>65635200</v>
      </c>
      <c r="U202" s="20">
        <f t="shared" si="151"/>
        <v>61533000</v>
      </c>
      <c r="V202" s="20">
        <f t="shared" si="152"/>
        <v>57430800</v>
      </c>
      <c r="W202" s="20">
        <f t="shared" si="153"/>
        <v>53328600</v>
      </c>
      <c r="X202" s="20">
        <f t="shared" si="154"/>
        <v>49226400</v>
      </c>
      <c r="Y202" s="20">
        <f t="shared" si="155"/>
        <v>45124200</v>
      </c>
      <c r="Z202" s="20">
        <f t="shared" si="156"/>
        <v>41022000</v>
      </c>
      <c r="AA202" s="20">
        <f t="shared" si="157"/>
        <v>36919800</v>
      </c>
      <c r="AB202" s="20">
        <f t="shared" si="158"/>
        <v>32817600</v>
      </c>
      <c r="AC202" s="20">
        <f t="shared" si="159"/>
        <v>28715400</v>
      </c>
      <c r="AE202" s="21">
        <f>SUM(I195:I202)</f>
        <v>37278337.5</v>
      </c>
      <c r="AF202" s="21">
        <f>SUM(Q195:Q202)</f>
        <v>573661500</v>
      </c>
      <c r="AG202" s="21">
        <f t="shared" si="160"/>
        <v>44765662.5</v>
      </c>
    </row>
    <row r="203" spans="1:33" x14ac:dyDescent="0.2">
      <c r="A203">
        <v>9</v>
      </c>
      <c r="B203" t="s">
        <v>338</v>
      </c>
      <c r="C203" s="18" t="s">
        <v>104</v>
      </c>
      <c r="D203" s="4">
        <v>3924000000</v>
      </c>
      <c r="E203" s="4">
        <v>5268000000</v>
      </c>
      <c r="F203" s="4">
        <v>7339000000</v>
      </c>
      <c r="G203" s="19">
        <v>20</v>
      </c>
      <c r="H203" s="4">
        <v>90100000</v>
      </c>
      <c r="I203" s="20">
        <f t="shared" si="161"/>
        <v>4505000</v>
      </c>
      <c r="J203" s="20"/>
      <c r="K203" s="20"/>
      <c r="L203" s="20"/>
      <c r="M203" s="20"/>
      <c r="N203" s="20"/>
      <c r="O203" s="20"/>
      <c r="P203" s="20"/>
      <c r="Q203" s="20"/>
      <c r="R203" s="20">
        <f>+H203-I203</f>
        <v>85595000</v>
      </c>
      <c r="S203" s="20">
        <f t="shared" si="149"/>
        <v>81090000</v>
      </c>
      <c r="T203" s="20">
        <f t="shared" si="150"/>
        <v>76585000</v>
      </c>
      <c r="U203" s="20">
        <f t="shared" si="151"/>
        <v>72080000</v>
      </c>
      <c r="V203" s="20">
        <f t="shared" si="152"/>
        <v>67575000</v>
      </c>
      <c r="W203" s="20">
        <f t="shared" si="153"/>
        <v>63070000</v>
      </c>
      <c r="X203" s="20">
        <f t="shared" si="154"/>
        <v>58565000</v>
      </c>
      <c r="Y203" s="20">
        <f t="shared" si="155"/>
        <v>54060000</v>
      </c>
      <c r="Z203" s="20">
        <f t="shared" si="156"/>
        <v>49555000</v>
      </c>
      <c r="AA203" s="20">
        <f t="shared" si="157"/>
        <v>45050000</v>
      </c>
      <c r="AB203" s="20">
        <f t="shared" si="158"/>
        <v>40545000</v>
      </c>
      <c r="AC203" s="20">
        <f t="shared" si="159"/>
        <v>36040000</v>
      </c>
      <c r="AE203" s="21">
        <f>SUM(I195:I203)</f>
        <v>41783337.5</v>
      </c>
      <c r="AF203" s="21">
        <f>SUM(R195:R203)</f>
        <v>621978162.5</v>
      </c>
      <c r="AG203" s="21">
        <f t="shared" si="160"/>
        <v>48316662.5</v>
      </c>
    </row>
    <row r="204" spans="1:33" x14ac:dyDescent="0.2">
      <c r="A204">
        <v>10</v>
      </c>
      <c r="B204" t="s">
        <v>338</v>
      </c>
      <c r="C204" s="18" t="s">
        <v>103</v>
      </c>
      <c r="D204" s="22">
        <f>$D203</f>
        <v>3924000000</v>
      </c>
      <c r="E204" s="22">
        <f>$E203</f>
        <v>5268000000</v>
      </c>
      <c r="F204" s="22">
        <f>$F203</f>
        <v>7339000000</v>
      </c>
      <c r="G204" s="23">
        <f>$G$13</f>
        <v>20</v>
      </c>
      <c r="H204" s="4">
        <v>99533000</v>
      </c>
      <c r="I204" s="20">
        <f t="shared" si="161"/>
        <v>4976650</v>
      </c>
      <c r="J204" s="20"/>
      <c r="K204" s="20"/>
      <c r="L204" s="20"/>
      <c r="M204" s="20"/>
      <c r="N204" s="20"/>
      <c r="O204" s="20"/>
      <c r="P204" s="20"/>
      <c r="Q204" s="20"/>
      <c r="R204" s="20"/>
      <c r="S204" s="20">
        <f>+H204-I204</f>
        <v>94556350</v>
      </c>
      <c r="T204" s="20">
        <f t="shared" si="150"/>
        <v>89579700</v>
      </c>
      <c r="U204" s="20">
        <f t="shared" si="151"/>
        <v>84603050</v>
      </c>
      <c r="V204" s="20">
        <f t="shared" si="152"/>
        <v>79626400</v>
      </c>
      <c r="W204" s="20">
        <f t="shared" si="153"/>
        <v>74649750</v>
      </c>
      <c r="X204" s="20">
        <f t="shared" si="154"/>
        <v>69673100</v>
      </c>
      <c r="Y204" s="20">
        <f t="shared" si="155"/>
        <v>64696450</v>
      </c>
      <c r="Z204" s="20">
        <f t="shared" si="156"/>
        <v>59719800</v>
      </c>
      <c r="AA204" s="20">
        <f t="shared" si="157"/>
        <v>54743150</v>
      </c>
      <c r="AB204" s="20">
        <f t="shared" si="158"/>
        <v>49766500</v>
      </c>
      <c r="AC204" s="20">
        <f t="shared" si="159"/>
        <v>44789850</v>
      </c>
      <c r="AE204" s="21">
        <f>SUM(I195:I204)</f>
        <v>46759987.5</v>
      </c>
      <c r="AF204" s="21">
        <f>SUM(S195:S204)</f>
        <v>674751175</v>
      </c>
      <c r="AG204" s="21">
        <f t="shared" si="160"/>
        <v>52773012.5</v>
      </c>
    </row>
    <row r="205" spans="1:33" x14ac:dyDescent="0.2">
      <c r="A205">
        <v>11</v>
      </c>
      <c r="B205" t="s">
        <v>338</v>
      </c>
      <c r="C205" s="18" t="s">
        <v>102</v>
      </c>
      <c r="D205" s="22">
        <f>$D203</f>
        <v>3924000000</v>
      </c>
      <c r="E205" s="22">
        <f>$E203</f>
        <v>5268000000</v>
      </c>
      <c r="F205" s="22">
        <f>$F203</f>
        <v>7339000000</v>
      </c>
      <c r="G205" s="23">
        <f t="shared" ref="G205:G214" si="162">$G$13</f>
        <v>20</v>
      </c>
      <c r="H205" s="4">
        <v>105708000</v>
      </c>
      <c r="I205" s="20">
        <f t="shared" si="161"/>
        <v>5285400</v>
      </c>
      <c r="J205" s="20"/>
      <c r="K205" s="20"/>
      <c r="L205" s="20"/>
      <c r="M205" s="20"/>
      <c r="N205" s="20"/>
      <c r="O205" s="20"/>
      <c r="P205" s="20"/>
      <c r="Q205" s="20"/>
      <c r="R205" s="20"/>
      <c r="S205" s="20"/>
      <c r="T205" s="20">
        <f>+H205-I205</f>
        <v>100422600</v>
      </c>
      <c r="U205" s="20">
        <f t="shared" si="151"/>
        <v>95137200</v>
      </c>
      <c r="V205" s="20">
        <f t="shared" si="152"/>
        <v>89851800</v>
      </c>
      <c r="W205" s="20">
        <f t="shared" si="153"/>
        <v>84566400</v>
      </c>
      <c r="X205" s="20">
        <f t="shared" si="154"/>
        <v>79281000</v>
      </c>
      <c r="Y205" s="20">
        <f t="shared" si="155"/>
        <v>73995600</v>
      </c>
      <c r="Z205" s="20">
        <f t="shared" si="156"/>
        <v>68710200</v>
      </c>
      <c r="AA205" s="20">
        <f t="shared" si="157"/>
        <v>63424800</v>
      </c>
      <c r="AB205" s="20">
        <f t="shared" si="158"/>
        <v>58139400</v>
      </c>
      <c r="AC205" s="20">
        <f t="shared" si="159"/>
        <v>52854000</v>
      </c>
      <c r="AE205" s="21">
        <f>SUM(I195:I205)</f>
        <v>52045387.5</v>
      </c>
      <c r="AF205" s="21">
        <f>SUM(T195:T205)</f>
        <v>728413787.5</v>
      </c>
      <c r="AG205" s="21">
        <f t="shared" si="160"/>
        <v>53662612.5</v>
      </c>
    </row>
    <row r="206" spans="1:33" x14ac:dyDescent="0.2">
      <c r="A206">
        <v>12</v>
      </c>
      <c r="B206" t="s">
        <v>338</v>
      </c>
      <c r="C206" s="18" t="s">
        <v>101</v>
      </c>
      <c r="D206" s="22">
        <f>$D203</f>
        <v>3924000000</v>
      </c>
      <c r="E206" s="22">
        <f>$E203</f>
        <v>5268000000</v>
      </c>
      <c r="F206" s="22">
        <f>$F203</f>
        <v>7339000000</v>
      </c>
      <c r="G206" s="23">
        <f t="shared" si="162"/>
        <v>20</v>
      </c>
      <c r="H206" s="4">
        <v>109283000</v>
      </c>
      <c r="I206" s="20">
        <f t="shared" si="161"/>
        <v>5464150</v>
      </c>
      <c r="J206" s="20"/>
      <c r="K206" s="20"/>
      <c r="L206" s="20"/>
      <c r="M206" s="20"/>
      <c r="N206" s="20"/>
      <c r="O206" s="20"/>
      <c r="P206" s="20"/>
      <c r="Q206" s="20"/>
      <c r="R206" s="20"/>
      <c r="S206" s="20"/>
      <c r="T206" s="20"/>
      <c r="U206" s="20">
        <f>+H206-I206</f>
        <v>103818850</v>
      </c>
      <c r="V206" s="20">
        <f t="shared" si="152"/>
        <v>98354700</v>
      </c>
      <c r="W206" s="20">
        <f t="shared" si="153"/>
        <v>92890550</v>
      </c>
      <c r="X206" s="20">
        <f t="shared" si="154"/>
        <v>87426400</v>
      </c>
      <c r="Y206" s="20">
        <f t="shared" si="155"/>
        <v>81962250</v>
      </c>
      <c r="Z206" s="20">
        <f t="shared" si="156"/>
        <v>76498100</v>
      </c>
      <c r="AA206" s="20">
        <f t="shared" si="157"/>
        <v>71033950</v>
      </c>
      <c r="AB206" s="20">
        <f t="shared" si="158"/>
        <v>65569800</v>
      </c>
      <c r="AC206" s="20">
        <f t="shared" si="159"/>
        <v>60105650</v>
      </c>
      <c r="AE206" s="21">
        <f>SUM(I195:I206)</f>
        <v>57509537.5</v>
      </c>
      <c r="AF206" s="21">
        <f>SUM(U195:U206)</f>
        <v>780187250</v>
      </c>
      <c r="AG206" s="21">
        <f t="shared" si="160"/>
        <v>51773462.5</v>
      </c>
    </row>
    <row r="207" spans="1:33" x14ac:dyDescent="0.2">
      <c r="A207">
        <v>13</v>
      </c>
      <c r="B207" t="s">
        <v>338</v>
      </c>
      <c r="C207" s="18" t="s">
        <v>100</v>
      </c>
      <c r="D207" s="22">
        <f>$D203</f>
        <v>3924000000</v>
      </c>
      <c r="E207" s="22">
        <f>$E203</f>
        <v>5268000000</v>
      </c>
      <c r="F207" s="22">
        <f>$F203</f>
        <v>7339000000</v>
      </c>
      <c r="G207" s="23">
        <f t="shared" si="162"/>
        <v>20</v>
      </c>
      <c r="H207" s="4">
        <v>110040000</v>
      </c>
      <c r="I207" s="20">
        <f t="shared" si="161"/>
        <v>5502000</v>
      </c>
      <c r="J207" s="20"/>
      <c r="K207" s="20"/>
      <c r="L207" s="20"/>
      <c r="M207" s="20"/>
      <c r="N207" s="20"/>
      <c r="O207" s="20"/>
      <c r="P207" s="20"/>
      <c r="Q207" s="20"/>
      <c r="R207" s="20"/>
      <c r="S207" s="20"/>
      <c r="T207" s="20"/>
      <c r="U207" s="20"/>
      <c r="V207" s="20">
        <f>+H207-I207</f>
        <v>104538000</v>
      </c>
      <c r="W207" s="20">
        <f t="shared" si="153"/>
        <v>99036000</v>
      </c>
      <c r="X207" s="20">
        <f t="shared" si="154"/>
        <v>93534000</v>
      </c>
      <c r="Y207" s="20">
        <f t="shared" si="155"/>
        <v>88032000</v>
      </c>
      <c r="Z207" s="20">
        <f t="shared" si="156"/>
        <v>82530000</v>
      </c>
      <c r="AA207" s="20">
        <f t="shared" si="157"/>
        <v>77028000</v>
      </c>
      <c r="AB207" s="20">
        <f t="shared" si="158"/>
        <v>71526000</v>
      </c>
      <c r="AC207" s="20">
        <f t="shared" si="159"/>
        <v>66024000</v>
      </c>
      <c r="AE207" s="21">
        <f>SUM(I195:I207)</f>
        <v>63011537.5</v>
      </c>
      <c r="AF207" s="21">
        <f>SUM(V195:V207)</f>
        <v>827215712.5</v>
      </c>
      <c r="AG207" s="21">
        <f t="shared" si="160"/>
        <v>47028462.5</v>
      </c>
    </row>
    <row r="208" spans="1:33" x14ac:dyDescent="0.2">
      <c r="A208">
        <v>14</v>
      </c>
      <c r="B208" t="s">
        <v>338</v>
      </c>
      <c r="C208" s="18" t="s">
        <v>99</v>
      </c>
      <c r="D208" s="22">
        <f>$D203</f>
        <v>3924000000</v>
      </c>
      <c r="E208" s="22">
        <f>$E203</f>
        <v>5268000000</v>
      </c>
      <c r="F208" s="22">
        <f>$F203</f>
        <v>7339000000</v>
      </c>
      <c r="G208" s="23">
        <f t="shared" si="162"/>
        <v>20</v>
      </c>
      <c r="H208" s="4">
        <v>108781000</v>
      </c>
      <c r="I208" s="20">
        <f t="shared" si="161"/>
        <v>5439050</v>
      </c>
      <c r="J208" s="20"/>
      <c r="K208" s="20"/>
      <c r="L208" s="20"/>
      <c r="M208" s="20"/>
      <c r="N208" s="20"/>
      <c r="O208" s="20"/>
      <c r="P208" s="20"/>
      <c r="Q208" s="20"/>
      <c r="R208" s="20"/>
      <c r="S208" s="20"/>
      <c r="T208" s="20"/>
      <c r="U208" s="20"/>
      <c r="V208" s="20"/>
      <c r="W208" s="20">
        <f>+H208-I208</f>
        <v>103341950</v>
      </c>
      <c r="X208" s="20">
        <f t="shared" si="154"/>
        <v>97902900</v>
      </c>
      <c r="Y208" s="20">
        <f t="shared" si="155"/>
        <v>92463850</v>
      </c>
      <c r="Z208" s="20">
        <f t="shared" si="156"/>
        <v>87024800</v>
      </c>
      <c r="AA208" s="20">
        <f t="shared" si="157"/>
        <v>81585750</v>
      </c>
      <c r="AB208" s="20">
        <f t="shared" si="158"/>
        <v>76146700</v>
      </c>
      <c r="AC208" s="20">
        <f t="shared" si="159"/>
        <v>70707650</v>
      </c>
      <c r="AE208" s="21">
        <f>SUM(I195:I208)</f>
        <v>68450587.5</v>
      </c>
      <c r="AF208" s="21">
        <f>SUM(W195:W208)</f>
        <v>867546125</v>
      </c>
      <c r="AG208" s="21">
        <f t="shared" si="160"/>
        <v>40330412.5</v>
      </c>
    </row>
    <row r="209" spans="1:33" x14ac:dyDescent="0.2">
      <c r="A209">
        <v>15</v>
      </c>
      <c r="B209" t="s">
        <v>338</v>
      </c>
      <c r="C209" s="18" t="s">
        <v>98</v>
      </c>
      <c r="D209" s="22">
        <f>$D203</f>
        <v>3924000000</v>
      </c>
      <c r="E209" s="22">
        <f>$E203</f>
        <v>5268000000</v>
      </c>
      <c r="F209" s="22">
        <f>$F203</f>
        <v>7339000000</v>
      </c>
      <c r="G209" s="23">
        <f t="shared" si="162"/>
        <v>20</v>
      </c>
      <c r="H209" s="4">
        <v>117555000</v>
      </c>
      <c r="I209" s="20">
        <f t="shared" si="161"/>
        <v>5877750</v>
      </c>
      <c r="J209" s="20"/>
      <c r="K209" s="20"/>
      <c r="L209" s="20"/>
      <c r="M209" s="20"/>
      <c r="N209" s="20"/>
      <c r="O209" s="20"/>
      <c r="P209" s="20"/>
      <c r="Q209" s="20"/>
      <c r="R209" s="20"/>
      <c r="S209" s="20"/>
      <c r="T209" s="20"/>
      <c r="U209" s="20"/>
      <c r="V209" s="20"/>
      <c r="W209" s="20"/>
      <c r="X209" s="20">
        <f>+H209-I209</f>
        <v>111677250</v>
      </c>
      <c r="Y209" s="20">
        <f t="shared" si="155"/>
        <v>105799500</v>
      </c>
      <c r="Z209" s="20">
        <f t="shared" si="156"/>
        <v>99921750</v>
      </c>
      <c r="AA209" s="20">
        <f t="shared" si="157"/>
        <v>94044000</v>
      </c>
      <c r="AB209" s="20">
        <f t="shared" si="158"/>
        <v>88166250</v>
      </c>
      <c r="AC209" s="20">
        <f t="shared" si="159"/>
        <v>82288500</v>
      </c>
      <c r="AE209" s="21">
        <f>SUM(I195:I209)</f>
        <v>74328337.5</v>
      </c>
      <c r="AF209" s="21">
        <f>SUM(X195:X209)</f>
        <v>910772787.5</v>
      </c>
      <c r="AG209" s="21">
        <f t="shared" si="160"/>
        <v>43226662.5</v>
      </c>
    </row>
    <row r="210" spans="1:33" x14ac:dyDescent="0.2">
      <c r="A210">
        <v>16</v>
      </c>
      <c r="B210" t="s">
        <v>338</v>
      </c>
      <c r="C210" s="18" t="s">
        <v>97</v>
      </c>
      <c r="D210" s="22">
        <f>$D203</f>
        <v>3924000000</v>
      </c>
      <c r="E210" s="22">
        <f>$E203</f>
        <v>5268000000</v>
      </c>
      <c r="F210" s="22">
        <f>$F203</f>
        <v>7339000000</v>
      </c>
      <c r="G210" s="23">
        <f t="shared" si="162"/>
        <v>20</v>
      </c>
      <c r="H210" s="4">
        <v>171502000</v>
      </c>
      <c r="I210" s="20">
        <f t="shared" si="161"/>
        <v>8575100</v>
      </c>
      <c r="J210" s="20"/>
      <c r="K210" s="20"/>
      <c r="L210" s="20"/>
      <c r="M210" s="20"/>
      <c r="N210" s="20"/>
      <c r="O210" s="20"/>
      <c r="P210" s="20"/>
      <c r="Q210" s="20"/>
      <c r="R210" s="20"/>
      <c r="S210" s="20"/>
      <c r="T210" s="20"/>
      <c r="U210" s="20"/>
      <c r="V210" s="20"/>
      <c r="W210" s="20"/>
      <c r="X210" s="20"/>
      <c r="Y210" s="20">
        <f>+H210-I210</f>
        <v>162926900</v>
      </c>
      <c r="Z210" s="20">
        <f t="shared" si="156"/>
        <v>154351800</v>
      </c>
      <c r="AA210" s="20">
        <f t="shared" si="157"/>
        <v>145776700</v>
      </c>
      <c r="AB210" s="20">
        <f t="shared" si="158"/>
        <v>137201600</v>
      </c>
      <c r="AC210" s="20">
        <f t="shared" si="159"/>
        <v>128626500</v>
      </c>
      <c r="AE210" s="21">
        <f>SUM(I195:I210)</f>
        <v>82903437.5</v>
      </c>
      <c r="AF210" s="21">
        <f>SUM(Y195:Y210)</f>
        <v>999371350</v>
      </c>
      <c r="AG210" s="21">
        <f t="shared" si="160"/>
        <v>88598562.5</v>
      </c>
    </row>
    <row r="211" spans="1:33" x14ac:dyDescent="0.2">
      <c r="A211">
        <v>17</v>
      </c>
      <c r="B211" t="s">
        <v>338</v>
      </c>
      <c r="C211" s="18" t="s">
        <v>96</v>
      </c>
      <c r="D211" s="22">
        <f>$D203</f>
        <v>3924000000</v>
      </c>
      <c r="E211" s="22">
        <f>$E203</f>
        <v>5268000000</v>
      </c>
      <c r="F211" s="22">
        <f>$F203</f>
        <v>7339000000</v>
      </c>
      <c r="G211" s="23">
        <f t="shared" si="162"/>
        <v>20</v>
      </c>
      <c r="H211" s="4">
        <v>134889000</v>
      </c>
      <c r="I211" s="20">
        <f t="shared" si="161"/>
        <v>6744450</v>
      </c>
      <c r="J211" s="20"/>
      <c r="K211" s="20"/>
      <c r="L211" s="20"/>
      <c r="M211" s="20"/>
      <c r="N211" s="20"/>
      <c r="O211" s="20"/>
      <c r="P211" s="20"/>
      <c r="Q211" s="20"/>
      <c r="R211" s="20"/>
      <c r="S211" s="20"/>
      <c r="T211" s="20"/>
      <c r="U211" s="20"/>
      <c r="V211" s="20"/>
      <c r="W211" s="20"/>
      <c r="X211" s="20"/>
      <c r="Y211" s="20"/>
      <c r="Z211" s="20">
        <f>+H211-I211</f>
        <v>128144550</v>
      </c>
      <c r="AA211" s="20">
        <f t="shared" si="157"/>
        <v>121400100</v>
      </c>
      <c r="AB211" s="20">
        <f t="shared" si="158"/>
        <v>114655650</v>
      </c>
      <c r="AC211" s="20">
        <f t="shared" si="159"/>
        <v>107911200</v>
      </c>
      <c r="AE211" s="21">
        <f>SUM(I195:I211)</f>
        <v>89647887.5</v>
      </c>
      <c r="AF211" s="21">
        <f>SUM(Z195:Z211)</f>
        <v>1044612462.5</v>
      </c>
      <c r="AG211" s="21">
        <f t="shared" si="160"/>
        <v>45241112.5</v>
      </c>
    </row>
    <row r="212" spans="1:33" x14ac:dyDescent="0.2">
      <c r="A212">
        <v>18</v>
      </c>
      <c r="B212" t="s">
        <v>338</v>
      </c>
      <c r="C212" s="18" t="s">
        <v>95</v>
      </c>
      <c r="D212" s="22">
        <f>$D203</f>
        <v>3924000000</v>
      </c>
      <c r="E212" s="22">
        <f>$E203</f>
        <v>5268000000</v>
      </c>
      <c r="F212" s="22">
        <f>$F203</f>
        <v>7339000000</v>
      </c>
      <c r="G212" s="23">
        <f t="shared" si="162"/>
        <v>20</v>
      </c>
      <c r="H212" s="4">
        <v>135043000</v>
      </c>
      <c r="I212" s="20">
        <f t="shared" si="161"/>
        <v>6752150</v>
      </c>
      <c r="J212" s="20"/>
      <c r="K212" s="20"/>
      <c r="L212" s="20"/>
      <c r="M212" s="20"/>
      <c r="N212" s="20"/>
      <c r="O212" s="20"/>
      <c r="P212" s="20"/>
      <c r="Q212" s="20"/>
      <c r="R212" s="20"/>
      <c r="S212" s="20"/>
      <c r="T212" s="20"/>
      <c r="U212" s="20"/>
      <c r="V212" s="20"/>
      <c r="W212" s="20"/>
      <c r="X212" s="20"/>
      <c r="Y212" s="20"/>
      <c r="Z212" s="20"/>
      <c r="AA212" s="20">
        <f>+H212-I212</f>
        <v>128290850</v>
      </c>
      <c r="AB212" s="20">
        <f t="shared" si="158"/>
        <v>121538700</v>
      </c>
      <c r="AC212" s="20">
        <f t="shared" si="159"/>
        <v>114786550</v>
      </c>
      <c r="AE212" s="21">
        <f>SUM(I195:I212)</f>
        <v>96400037.5</v>
      </c>
      <c r="AF212" s="21">
        <f>SUM(AA195:AA212)</f>
        <v>1083255425</v>
      </c>
      <c r="AG212" s="21">
        <f t="shared" si="160"/>
        <v>38642962.5</v>
      </c>
    </row>
    <row r="213" spans="1:33" x14ac:dyDescent="0.2">
      <c r="A213">
        <v>19</v>
      </c>
      <c r="B213" t="s">
        <v>338</v>
      </c>
      <c r="C213" s="18" t="s">
        <v>94</v>
      </c>
      <c r="D213" s="22">
        <f>$D203</f>
        <v>3924000000</v>
      </c>
      <c r="E213" s="22">
        <f>$E203</f>
        <v>5268000000</v>
      </c>
      <c r="F213" s="22">
        <f>$F203</f>
        <v>7339000000</v>
      </c>
      <c r="G213" s="23">
        <f t="shared" si="162"/>
        <v>20</v>
      </c>
      <c r="H213" s="4">
        <v>144191000</v>
      </c>
      <c r="I213" s="20">
        <f t="shared" si="161"/>
        <v>7209550</v>
      </c>
      <c r="J213" s="20"/>
      <c r="K213" s="20"/>
      <c r="L213" s="20"/>
      <c r="M213" s="20"/>
      <c r="N213" s="20"/>
      <c r="O213" s="20"/>
      <c r="P213" s="20"/>
      <c r="Q213" s="20"/>
      <c r="R213" s="20"/>
      <c r="S213" s="20"/>
      <c r="T213" s="20"/>
      <c r="U213" s="20"/>
      <c r="V213" s="20"/>
      <c r="W213" s="20"/>
      <c r="X213" s="20"/>
      <c r="Y213" s="20"/>
      <c r="Z213" s="20"/>
      <c r="AA213" s="20"/>
      <c r="AB213" s="20">
        <f>+H213-I213</f>
        <v>136981450</v>
      </c>
      <c r="AC213" s="20">
        <f t="shared" si="159"/>
        <v>129771900</v>
      </c>
      <c r="AE213" s="21">
        <f>SUM(I195:I213)</f>
        <v>103609587.5</v>
      </c>
      <c r="AF213" s="21">
        <f>SUM(AB195:AB213)</f>
        <v>1123836837.5</v>
      </c>
      <c r="AG213" s="21">
        <f t="shared" si="160"/>
        <v>40581412.5</v>
      </c>
    </row>
    <row r="214" spans="1:33" x14ac:dyDescent="0.2">
      <c r="A214">
        <v>20</v>
      </c>
      <c r="B214" t="s">
        <v>338</v>
      </c>
      <c r="C214" s="18" t="s">
        <v>93</v>
      </c>
      <c r="D214" s="22">
        <f>$D203</f>
        <v>3924000000</v>
      </c>
      <c r="E214" s="22">
        <f>$E203</f>
        <v>5268000000</v>
      </c>
      <c r="F214" s="22">
        <f>$F203</f>
        <v>7339000000</v>
      </c>
      <c r="G214" s="23">
        <f t="shared" si="162"/>
        <v>20</v>
      </c>
      <c r="H214" s="4">
        <v>143554000</v>
      </c>
      <c r="I214" s="20">
        <f t="shared" si="161"/>
        <v>7177700</v>
      </c>
      <c r="J214" s="20"/>
      <c r="K214" s="20"/>
      <c r="L214" s="20"/>
      <c r="M214" s="20"/>
      <c r="N214" s="20"/>
      <c r="O214" s="20"/>
      <c r="P214" s="20"/>
      <c r="Q214" s="20"/>
      <c r="R214" s="20"/>
      <c r="S214" s="20"/>
      <c r="T214" s="20"/>
      <c r="U214" s="20"/>
      <c r="V214" s="20"/>
      <c r="W214" s="20"/>
      <c r="X214" s="20"/>
      <c r="Y214" s="20"/>
      <c r="Z214" s="20"/>
      <c r="AA214" s="20"/>
      <c r="AB214" s="20"/>
      <c r="AC214" s="20">
        <f>+H214-I214</f>
        <v>136376300</v>
      </c>
      <c r="AE214" s="21">
        <f>SUM(I195:I214)</f>
        <v>110787287.5</v>
      </c>
      <c r="AF214" s="21">
        <f>SUM(AC195:AC214)</f>
        <v>1156603550</v>
      </c>
      <c r="AG214" s="21">
        <f t="shared" si="160"/>
        <v>32766712.5</v>
      </c>
    </row>
    <row r="217" spans="1:33" x14ac:dyDescent="0.2">
      <c r="C217" t="s">
        <v>338</v>
      </c>
    </row>
    <row r="218" spans="1:33" x14ac:dyDescent="0.2">
      <c r="C218" s="6" t="s">
        <v>107</v>
      </c>
      <c r="D218" s="6" t="s">
        <v>438</v>
      </c>
      <c r="E218" s="6" t="s">
        <v>439</v>
      </c>
      <c r="F218" s="6" t="s">
        <v>440</v>
      </c>
      <c r="G218" s="6" t="s">
        <v>441</v>
      </c>
      <c r="H218" s="6" t="s">
        <v>442</v>
      </c>
      <c r="I218" s="15"/>
      <c r="J218" s="6" t="s">
        <v>443</v>
      </c>
      <c r="K218" s="6" t="s">
        <v>444</v>
      </c>
      <c r="L218" s="6" t="s">
        <v>445</v>
      </c>
      <c r="M218" s="6" t="s">
        <v>446</v>
      </c>
      <c r="N218" s="6" t="s">
        <v>447</v>
      </c>
      <c r="O218" s="6" t="s">
        <v>448</v>
      </c>
      <c r="P218" s="6" t="s">
        <v>449</v>
      </c>
      <c r="Q218" s="6" t="s">
        <v>450</v>
      </c>
      <c r="R218" s="6" t="s">
        <v>451</v>
      </c>
      <c r="S218" s="6" t="s">
        <v>452</v>
      </c>
      <c r="T218" s="6" t="s">
        <v>453</v>
      </c>
      <c r="U218" s="6" t="s">
        <v>454</v>
      </c>
      <c r="V218" s="6" t="s">
        <v>455</v>
      </c>
      <c r="W218" s="6" t="s">
        <v>456</v>
      </c>
      <c r="X218" s="6" t="s">
        <v>457</v>
      </c>
      <c r="Y218" s="6" t="s">
        <v>458</v>
      </c>
      <c r="Z218" s="6" t="s">
        <v>459</v>
      </c>
      <c r="AA218" s="6" t="s">
        <v>460</v>
      </c>
      <c r="AB218" s="6" t="s">
        <v>461</v>
      </c>
      <c r="AC218" s="6" t="s">
        <v>462</v>
      </c>
      <c r="AD218" s="15"/>
      <c r="AE218" s="6" t="s">
        <v>106</v>
      </c>
      <c r="AF218" s="6" t="s">
        <v>105</v>
      </c>
      <c r="AG218" s="6" t="s">
        <v>463</v>
      </c>
    </row>
    <row r="219" spans="1:33" x14ac:dyDescent="0.2">
      <c r="C219" s="16" t="s">
        <v>464</v>
      </c>
      <c r="J219" s="17">
        <v>20</v>
      </c>
      <c r="K219" s="17">
        <v>19</v>
      </c>
      <c r="L219" s="17">
        <v>18</v>
      </c>
      <c r="M219" s="17">
        <v>17</v>
      </c>
      <c r="N219" s="17">
        <v>16</v>
      </c>
      <c r="O219" s="17">
        <v>15</v>
      </c>
      <c r="P219" s="17">
        <v>14</v>
      </c>
      <c r="Q219" s="17">
        <v>13</v>
      </c>
      <c r="R219" s="17">
        <v>12</v>
      </c>
      <c r="S219" s="17">
        <v>11</v>
      </c>
      <c r="T219" s="17">
        <v>10</v>
      </c>
      <c r="U219" s="17">
        <v>9</v>
      </c>
      <c r="V219" s="17">
        <v>8</v>
      </c>
      <c r="W219" s="17">
        <v>7</v>
      </c>
      <c r="X219" s="17">
        <v>6</v>
      </c>
      <c r="Y219" s="17">
        <v>5</v>
      </c>
      <c r="Z219" s="17">
        <v>4</v>
      </c>
      <c r="AA219" s="17">
        <v>3</v>
      </c>
      <c r="AB219" s="17">
        <v>2</v>
      </c>
      <c r="AC219" s="17">
        <v>1</v>
      </c>
    </row>
    <row r="220" spans="1:33" x14ac:dyDescent="0.2">
      <c r="B220" t="s">
        <v>338</v>
      </c>
      <c r="C220" s="5" t="s">
        <v>104</v>
      </c>
      <c r="D220" s="4">
        <v>560660000</v>
      </c>
      <c r="E220" s="4">
        <v>387487000</v>
      </c>
      <c r="F220" s="4">
        <v>359679000</v>
      </c>
      <c r="G220" s="19">
        <v>20</v>
      </c>
      <c r="H220" s="4">
        <v>90100000</v>
      </c>
      <c r="J220" s="20">
        <f t="shared" ref="J220:J231" si="163">H220</f>
        <v>90100000</v>
      </c>
      <c r="K220" s="20">
        <f>$F220/4</f>
        <v>89919750</v>
      </c>
      <c r="L220" s="20">
        <f>$F220/4</f>
        <v>89919750</v>
      </c>
      <c r="M220" s="20">
        <f>$F220/4</f>
        <v>89919750</v>
      </c>
      <c r="N220" s="20">
        <f>$F220/4</f>
        <v>89919750</v>
      </c>
      <c r="O220" s="20">
        <f>$E220/4</f>
        <v>96871750</v>
      </c>
      <c r="P220" s="20">
        <f>$E220/4</f>
        <v>96871750</v>
      </c>
      <c r="Q220" s="20">
        <f>$E220/4</f>
        <v>96871750</v>
      </c>
      <c r="R220" s="20">
        <f>$E220/4</f>
        <v>96871750</v>
      </c>
      <c r="S220" s="20">
        <f>$D220/4</f>
        <v>140165000</v>
      </c>
      <c r="T220" s="20">
        <f>$D220/4</f>
        <v>140165000</v>
      </c>
      <c r="U220" s="20">
        <f>$D220/4</f>
        <v>140165000</v>
      </c>
      <c r="V220" s="20">
        <f>$D220/4</f>
        <v>140165000</v>
      </c>
      <c r="W220" s="20">
        <v>0</v>
      </c>
      <c r="X220" s="20">
        <v>0</v>
      </c>
      <c r="Y220" s="20">
        <v>0</v>
      </c>
      <c r="Z220" s="20">
        <v>0</v>
      </c>
      <c r="AA220" s="20">
        <v>0</v>
      </c>
      <c r="AB220" s="20">
        <v>0</v>
      </c>
      <c r="AC220" s="20">
        <v>0</v>
      </c>
      <c r="AE220" s="21">
        <f>SUM(J220:AC220)/$G220</f>
        <v>69896300</v>
      </c>
      <c r="AF220" s="21">
        <f>SUMPRODUCT($J$219:$AC$219,J220:AC220)/$G220</f>
        <v>932686350</v>
      </c>
      <c r="AG220" s="21">
        <f t="shared" ref="AG220:AG231" si="164">H220-AE220</f>
        <v>20203700</v>
      </c>
    </row>
    <row r="221" spans="1:33" x14ac:dyDescent="0.2">
      <c r="B221" t="s">
        <v>338</v>
      </c>
      <c r="C221" s="5" t="s">
        <v>103</v>
      </c>
      <c r="D221" s="22">
        <f>$D220</f>
        <v>560660000</v>
      </c>
      <c r="E221" s="22">
        <f>$E220</f>
        <v>387487000</v>
      </c>
      <c r="F221" s="22">
        <f>$F220</f>
        <v>359679000</v>
      </c>
      <c r="G221" s="23">
        <f>$G$220</f>
        <v>20</v>
      </c>
      <c r="H221" s="4">
        <v>99533000</v>
      </c>
      <c r="J221" s="20">
        <f t="shared" si="163"/>
        <v>99533000</v>
      </c>
      <c r="K221" s="20">
        <f t="shared" ref="K221:K231" si="165">H220</f>
        <v>90100000</v>
      </c>
      <c r="L221" s="20">
        <f>$F220/4</f>
        <v>89919750</v>
      </c>
      <c r="M221" s="20">
        <f>$F220/4</f>
        <v>89919750</v>
      </c>
      <c r="N221" s="20">
        <f>$F220/4</f>
        <v>89919750</v>
      </c>
      <c r="O221" s="20">
        <f>$F220/4</f>
        <v>89919750</v>
      </c>
      <c r="P221" s="20">
        <f>$E220/4</f>
        <v>96871750</v>
      </c>
      <c r="Q221" s="20">
        <f>$E220/4</f>
        <v>96871750</v>
      </c>
      <c r="R221" s="20">
        <f>$E220/4</f>
        <v>96871750</v>
      </c>
      <c r="S221" s="20">
        <f>$E220/4</f>
        <v>96871750</v>
      </c>
      <c r="T221" s="20">
        <f>$D220/4</f>
        <v>140165000</v>
      </c>
      <c r="U221" s="20">
        <f>$D220/4</f>
        <v>140165000</v>
      </c>
      <c r="V221" s="20">
        <f>$D220/4</f>
        <v>140165000</v>
      </c>
      <c r="W221" s="20">
        <f>$D220/4</f>
        <v>140165000</v>
      </c>
      <c r="X221" s="20">
        <v>0</v>
      </c>
      <c r="Y221" s="20">
        <v>0</v>
      </c>
      <c r="Z221" s="20">
        <v>0</v>
      </c>
      <c r="AA221" s="20">
        <v>0</v>
      </c>
      <c r="AB221" s="20">
        <v>0</v>
      </c>
      <c r="AC221" s="20">
        <v>0</v>
      </c>
      <c r="AE221" s="21">
        <f t="shared" ref="AE221:AE231" si="166">SUM(J221:AC221)/$G221</f>
        <v>74872950</v>
      </c>
      <c r="AF221" s="21">
        <f t="shared" ref="AF221:AF231" si="167">SUMPRODUCT($J$219:$AC$219,J221:AC221)/$G221</f>
        <v>962323050</v>
      </c>
      <c r="AG221" s="21">
        <f t="shared" si="164"/>
        <v>24660050</v>
      </c>
    </row>
    <row r="222" spans="1:33" x14ac:dyDescent="0.2">
      <c r="B222" t="s">
        <v>338</v>
      </c>
      <c r="C222" s="5" t="s">
        <v>102</v>
      </c>
      <c r="D222" s="22">
        <f>$D220</f>
        <v>560660000</v>
      </c>
      <c r="E222" s="22">
        <f>$E220</f>
        <v>387487000</v>
      </c>
      <c r="F222" s="22">
        <f>$F220</f>
        <v>359679000</v>
      </c>
      <c r="G222" s="23">
        <f t="shared" ref="G222:G231" si="168">$G$220</f>
        <v>20</v>
      </c>
      <c r="H222" s="4">
        <v>105708000</v>
      </c>
      <c r="J222" s="20">
        <f t="shared" si="163"/>
        <v>105708000</v>
      </c>
      <c r="K222" s="20">
        <f t="shared" si="165"/>
        <v>99533000</v>
      </c>
      <c r="L222" s="20">
        <f t="shared" ref="L222:L231" si="169">H220</f>
        <v>90100000</v>
      </c>
      <c r="M222" s="20">
        <f>$F220/4</f>
        <v>89919750</v>
      </c>
      <c r="N222" s="20">
        <f>$F220/4</f>
        <v>89919750</v>
      </c>
      <c r="O222" s="20">
        <f>$F220/4</f>
        <v>89919750</v>
      </c>
      <c r="P222" s="20">
        <f>$F220/4</f>
        <v>89919750</v>
      </c>
      <c r="Q222" s="20">
        <f>$E220/4</f>
        <v>96871750</v>
      </c>
      <c r="R222" s="20">
        <f>$E220/4</f>
        <v>96871750</v>
      </c>
      <c r="S222" s="20">
        <f>$E220/4</f>
        <v>96871750</v>
      </c>
      <c r="T222" s="20">
        <f>$E220/4</f>
        <v>96871750</v>
      </c>
      <c r="U222" s="20">
        <f>$D220/4</f>
        <v>140165000</v>
      </c>
      <c r="V222" s="20">
        <f>$D220/4</f>
        <v>140165000</v>
      </c>
      <c r="W222" s="20">
        <f>$D220/4</f>
        <v>140165000</v>
      </c>
      <c r="X222" s="20">
        <f>$D220/4</f>
        <v>140165000</v>
      </c>
      <c r="Y222" s="20">
        <v>0</v>
      </c>
      <c r="Z222" s="20">
        <v>0</v>
      </c>
      <c r="AA222" s="20">
        <v>0</v>
      </c>
      <c r="AB222" s="20">
        <v>0</v>
      </c>
      <c r="AC222" s="20">
        <v>0</v>
      </c>
      <c r="AE222" s="21">
        <f t="shared" si="166"/>
        <v>80158350</v>
      </c>
      <c r="AF222" s="21">
        <f t="shared" si="167"/>
        <v>993158100</v>
      </c>
      <c r="AG222" s="21">
        <f t="shared" si="164"/>
        <v>25549650</v>
      </c>
    </row>
    <row r="223" spans="1:33" x14ac:dyDescent="0.2">
      <c r="B223" t="s">
        <v>338</v>
      </c>
      <c r="C223" s="5" t="s">
        <v>101</v>
      </c>
      <c r="D223" s="22">
        <f>$D220</f>
        <v>560660000</v>
      </c>
      <c r="E223" s="22">
        <f>$E220</f>
        <v>387487000</v>
      </c>
      <c r="F223" s="22">
        <f>$F220</f>
        <v>359679000</v>
      </c>
      <c r="G223" s="23">
        <f t="shared" si="168"/>
        <v>20</v>
      </c>
      <c r="H223" s="4">
        <v>109283000</v>
      </c>
      <c r="J223" s="20">
        <f t="shared" si="163"/>
        <v>109283000</v>
      </c>
      <c r="K223" s="20">
        <f t="shared" si="165"/>
        <v>105708000</v>
      </c>
      <c r="L223" s="20">
        <f t="shared" si="169"/>
        <v>99533000</v>
      </c>
      <c r="M223" s="20">
        <f t="shared" ref="M223:M231" si="170">H220</f>
        <v>90100000</v>
      </c>
      <c r="N223" s="20">
        <f>$F220/4</f>
        <v>89919750</v>
      </c>
      <c r="O223" s="20">
        <f>$F220/4</f>
        <v>89919750</v>
      </c>
      <c r="P223" s="20">
        <f>$F220/4</f>
        <v>89919750</v>
      </c>
      <c r="Q223" s="20">
        <f>$F220/4</f>
        <v>89919750</v>
      </c>
      <c r="R223" s="20">
        <f>$E220/4</f>
        <v>96871750</v>
      </c>
      <c r="S223" s="20">
        <f>$E220/4</f>
        <v>96871750</v>
      </c>
      <c r="T223" s="20">
        <f>$E220/4</f>
        <v>96871750</v>
      </c>
      <c r="U223" s="20">
        <f>$E220/4</f>
        <v>96871750</v>
      </c>
      <c r="V223" s="20">
        <f>$D220/4</f>
        <v>140165000</v>
      </c>
      <c r="W223" s="20">
        <f>$D220/4</f>
        <v>140165000</v>
      </c>
      <c r="X223" s="20">
        <f>$D220/4</f>
        <v>140165000</v>
      </c>
      <c r="Y223" s="20">
        <f>$D220/4</f>
        <v>140165000</v>
      </c>
      <c r="Z223" s="20">
        <v>0</v>
      </c>
      <c r="AA223" s="20">
        <v>0</v>
      </c>
      <c r="AB223" s="20">
        <v>0</v>
      </c>
      <c r="AC223" s="20">
        <v>0</v>
      </c>
      <c r="AE223" s="21">
        <f t="shared" si="166"/>
        <v>85622500</v>
      </c>
      <c r="AF223" s="21">
        <f t="shared" si="167"/>
        <v>1022282750</v>
      </c>
      <c r="AG223" s="21">
        <f t="shared" si="164"/>
        <v>23660500</v>
      </c>
    </row>
    <row r="224" spans="1:33" x14ac:dyDescent="0.2">
      <c r="B224" t="s">
        <v>338</v>
      </c>
      <c r="C224" s="5" t="s">
        <v>100</v>
      </c>
      <c r="D224" s="22">
        <f>$D220</f>
        <v>560660000</v>
      </c>
      <c r="E224" s="22">
        <f>$E220</f>
        <v>387487000</v>
      </c>
      <c r="F224" s="22">
        <f>$F220</f>
        <v>359679000</v>
      </c>
      <c r="G224" s="23">
        <f t="shared" si="168"/>
        <v>20</v>
      </c>
      <c r="H224" s="4">
        <v>110040000</v>
      </c>
      <c r="J224" s="20">
        <f t="shared" si="163"/>
        <v>110040000</v>
      </c>
      <c r="K224" s="20">
        <f t="shared" si="165"/>
        <v>109283000</v>
      </c>
      <c r="L224" s="20">
        <f t="shared" si="169"/>
        <v>105708000</v>
      </c>
      <c r="M224" s="20">
        <f t="shared" si="170"/>
        <v>99533000</v>
      </c>
      <c r="N224" s="20">
        <f t="shared" ref="N224:N231" si="171">H220</f>
        <v>90100000</v>
      </c>
      <c r="O224" s="20">
        <f>$F220/4</f>
        <v>89919750</v>
      </c>
      <c r="P224" s="20">
        <f>$F220/4</f>
        <v>89919750</v>
      </c>
      <c r="Q224" s="20">
        <f>$F220/4</f>
        <v>89919750</v>
      </c>
      <c r="R224" s="20">
        <f>$F220/4</f>
        <v>89919750</v>
      </c>
      <c r="S224" s="20">
        <f>$E220/4</f>
        <v>96871750</v>
      </c>
      <c r="T224" s="20">
        <f>$E220/4</f>
        <v>96871750</v>
      </c>
      <c r="U224" s="20">
        <f>$E220/4</f>
        <v>96871750</v>
      </c>
      <c r="V224" s="20">
        <f>$E220/4</f>
        <v>96871750</v>
      </c>
      <c r="W224" s="20">
        <f>$D220/4</f>
        <v>140165000</v>
      </c>
      <c r="X224" s="20">
        <f>$D220/4</f>
        <v>140165000</v>
      </c>
      <c r="Y224" s="20">
        <f>$D220/4</f>
        <v>140165000</v>
      </c>
      <c r="Z224" s="20">
        <f>$D220/4</f>
        <v>140165000</v>
      </c>
      <c r="AA224" s="20">
        <v>0</v>
      </c>
      <c r="AB224" s="20">
        <v>0</v>
      </c>
      <c r="AC224" s="20">
        <v>0</v>
      </c>
      <c r="AE224" s="21">
        <f t="shared" si="166"/>
        <v>91124500</v>
      </c>
      <c r="AF224" s="21">
        <f t="shared" si="167"/>
        <v>1046700250</v>
      </c>
      <c r="AG224" s="21">
        <f t="shared" si="164"/>
        <v>18915500</v>
      </c>
    </row>
    <row r="225" spans="2:33" x14ac:dyDescent="0.2">
      <c r="B225" t="s">
        <v>338</v>
      </c>
      <c r="C225" s="5" t="s">
        <v>99</v>
      </c>
      <c r="D225" s="22">
        <f>$D220</f>
        <v>560660000</v>
      </c>
      <c r="E225" s="22">
        <f>$E220</f>
        <v>387487000</v>
      </c>
      <c r="F225" s="22">
        <f>$F220</f>
        <v>359679000</v>
      </c>
      <c r="G225" s="23">
        <f t="shared" si="168"/>
        <v>20</v>
      </c>
      <c r="H225" s="4">
        <v>108781000</v>
      </c>
      <c r="J225" s="20">
        <f t="shared" si="163"/>
        <v>108781000</v>
      </c>
      <c r="K225" s="20">
        <f t="shared" si="165"/>
        <v>110040000</v>
      </c>
      <c r="L225" s="20">
        <f t="shared" si="169"/>
        <v>109283000</v>
      </c>
      <c r="M225" s="20">
        <f t="shared" si="170"/>
        <v>105708000</v>
      </c>
      <c r="N225" s="20">
        <f t="shared" si="171"/>
        <v>99533000</v>
      </c>
      <c r="O225" s="20">
        <f t="shared" ref="O225:O231" si="172">H220</f>
        <v>90100000</v>
      </c>
      <c r="P225" s="20">
        <f>$F220/4</f>
        <v>89919750</v>
      </c>
      <c r="Q225" s="20">
        <f>$F220/4</f>
        <v>89919750</v>
      </c>
      <c r="R225" s="20">
        <f>$F220/4</f>
        <v>89919750</v>
      </c>
      <c r="S225" s="20">
        <f>$F220/4</f>
        <v>89919750</v>
      </c>
      <c r="T225" s="20">
        <f>$E220/4</f>
        <v>96871750</v>
      </c>
      <c r="U225" s="20">
        <f>$E220/4</f>
        <v>96871750</v>
      </c>
      <c r="V225" s="20">
        <f>$E220/4</f>
        <v>96871750</v>
      </c>
      <c r="W225" s="20">
        <f>$E220/4</f>
        <v>96871750</v>
      </c>
      <c r="X225" s="20">
        <f>$D220/4</f>
        <v>140165000</v>
      </c>
      <c r="Y225" s="20">
        <f>$D220/4</f>
        <v>140165000</v>
      </c>
      <c r="Z225" s="20">
        <f>$D220/4</f>
        <v>140165000</v>
      </c>
      <c r="AA225" s="20">
        <f>$D220/4</f>
        <v>140165000</v>
      </c>
      <c r="AB225" s="20">
        <v>0</v>
      </c>
      <c r="AC225" s="20">
        <v>0</v>
      </c>
      <c r="AE225" s="21">
        <f t="shared" si="166"/>
        <v>96563550</v>
      </c>
      <c r="AF225" s="21">
        <f t="shared" si="167"/>
        <v>1064356750</v>
      </c>
      <c r="AG225" s="21">
        <f t="shared" si="164"/>
        <v>12217450</v>
      </c>
    </row>
    <row r="226" spans="2:33" x14ac:dyDescent="0.2">
      <c r="B226" t="s">
        <v>338</v>
      </c>
      <c r="C226" s="5" t="s">
        <v>98</v>
      </c>
      <c r="D226" s="22">
        <f>$D220</f>
        <v>560660000</v>
      </c>
      <c r="E226" s="22">
        <f>$E220</f>
        <v>387487000</v>
      </c>
      <c r="F226" s="22">
        <f>$F220</f>
        <v>359679000</v>
      </c>
      <c r="G226" s="23">
        <f t="shared" si="168"/>
        <v>20</v>
      </c>
      <c r="H226" s="4">
        <v>117555000</v>
      </c>
      <c r="J226" s="20">
        <f t="shared" si="163"/>
        <v>117555000</v>
      </c>
      <c r="K226" s="20">
        <f t="shared" si="165"/>
        <v>108781000</v>
      </c>
      <c r="L226" s="20">
        <f t="shared" si="169"/>
        <v>110040000</v>
      </c>
      <c r="M226" s="20">
        <f t="shared" si="170"/>
        <v>109283000</v>
      </c>
      <c r="N226" s="20">
        <f t="shared" si="171"/>
        <v>105708000</v>
      </c>
      <c r="O226" s="20">
        <f t="shared" si="172"/>
        <v>99533000</v>
      </c>
      <c r="P226" s="20">
        <f t="shared" ref="P226:P231" si="173">H220</f>
        <v>90100000</v>
      </c>
      <c r="Q226" s="20">
        <f>$F220/4</f>
        <v>89919750</v>
      </c>
      <c r="R226" s="20">
        <f>$F220/4</f>
        <v>89919750</v>
      </c>
      <c r="S226" s="20">
        <f>$F220/4</f>
        <v>89919750</v>
      </c>
      <c r="T226" s="20">
        <f>$F220/4</f>
        <v>89919750</v>
      </c>
      <c r="U226" s="20">
        <f>$E220/4</f>
        <v>96871750</v>
      </c>
      <c r="V226" s="20">
        <f>$E220/4</f>
        <v>96871750</v>
      </c>
      <c r="W226" s="20">
        <f>$E220/4</f>
        <v>96871750</v>
      </c>
      <c r="X226" s="20">
        <f>$E220/4</f>
        <v>96871750</v>
      </c>
      <c r="Y226" s="20">
        <f>$D220/4</f>
        <v>140165000</v>
      </c>
      <c r="Z226" s="20">
        <f>$D220/4</f>
        <v>140165000</v>
      </c>
      <c r="AA226" s="20">
        <f>$D220/4</f>
        <v>140165000</v>
      </c>
      <c r="AB226" s="20">
        <f>$D220/4</f>
        <v>140165000</v>
      </c>
      <c r="AC226" s="20">
        <v>0</v>
      </c>
      <c r="AE226" s="21">
        <f t="shared" si="166"/>
        <v>102441300</v>
      </c>
      <c r="AF226" s="21">
        <f t="shared" si="167"/>
        <v>1085348200</v>
      </c>
      <c r="AG226" s="21">
        <f t="shared" si="164"/>
        <v>15113700</v>
      </c>
    </row>
    <row r="227" spans="2:33" x14ac:dyDescent="0.2">
      <c r="B227" t="s">
        <v>338</v>
      </c>
      <c r="C227" s="5" t="s">
        <v>97</v>
      </c>
      <c r="D227" s="22">
        <f>$D220</f>
        <v>560660000</v>
      </c>
      <c r="E227" s="22">
        <f>$E220</f>
        <v>387487000</v>
      </c>
      <c r="F227" s="22">
        <f>$F220</f>
        <v>359679000</v>
      </c>
      <c r="G227" s="23">
        <f t="shared" si="168"/>
        <v>20</v>
      </c>
      <c r="H227" s="4">
        <v>171502000</v>
      </c>
      <c r="J227" s="20">
        <f t="shared" si="163"/>
        <v>171502000</v>
      </c>
      <c r="K227" s="20">
        <f t="shared" si="165"/>
        <v>117555000</v>
      </c>
      <c r="L227" s="20">
        <f t="shared" si="169"/>
        <v>108781000</v>
      </c>
      <c r="M227" s="20">
        <f t="shared" si="170"/>
        <v>110040000</v>
      </c>
      <c r="N227" s="20">
        <f t="shared" si="171"/>
        <v>109283000</v>
      </c>
      <c r="O227" s="20">
        <f t="shared" si="172"/>
        <v>105708000</v>
      </c>
      <c r="P227" s="20">
        <f t="shared" si="173"/>
        <v>99533000</v>
      </c>
      <c r="Q227" s="20">
        <f>H220</f>
        <v>90100000</v>
      </c>
      <c r="R227" s="20">
        <f>$F220/4</f>
        <v>89919750</v>
      </c>
      <c r="S227" s="20">
        <f>$F220/4</f>
        <v>89919750</v>
      </c>
      <c r="T227" s="20">
        <f>$F220/4</f>
        <v>89919750</v>
      </c>
      <c r="U227" s="20">
        <f>$F220/4</f>
        <v>89919750</v>
      </c>
      <c r="V227" s="20">
        <f>$E220/4</f>
        <v>96871750</v>
      </c>
      <c r="W227" s="20">
        <f>$E220/4</f>
        <v>96871750</v>
      </c>
      <c r="X227" s="20">
        <f>$E220/4</f>
        <v>96871750</v>
      </c>
      <c r="Y227" s="20">
        <f>$E220/4</f>
        <v>96871750</v>
      </c>
      <c r="Z227" s="20">
        <f>$D220/4</f>
        <v>140165000</v>
      </c>
      <c r="AA227" s="20">
        <f>$D220/4</f>
        <v>140165000</v>
      </c>
      <c r="AB227" s="20">
        <f>$D220/4</f>
        <v>140165000</v>
      </c>
      <c r="AC227" s="20">
        <f>$D220/4</f>
        <v>140165000</v>
      </c>
      <c r="AE227" s="21">
        <f t="shared" si="166"/>
        <v>111016400</v>
      </c>
      <c r="AF227" s="21">
        <f t="shared" si="167"/>
        <v>1154408900</v>
      </c>
      <c r="AG227" s="21">
        <f t="shared" si="164"/>
        <v>60485600</v>
      </c>
    </row>
    <row r="228" spans="2:33" x14ac:dyDescent="0.2">
      <c r="B228" t="s">
        <v>338</v>
      </c>
      <c r="C228" s="5" t="s">
        <v>96</v>
      </c>
      <c r="D228" s="22">
        <f>$D220</f>
        <v>560660000</v>
      </c>
      <c r="E228" s="22">
        <f>$E220</f>
        <v>387487000</v>
      </c>
      <c r="F228" s="22">
        <f>$F220</f>
        <v>359679000</v>
      </c>
      <c r="G228" s="23">
        <f t="shared" si="168"/>
        <v>20</v>
      </c>
      <c r="H228" s="4">
        <v>134889000</v>
      </c>
      <c r="J228" s="20">
        <f t="shared" si="163"/>
        <v>134889000</v>
      </c>
      <c r="K228" s="20">
        <f t="shared" si="165"/>
        <v>171502000</v>
      </c>
      <c r="L228" s="20">
        <f t="shared" si="169"/>
        <v>117555000</v>
      </c>
      <c r="M228" s="20">
        <f t="shared" si="170"/>
        <v>108781000</v>
      </c>
      <c r="N228" s="20">
        <f t="shared" si="171"/>
        <v>110040000</v>
      </c>
      <c r="O228" s="20">
        <f t="shared" si="172"/>
        <v>109283000</v>
      </c>
      <c r="P228" s="20">
        <f t="shared" si="173"/>
        <v>105708000</v>
      </c>
      <c r="Q228" s="20">
        <f>H221</f>
        <v>99533000</v>
      </c>
      <c r="R228" s="20">
        <f>H220</f>
        <v>90100000</v>
      </c>
      <c r="S228" s="20">
        <f>$F220/4</f>
        <v>89919750</v>
      </c>
      <c r="T228" s="20">
        <f>$F220/4</f>
        <v>89919750</v>
      </c>
      <c r="U228" s="20">
        <f>$F220/4</f>
        <v>89919750</v>
      </c>
      <c r="V228" s="20">
        <f>$F220/4</f>
        <v>89919750</v>
      </c>
      <c r="W228" s="20">
        <f>$E220/4</f>
        <v>96871750</v>
      </c>
      <c r="X228" s="20">
        <f>$E220/4</f>
        <v>96871750</v>
      </c>
      <c r="Y228" s="20">
        <f>$E220/4</f>
        <v>96871750</v>
      </c>
      <c r="Z228" s="20">
        <f>$E220/4</f>
        <v>96871750</v>
      </c>
      <c r="AA228" s="20">
        <f>$D220/4</f>
        <v>140165000</v>
      </c>
      <c r="AB228" s="20">
        <f>$D220/4</f>
        <v>140165000</v>
      </c>
      <c r="AC228" s="20">
        <f>$D220/4</f>
        <v>140165000</v>
      </c>
      <c r="AE228" s="21">
        <f t="shared" si="166"/>
        <v>110752600</v>
      </c>
      <c r="AF228" s="21">
        <f t="shared" si="167"/>
        <v>1178281500</v>
      </c>
      <c r="AG228" s="21">
        <f t="shared" si="164"/>
        <v>24136400</v>
      </c>
    </row>
    <row r="229" spans="2:33" x14ac:dyDescent="0.2">
      <c r="B229" t="s">
        <v>338</v>
      </c>
      <c r="C229" s="5" t="s">
        <v>95</v>
      </c>
      <c r="D229" s="22">
        <f>$D220</f>
        <v>560660000</v>
      </c>
      <c r="E229" s="22">
        <f>$E220</f>
        <v>387487000</v>
      </c>
      <c r="F229" s="22">
        <f>$F220</f>
        <v>359679000</v>
      </c>
      <c r="G229" s="23">
        <f t="shared" si="168"/>
        <v>20</v>
      </c>
      <c r="H229" s="4">
        <v>135043000</v>
      </c>
      <c r="J229" s="20">
        <f t="shared" si="163"/>
        <v>135043000</v>
      </c>
      <c r="K229" s="20">
        <f t="shared" si="165"/>
        <v>134889000</v>
      </c>
      <c r="L229" s="20">
        <f t="shared" si="169"/>
        <v>171502000</v>
      </c>
      <c r="M229" s="20">
        <f t="shared" si="170"/>
        <v>117555000</v>
      </c>
      <c r="N229" s="20">
        <f t="shared" si="171"/>
        <v>108781000</v>
      </c>
      <c r="O229" s="20">
        <f t="shared" si="172"/>
        <v>110040000</v>
      </c>
      <c r="P229" s="20">
        <f t="shared" si="173"/>
        <v>109283000</v>
      </c>
      <c r="Q229" s="20">
        <f>H222</f>
        <v>105708000</v>
      </c>
      <c r="R229" s="20">
        <f>H221</f>
        <v>99533000</v>
      </c>
      <c r="S229" s="20">
        <f>H220</f>
        <v>90100000</v>
      </c>
      <c r="T229" s="20">
        <f>$F220/4</f>
        <v>89919750</v>
      </c>
      <c r="U229" s="20">
        <f>$F220/4</f>
        <v>89919750</v>
      </c>
      <c r="V229" s="20">
        <f>$F220/4</f>
        <v>89919750</v>
      </c>
      <c r="W229" s="20">
        <f>$F220/4</f>
        <v>89919750</v>
      </c>
      <c r="X229" s="20">
        <f>$E220/4</f>
        <v>96871750</v>
      </c>
      <c r="Y229" s="20">
        <f>$E220/4</f>
        <v>96871750</v>
      </c>
      <c r="Z229" s="20">
        <f>$E220/4</f>
        <v>96871750</v>
      </c>
      <c r="AA229" s="20">
        <f>$E220/4</f>
        <v>96871750</v>
      </c>
      <c r="AB229" s="20">
        <f>$D220/4</f>
        <v>140165000</v>
      </c>
      <c r="AC229" s="20">
        <f>$D220/4</f>
        <v>140165000</v>
      </c>
      <c r="AE229" s="21">
        <f t="shared" si="166"/>
        <v>110496500</v>
      </c>
      <c r="AF229" s="21">
        <f t="shared" si="167"/>
        <v>1202571900</v>
      </c>
      <c r="AG229" s="21">
        <f t="shared" si="164"/>
        <v>24546500</v>
      </c>
    </row>
    <row r="230" spans="2:33" x14ac:dyDescent="0.2">
      <c r="B230" t="s">
        <v>338</v>
      </c>
      <c r="C230" s="5" t="s">
        <v>94</v>
      </c>
      <c r="D230" s="22">
        <f>$D220</f>
        <v>560660000</v>
      </c>
      <c r="E230" s="22">
        <f>$E220</f>
        <v>387487000</v>
      </c>
      <c r="F230" s="22">
        <f>$F220</f>
        <v>359679000</v>
      </c>
      <c r="G230" s="23">
        <f t="shared" si="168"/>
        <v>20</v>
      </c>
      <c r="H230" s="4">
        <v>144191000</v>
      </c>
      <c r="J230" s="20">
        <f t="shared" si="163"/>
        <v>144191000</v>
      </c>
      <c r="K230" s="20">
        <f t="shared" si="165"/>
        <v>135043000</v>
      </c>
      <c r="L230" s="20">
        <f t="shared" si="169"/>
        <v>134889000</v>
      </c>
      <c r="M230" s="20">
        <f t="shared" si="170"/>
        <v>171502000</v>
      </c>
      <c r="N230" s="20">
        <f t="shared" si="171"/>
        <v>117555000</v>
      </c>
      <c r="O230" s="20">
        <f t="shared" si="172"/>
        <v>108781000</v>
      </c>
      <c r="P230" s="20">
        <f t="shared" si="173"/>
        <v>110040000</v>
      </c>
      <c r="Q230" s="20">
        <f>H223</f>
        <v>109283000</v>
      </c>
      <c r="R230" s="20">
        <f>H222</f>
        <v>105708000</v>
      </c>
      <c r="S230" s="20">
        <f>H221</f>
        <v>99533000</v>
      </c>
      <c r="T230" s="20">
        <f>H220</f>
        <v>90100000</v>
      </c>
      <c r="U230" s="20">
        <f>$F220/4</f>
        <v>89919750</v>
      </c>
      <c r="V230" s="20">
        <f>$F220/4</f>
        <v>89919750</v>
      </c>
      <c r="W230" s="20">
        <f>$F220/4</f>
        <v>89919750</v>
      </c>
      <c r="X230" s="20">
        <f>$F220/4</f>
        <v>89919750</v>
      </c>
      <c r="Y230" s="20">
        <f>$E220/4</f>
        <v>96871750</v>
      </c>
      <c r="Z230" s="20">
        <f>$E220/4</f>
        <v>96871750</v>
      </c>
      <c r="AA230" s="20">
        <f>$E220/4</f>
        <v>96871750</v>
      </c>
      <c r="AB230" s="20">
        <f>$E220/4</f>
        <v>96871750</v>
      </c>
      <c r="AC230" s="20">
        <f>$D220/4</f>
        <v>140165000</v>
      </c>
      <c r="AE230" s="21">
        <f t="shared" si="166"/>
        <v>110697800</v>
      </c>
      <c r="AF230" s="21">
        <f t="shared" si="167"/>
        <v>1236266400</v>
      </c>
      <c r="AG230" s="21">
        <f t="shared" si="164"/>
        <v>33493200</v>
      </c>
    </row>
    <row r="231" spans="2:33" x14ac:dyDescent="0.2">
      <c r="B231" t="s">
        <v>338</v>
      </c>
      <c r="C231" s="5" t="s">
        <v>93</v>
      </c>
      <c r="D231" s="22">
        <f>$D220</f>
        <v>560660000</v>
      </c>
      <c r="E231" s="22">
        <f>$E220</f>
        <v>387487000</v>
      </c>
      <c r="F231" s="22">
        <f>$F220</f>
        <v>359679000</v>
      </c>
      <c r="G231" s="23">
        <f t="shared" si="168"/>
        <v>20</v>
      </c>
      <c r="H231" s="4">
        <v>143554000</v>
      </c>
      <c r="J231" s="20">
        <f t="shared" si="163"/>
        <v>143554000</v>
      </c>
      <c r="K231" s="20">
        <f t="shared" si="165"/>
        <v>144191000</v>
      </c>
      <c r="L231" s="20">
        <f t="shared" si="169"/>
        <v>135043000</v>
      </c>
      <c r="M231" s="20">
        <f t="shared" si="170"/>
        <v>134889000</v>
      </c>
      <c r="N231" s="20">
        <f t="shared" si="171"/>
        <v>171502000</v>
      </c>
      <c r="O231" s="20">
        <f t="shared" si="172"/>
        <v>117555000</v>
      </c>
      <c r="P231" s="20">
        <f t="shared" si="173"/>
        <v>108781000</v>
      </c>
      <c r="Q231" s="20">
        <f>H224</f>
        <v>110040000</v>
      </c>
      <c r="R231" s="20">
        <f>H223</f>
        <v>109283000</v>
      </c>
      <c r="S231" s="20">
        <f>H222</f>
        <v>105708000</v>
      </c>
      <c r="T231" s="20">
        <f>H221</f>
        <v>99533000</v>
      </c>
      <c r="U231" s="20">
        <f>H220</f>
        <v>90100000</v>
      </c>
      <c r="V231" s="20">
        <f>$F220/4</f>
        <v>89919750</v>
      </c>
      <c r="W231" s="20">
        <f>$F220/4</f>
        <v>89919750</v>
      </c>
      <c r="X231" s="20">
        <f>$F220/4</f>
        <v>89919750</v>
      </c>
      <c r="Y231" s="20">
        <f>$F220/4</f>
        <v>89919750</v>
      </c>
      <c r="Z231" s="20">
        <f>$E220/4</f>
        <v>96871750</v>
      </c>
      <c r="AA231" s="20">
        <f>$E220/4</f>
        <v>96871750</v>
      </c>
      <c r="AB231" s="20">
        <f>$E220/4</f>
        <v>96871750</v>
      </c>
      <c r="AC231" s="20">
        <f>$E220/4</f>
        <v>96871750</v>
      </c>
      <c r="AE231" s="21">
        <f t="shared" si="166"/>
        <v>110867250</v>
      </c>
      <c r="AF231" s="21">
        <f t="shared" si="167"/>
        <v>1269122600</v>
      </c>
      <c r="AG231" s="21">
        <f t="shared" si="164"/>
        <v>32686750</v>
      </c>
    </row>
    <row r="234" spans="2:33" x14ac:dyDescent="0.2">
      <c r="C234" t="s">
        <v>354</v>
      </c>
    </row>
    <row r="235" spans="2:33" x14ac:dyDescent="0.2">
      <c r="C235" s="6" t="s">
        <v>107</v>
      </c>
      <c r="D235" s="6" t="s">
        <v>438</v>
      </c>
      <c r="E235" s="6" t="s">
        <v>439</v>
      </c>
      <c r="F235" s="6" t="s">
        <v>440</v>
      </c>
      <c r="G235" s="6" t="s">
        <v>441</v>
      </c>
      <c r="H235" s="6" t="s">
        <v>442</v>
      </c>
      <c r="I235" s="15"/>
      <c r="J235" s="6" t="s">
        <v>443</v>
      </c>
      <c r="K235" s="6" t="s">
        <v>444</v>
      </c>
      <c r="L235" s="6" t="s">
        <v>445</v>
      </c>
      <c r="M235" s="6" t="s">
        <v>446</v>
      </c>
      <c r="N235" s="6" t="s">
        <v>447</v>
      </c>
      <c r="O235" s="6" t="s">
        <v>448</v>
      </c>
      <c r="P235" s="6" t="s">
        <v>449</v>
      </c>
      <c r="Q235" s="6" t="s">
        <v>450</v>
      </c>
      <c r="R235" s="6" t="s">
        <v>451</v>
      </c>
      <c r="S235" s="6" t="s">
        <v>452</v>
      </c>
      <c r="T235" s="6" t="s">
        <v>453</v>
      </c>
      <c r="U235" s="6" t="s">
        <v>454</v>
      </c>
      <c r="V235" s="6" t="s">
        <v>455</v>
      </c>
      <c r="W235" s="6" t="s">
        <v>456</v>
      </c>
      <c r="X235" s="6" t="s">
        <v>457</v>
      </c>
      <c r="Y235" s="6" t="s">
        <v>458</v>
      </c>
      <c r="Z235" s="6" t="s">
        <v>459</v>
      </c>
      <c r="AA235" s="6" t="s">
        <v>460</v>
      </c>
      <c r="AB235" s="6" t="s">
        <v>461</v>
      </c>
      <c r="AC235" s="6" t="s">
        <v>462</v>
      </c>
      <c r="AD235" s="15"/>
      <c r="AE235" s="6" t="s">
        <v>106</v>
      </c>
      <c r="AF235" s="6" t="s">
        <v>105</v>
      </c>
      <c r="AG235" s="6" t="s">
        <v>463</v>
      </c>
    </row>
    <row r="236" spans="2:33" x14ac:dyDescent="0.2">
      <c r="C236" s="16" t="s">
        <v>464</v>
      </c>
      <c r="J236" s="17">
        <v>20</v>
      </c>
      <c r="K236" s="17">
        <v>19</v>
      </c>
      <c r="L236" s="17">
        <v>18</v>
      </c>
      <c r="M236" s="17">
        <v>17</v>
      </c>
      <c r="N236" s="17">
        <v>16</v>
      </c>
      <c r="O236" s="17">
        <v>15</v>
      </c>
      <c r="P236" s="17">
        <v>14</v>
      </c>
      <c r="Q236" s="17">
        <v>13</v>
      </c>
      <c r="R236" s="17">
        <v>12</v>
      </c>
      <c r="S236" s="17">
        <v>11</v>
      </c>
      <c r="T236" s="17">
        <v>10</v>
      </c>
      <c r="U236" s="17">
        <v>9</v>
      </c>
      <c r="V236" s="17">
        <v>8</v>
      </c>
      <c r="W236" s="17">
        <v>7</v>
      </c>
      <c r="X236" s="17">
        <v>6</v>
      </c>
      <c r="Y236" s="17">
        <v>5</v>
      </c>
      <c r="Z236" s="17">
        <v>4</v>
      </c>
      <c r="AA236" s="17">
        <v>3</v>
      </c>
      <c r="AB236" s="17">
        <v>2</v>
      </c>
      <c r="AC236" s="17">
        <v>1</v>
      </c>
    </row>
    <row r="237" spans="2:33" x14ac:dyDescent="0.2">
      <c r="B237" t="s">
        <v>354</v>
      </c>
      <c r="C237" s="5" t="s">
        <v>104</v>
      </c>
      <c r="D237" s="4">
        <v>1415000000</v>
      </c>
      <c r="E237" s="4">
        <v>1686000000</v>
      </c>
      <c r="F237" s="4">
        <v>1814000000</v>
      </c>
      <c r="G237" s="19">
        <v>20</v>
      </c>
      <c r="H237" s="4">
        <v>472000000</v>
      </c>
      <c r="J237" s="20">
        <f t="shared" ref="J237:J248" si="174">H237</f>
        <v>472000000</v>
      </c>
      <c r="K237" s="20">
        <f>$F237/4</f>
        <v>453500000</v>
      </c>
      <c r="L237" s="20">
        <f>$F237/4</f>
        <v>453500000</v>
      </c>
      <c r="M237" s="20">
        <f>$F237/4</f>
        <v>453500000</v>
      </c>
      <c r="N237" s="20">
        <f>$F237/4</f>
        <v>453500000</v>
      </c>
      <c r="O237" s="20">
        <f>$E237/4</f>
        <v>421500000</v>
      </c>
      <c r="P237" s="20">
        <f>$E237/4</f>
        <v>421500000</v>
      </c>
      <c r="Q237" s="20">
        <f>$E237/4</f>
        <v>421500000</v>
      </c>
      <c r="R237" s="20">
        <f>$E237/4</f>
        <v>421500000</v>
      </c>
      <c r="S237" s="20">
        <f>$D237/4</f>
        <v>353750000</v>
      </c>
      <c r="T237" s="20">
        <f>$D237/4</f>
        <v>353750000</v>
      </c>
      <c r="U237" s="20">
        <f>$D237/4</f>
        <v>353750000</v>
      </c>
      <c r="V237" s="20">
        <f>$D237/4</f>
        <v>353750000</v>
      </c>
      <c r="W237" s="20">
        <v>0</v>
      </c>
      <c r="X237" s="20">
        <v>0</v>
      </c>
      <c r="Y237" s="20">
        <v>0</v>
      </c>
      <c r="Z237" s="20">
        <v>0</v>
      </c>
      <c r="AA237" s="20">
        <v>0</v>
      </c>
      <c r="AB237" s="20">
        <v>0</v>
      </c>
      <c r="AC237" s="20">
        <v>0</v>
      </c>
      <c r="AE237" s="21">
        <f>SUM(J237:AC237)/$G237</f>
        <v>269350000</v>
      </c>
      <c r="AF237" s="21">
        <f>SUMPRODUCT($J$236:$AC$236,J237:AC237)/$G237</f>
        <v>3869425000</v>
      </c>
      <c r="AG237" s="21">
        <f t="shared" ref="AG237:AG248" si="175">H237-AE237</f>
        <v>202650000</v>
      </c>
    </row>
    <row r="238" spans="2:33" x14ac:dyDescent="0.2">
      <c r="B238" t="s">
        <v>354</v>
      </c>
      <c r="C238" s="5" t="s">
        <v>103</v>
      </c>
      <c r="D238" s="22">
        <f>$D237</f>
        <v>1415000000</v>
      </c>
      <c r="E238" s="22">
        <f>$E237</f>
        <v>1686000000</v>
      </c>
      <c r="F238" s="22">
        <f>$F237</f>
        <v>1814000000</v>
      </c>
      <c r="G238" s="23">
        <f>$G$237</f>
        <v>20</v>
      </c>
      <c r="H238" s="4">
        <v>528000000</v>
      </c>
      <c r="J238" s="20">
        <f t="shared" si="174"/>
        <v>528000000</v>
      </c>
      <c r="K238" s="20">
        <f t="shared" ref="K238:K248" si="176">H237</f>
        <v>472000000</v>
      </c>
      <c r="L238" s="20">
        <f>$F237/4</f>
        <v>453500000</v>
      </c>
      <c r="M238" s="20">
        <f>$F237/4</f>
        <v>453500000</v>
      </c>
      <c r="N238" s="20">
        <f>$F237/4</f>
        <v>453500000</v>
      </c>
      <c r="O238" s="20">
        <f>$F237/4</f>
        <v>453500000</v>
      </c>
      <c r="P238" s="20">
        <f>$E237/4</f>
        <v>421500000</v>
      </c>
      <c r="Q238" s="20">
        <f>$E237/4</f>
        <v>421500000</v>
      </c>
      <c r="R238" s="20">
        <f>$E237/4</f>
        <v>421500000</v>
      </c>
      <c r="S238" s="20">
        <f>$E237/4</f>
        <v>421500000</v>
      </c>
      <c r="T238" s="20">
        <f>$D237/4</f>
        <v>353750000</v>
      </c>
      <c r="U238" s="20">
        <f>$D237/4</f>
        <v>353750000</v>
      </c>
      <c r="V238" s="20">
        <f>$D237/4</f>
        <v>353750000</v>
      </c>
      <c r="W238" s="20">
        <f>$D237/4</f>
        <v>353750000</v>
      </c>
      <c r="X238" s="20">
        <v>0</v>
      </c>
      <c r="Y238" s="20">
        <v>0</v>
      </c>
      <c r="Z238" s="20">
        <v>0</v>
      </c>
      <c r="AA238" s="20">
        <v>0</v>
      </c>
      <c r="AB238" s="20">
        <v>0</v>
      </c>
      <c r="AC238" s="20">
        <v>0</v>
      </c>
      <c r="AE238" s="21">
        <f t="shared" ref="AE238:AE248" si="177">SUM(J238:AC238)/$G238</f>
        <v>295750000</v>
      </c>
      <c r="AF238" s="21">
        <f t="shared" ref="AF238:AF248" si="178">SUMPRODUCT($J$236:$AC$236,J238:AC238)/$G238</f>
        <v>4128075000</v>
      </c>
      <c r="AG238" s="21">
        <f t="shared" si="175"/>
        <v>232250000</v>
      </c>
    </row>
    <row r="239" spans="2:33" x14ac:dyDescent="0.2">
      <c r="B239" t="s">
        <v>354</v>
      </c>
      <c r="C239" s="5" t="s">
        <v>102</v>
      </c>
      <c r="D239" s="22">
        <f>$D237</f>
        <v>1415000000</v>
      </c>
      <c r="E239" s="22">
        <f>$E237</f>
        <v>1686000000</v>
      </c>
      <c r="F239" s="22">
        <f>$F237</f>
        <v>1814000000</v>
      </c>
      <c r="G239" s="23">
        <f t="shared" ref="G239:G248" si="179">$G$237</f>
        <v>20</v>
      </c>
      <c r="H239" s="4">
        <v>554000000</v>
      </c>
      <c r="J239" s="20">
        <f t="shared" si="174"/>
        <v>554000000</v>
      </c>
      <c r="K239" s="20">
        <f t="shared" si="176"/>
        <v>528000000</v>
      </c>
      <c r="L239" s="20">
        <f t="shared" ref="L239:L248" si="180">H237</f>
        <v>472000000</v>
      </c>
      <c r="M239" s="20">
        <f>$F237/4</f>
        <v>453500000</v>
      </c>
      <c r="N239" s="20">
        <f>$F237/4</f>
        <v>453500000</v>
      </c>
      <c r="O239" s="20">
        <f>$F237/4</f>
        <v>453500000</v>
      </c>
      <c r="P239" s="20">
        <f>$F237/4</f>
        <v>453500000</v>
      </c>
      <c r="Q239" s="20">
        <f>$E237/4</f>
        <v>421500000</v>
      </c>
      <c r="R239" s="20">
        <f>$E237/4</f>
        <v>421500000</v>
      </c>
      <c r="S239" s="20">
        <f>$E237/4</f>
        <v>421500000</v>
      </c>
      <c r="T239" s="20">
        <f>$E237/4</f>
        <v>421500000</v>
      </c>
      <c r="U239" s="20">
        <f>$D237/4</f>
        <v>353750000</v>
      </c>
      <c r="V239" s="20">
        <f>$D237/4</f>
        <v>353750000</v>
      </c>
      <c r="W239" s="20">
        <f>$D237/4</f>
        <v>353750000</v>
      </c>
      <c r="X239" s="20">
        <f>$D237/4</f>
        <v>353750000</v>
      </c>
      <c r="Y239" s="20">
        <v>0</v>
      </c>
      <c r="Z239" s="20">
        <v>0</v>
      </c>
      <c r="AA239" s="20">
        <v>0</v>
      </c>
      <c r="AB239" s="20">
        <v>0</v>
      </c>
      <c r="AC239" s="20">
        <v>0</v>
      </c>
      <c r="AE239" s="21">
        <f t="shared" si="177"/>
        <v>323450000</v>
      </c>
      <c r="AF239" s="21">
        <f t="shared" si="178"/>
        <v>4386325000</v>
      </c>
      <c r="AG239" s="21">
        <f t="shared" si="175"/>
        <v>230550000</v>
      </c>
    </row>
    <row r="240" spans="2:33" x14ac:dyDescent="0.2">
      <c r="B240" t="s">
        <v>354</v>
      </c>
      <c r="C240" s="5" t="s">
        <v>101</v>
      </c>
      <c r="D240" s="22">
        <f>$D237</f>
        <v>1415000000</v>
      </c>
      <c r="E240" s="22">
        <f>$E237</f>
        <v>1686000000</v>
      </c>
      <c r="F240" s="22">
        <f>$F237</f>
        <v>1814000000</v>
      </c>
      <c r="G240" s="23">
        <f t="shared" si="179"/>
        <v>20</v>
      </c>
      <c r="H240" s="4">
        <v>554000000</v>
      </c>
      <c r="J240" s="20">
        <f t="shared" si="174"/>
        <v>554000000</v>
      </c>
      <c r="K240" s="20">
        <f t="shared" si="176"/>
        <v>554000000</v>
      </c>
      <c r="L240" s="20">
        <f t="shared" si="180"/>
        <v>528000000</v>
      </c>
      <c r="M240" s="20">
        <f t="shared" ref="M240:M248" si="181">H237</f>
        <v>472000000</v>
      </c>
      <c r="N240" s="20">
        <f>$F237/4</f>
        <v>453500000</v>
      </c>
      <c r="O240" s="20">
        <f>$F237/4</f>
        <v>453500000</v>
      </c>
      <c r="P240" s="20">
        <f>$F237/4</f>
        <v>453500000</v>
      </c>
      <c r="Q240" s="20">
        <f>$F237/4</f>
        <v>453500000</v>
      </c>
      <c r="R240" s="20">
        <f>$E237/4</f>
        <v>421500000</v>
      </c>
      <c r="S240" s="20">
        <f>$E237/4</f>
        <v>421500000</v>
      </c>
      <c r="T240" s="20">
        <f>$E237/4</f>
        <v>421500000</v>
      </c>
      <c r="U240" s="20">
        <f>$E237/4</f>
        <v>421500000</v>
      </c>
      <c r="V240" s="20">
        <f>$D237/4</f>
        <v>353750000</v>
      </c>
      <c r="W240" s="20">
        <f>$D237/4</f>
        <v>353750000</v>
      </c>
      <c r="X240" s="20">
        <f>$D237/4</f>
        <v>353750000</v>
      </c>
      <c r="Y240" s="20">
        <f>$D237/4</f>
        <v>353750000</v>
      </c>
      <c r="Z240" s="20">
        <v>0</v>
      </c>
      <c r="AA240" s="20">
        <v>0</v>
      </c>
      <c r="AB240" s="20">
        <v>0</v>
      </c>
      <c r="AC240" s="20">
        <v>0</v>
      </c>
      <c r="AE240" s="21">
        <f t="shared" si="177"/>
        <v>351150000</v>
      </c>
      <c r="AF240" s="21">
        <f t="shared" si="178"/>
        <v>4616875000</v>
      </c>
      <c r="AG240" s="21">
        <f t="shared" si="175"/>
        <v>202850000</v>
      </c>
    </row>
    <row r="241" spans="2:33" x14ac:dyDescent="0.2">
      <c r="B241" t="s">
        <v>354</v>
      </c>
      <c r="C241" s="5" t="s">
        <v>100</v>
      </c>
      <c r="D241" s="22">
        <f>$D237</f>
        <v>1415000000</v>
      </c>
      <c r="E241" s="22">
        <f>$E237</f>
        <v>1686000000</v>
      </c>
      <c r="F241" s="22">
        <f>$F237</f>
        <v>1814000000</v>
      </c>
      <c r="G241" s="23">
        <f t="shared" si="179"/>
        <v>20</v>
      </c>
      <c r="H241" s="4">
        <v>520000000</v>
      </c>
      <c r="J241" s="20">
        <f t="shared" si="174"/>
        <v>520000000</v>
      </c>
      <c r="K241" s="20">
        <f t="shared" si="176"/>
        <v>554000000</v>
      </c>
      <c r="L241" s="20">
        <f t="shared" si="180"/>
        <v>554000000</v>
      </c>
      <c r="M241" s="20">
        <f t="shared" si="181"/>
        <v>528000000</v>
      </c>
      <c r="N241" s="20">
        <f t="shared" ref="N241:N248" si="182">H237</f>
        <v>472000000</v>
      </c>
      <c r="O241" s="20">
        <f>$F237/4</f>
        <v>453500000</v>
      </c>
      <c r="P241" s="20">
        <f>$F237/4</f>
        <v>453500000</v>
      </c>
      <c r="Q241" s="20">
        <f>$F237/4</f>
        <v>453500000</v>
      </c>
      <c r="R241" s="20">
        <f>$F237/4</f>
        <v>453500000</v>
      </c>
      <c r="S241" s="20">
        <f>$E237/4</f>
        <v>421500000</v>
      </c>
      <c r="T241" s="20">
        <f>$E237/4</f>
        <v>421500000</v>
      </c>
      <c r="U241" s="20">
        <f>$E237/4</f>
        <v>421500000</v>
      </c>
      <c r="V241" s="20">
        <f>$E237/4</f>
        <v>421500000</v>
      </c>
      <c r="W241" s="20">
        <f>$D237/4</f>
        <v>353750000</v>
      </c>
      <c r="X241" s="20">
        <f>$D237/4</f>
        <v>353750000</v>
      </c>
      <c r="Y241" s="20">
        <f>$D237/4</f>
        <v>353750000</v>
      </c>
      <c r="Z241" s="20">
        <f>$D237/4</f>
        <v>353750000</v>
      </c>
      <c r="AA241" s="20">
        <v>0</v>
      </c>
      <c r="AB241" s="20">
        <v>0</v>
      </c>
      <c r="AC241" s="20">
        <v>0</v>
      </c>
      <c r="AE241" s="21">
        <f t="shared" si="177"/>
        <v>377150000</v>
      </c>
      <c r="AF241" s="21">
        <f t="shared" si="178"/>
        <v>4785725000</v>
      </c>
      <c r="AG241" s="21">
        <f t="shared" si="175"/>
        <v>142850000</v>
      </c>
    </row>
    <row r="242" spans="2:33" x14ac:dyDescent="0.2">
      <c r="B242" t="s">
        <v>354</v>
      </c>
      <c r="C242" s="5" t="s">
        <v>99</v>
      </c>
      <c r="D242" s="22">
        <f>$D237</f>
        <v>1415000000</v>
      </c>
      <c r="E242" s="22">
        <f>$E237</f>
        <v>1686000000</v>
      </c>
      <c r="F242" s="22">
        <f>$F237</f>
        <v>1814000000</v>
      </c>
      <c r="G242" s="23">
        <f t="shared" si="179"/>
        <v>20</v>
      </c>
      <c r="H242" s="4">
        <v>535000000</v>
      </c>
      <c r="J242" s="20">
        <f t="shared" si="174"/>
        <v>535000000</v>
      </c>
      <c r="K242" s="20">
        <f t="shared" si="176"/>
        <v>520000000</v>
      </c>
      <c r="L242" s="20">
        <f t="shared" si="180"/>
        <v>554000000</v>
      </c>
      <c r="M242" s="20">
        <f t="shared" si="181"/>
        <v>554000000</v>
      </c>
      <c r="N242" s="20">
        <f t="shared" si="182"/>
        <v>528000000</v>
      </c>
      <c r="O242" s="20">
        <f t="shared" ref="O242:O248" si="183">H237</f>
        <v>472000000</v>
      </c>
      <c r="P242" s="20">
        <f>$F237/4</f>
        <v>453500000</v>
      </c>
      <c r="Q242" s="20">
        <f>$F237/4</f>
        <v>453500000</v>
      </c>
      <c r="R242" s="20">
        <f>$F237/4</f>
        <v>453500000</v>
      </c>
      <c r="S242" s="20">
        <f>$F237/4</f>
        <v>453500000</v>
      </c>
      <c r="T242" s="20">
        <f>$E237/4</f>
        <v>421500000</v>
      </c>
      <c r="U242" s="20">
        <f>$E237/4</f>
        <v>421500000</v>
      </c>
      <c r="V242" s="20">
        <f>$E237/4</f>
        <v>421500000</v>
      </c>
      <c r="W242" s="20">
        <f>$E237/4</f>
        <v>421500000</v>
      </c>
      <c r="X242" s="20">
        <f>$D237/4</f>
        <v>353750000</v>
      </c>
      <c r="Y242" s="20">
        <f>$D237/4</f>
        <v>353750000</v>
      </c>
      <c r="Z242" s="20">
        <f>$D237/4</f>
        <v>353750000</v>
      </c>
      <c r="AA242" s="20">
        <f>$D237/4</f>
        <v>353750000</v>
      </c>
      <c r="AB242" s="20">
        <v>0</v>
      </c>
      <c r="AC242" s="20">
        <v>0</v>
      </c>
      <c r="AE242" s="21">
        <f t="shared" si="177"/>
        <v>403900000</v>
      </c>
      <c r="AF242" s="21">
        <f t="shared" si="178"/>
        <v>4943575000</v>
      </c>
      <c r="AG242" s="21">
        <f t="shared" si="175"/>
        <v>131100000</v>
      </c>
    </row>
    <row r="243" spans="2:33" x14ac:dyDescent="0.2">
      <c r="B243" t="s">
        <v>354</v>
      </c>
      <c r="C243" s="5" t="s">
        <v>98</v>
      </c>
      <c r="D243" s="22">
        <f>$D237</f>
        <v>1415000000</v>
      </c>
      <c r="E243" s="22">
        <f>$E237</f>
        <v>1686000000</v>
      </c>
      <c r="F243" s="22">
        <f>$F237</f>
        <v>1814000000</v>
      </c>
      <c r="G243" s="23">
        <f t="shared" si="179"/>
        <v>20</v>
      </c>
      <c r="H243" s="4">
        <v>533000000</v>
      </c>
      <c r="J243" s="20">
        <f t="shared" si="174"/>
        <v>533000000</v>
      </c>
      <c r="K243" s="20">
        <f t="shared" si="176"/>
        <v>535000000</v>
      </c>
      <c r="L243" s="20">
        <f t="shared" si="180"/>
        <v>520000000</v>
      </c>
      <c r="M243" s="20">
        <f t="shared" si="181"/>
        <v>554000000</v>
      </c>
      <c r="N243" s="20">
        <f t="shared" si="182"/>
        <v>554000000</v>
      </c>
      <c r="O243" s="20">
        <f t="shared" si="183"/>
        <v>528000000</v>
      </c>
      <c r="P243" s="20">
        <f t="shared" ref="P243:P248" si="184">H237</f>
        <v>472000000</v>
      </c>
      <c r="Q243" s="20">
        <f>$F237/4</f>
        <v>453500000</v>
      </c>
      <c r="R243" s="20">
        <f>$F237/4</f>
        <v>453500000</v>
      </c>
      <c r="S243" s="20">
        <f>$F237/4</f>
        <v>453500000</v>
      </c>
      <c r="T243" s="20">
        <f>$F237/4</f>
        <v>453500000</v>
      </c>
      <c r="U243" s="20">
        <f>$E237/4</f>
        <v>421500000</v>
      </c>
      <c r="V243" s="20">
        <f>$E237/4</f>
        <v>421500000</v>
      </c>
      <c r="W243" s="20">
        <f>$E237/4</f>
        <v>421500000</v>
      </c>
      <c r="X243" s="20">
        <f>$E237/4</f>
        <v>421500000</v>
      </c>
      <c r="Y243" s="20">
        <f>$D237/4</f>
        <v>353750000</v>
      </c>
      <c r="Z243" s="20">
        <f>$D237/4</f>
        <v>353750000</v>
      </c>
      <c r="AA243" s="20">
        <f>$D237/4</f>
        <v>353750000</v>
      </c>
      <c r="AB243" s="20">
        <f>$D237/4</f>
        <v>353750000</v>
      </c>
      <c r="AC243" s="20">
        <v>0</v>
      </c>
      <c r="AE243" s="21">
        <f t="shared" si="177"/>
        <v>430550000</v>
      </c>
      <c r="AF243" s="21">
        <f t="shared" si="178"/>
        <v>5072675000</v>
      </c>
      <c r="AG243" s="21">
        <f t="shared" si="175"/>
        <v>102450000</v>
      </c>
    </row>
    <row r="244" spans="2:33" x14ac:dyDescent="0.2">
      <c r="B244" t="s">
        <v>354</v>
      </c>
      <c r="C244" s="5" t="s">
        <v>97</v>
      </c>
      <c r="D244" s="22">
        <f>$D237</f>
        <v>1415000000</v>
      </c>
      <c r="E244" s="22">
        <f>$E237</f>
        <v>1686000000</v>
      </c>
      <c r="F244" s="22">
        <f>$F237</f>
        <v>1814000000</v>
      </c>
      <c r="G244" s="23">
        <f t="shared" si="179"/>
        <v>20</v>
      </c>
      <c r="H244" s="4">
        <v>519000000</v>
      </c>
      <c r="J244" s="20">
        <f t="shared" si="174"/>
        <v>519000000</v>
      </c>
      <c r="K244" s="20">
        <f t="shared" si="176"/>
        <v>533000000</v>
      </c>
      <c r="L244" s="20">
        <f t="shared" si="180"/>
        <v>535000000</v>
      </c>
      <c r="M244" s="20">
        <f t="shared" si="181"/>
        <v>520000000</v>
      </c>
      <c r="N244" s="20">
        <f t="shared" si="182"/>
        <v>554000000</v>
      </c>
      <c r="O244" s="20">
        <f t="shared" si="183"/>
        <v>554000000</v>
      </c>
      <c r="P244" s="20">
        <f t="shared" si="184"/>
        <v>528000000</v>
      </c>
      <c r="Q244" s="20">
        <f>H237</f>
        <v>472000000</v>
      </c>
      <c r="R244" s="20">
        <f>$F237/4</f>
        <v>453500000</v>
      </c>
      <c r="S244" s="20">
        <f>$F237/4</f>
        <v>453500000</v>
      </c>
      <c r="T244" s="20">
        <f>$F237/4</f>
        <v>453500000</v>
      </c>
      <c r="U244" s="20">
        <f>$F237/4</f>
        <v>453500000</v>
      </c>
      <c r="V244" s="20">
        <f>$E237/4</f>
        <v>421500000</v>
      </c>
      <c r="W244" s="20">
        <f>$E237/4</f>
        <v>421500000</v>
      </c>
      <c r="X244" s="20">
        <f>$E237/4</f>
        <v>421500000</v>
      </c>
      <c r="Y244" s="20">
        <f>$E237/4</f>
        <v>421500000</v>
      </c>
      <c r="Z244" s="20">
        <f>$D237/4</f>
        <v>353750000</v>
      </c>
      <c r="AA244" s="20">
        <f>$D237/4</f>
        <v>353750000</v>
      </c>
      <c r="AB244" s="20">
        <f>$D237/4</f>
        <v>353750000</v>
      </c>
      <c r="AC244" s="20">
        <f>$D237/4</f>
        <v>353750000</v>
      </c>
      <c r="AE244" s="21">
        <f t="shared" si="177"/>
        <v>456500000</v>
      </c>
      <c r="AF244" s="21">
        <f t="shared" si="178"/>
        <v>5161125000</v>
      </c>
      <c r="AG244" s="21">
        <f t="shared" si="175"/>
        <v>62500000</v>
      </c>
    </row>
    <row r="245" spans="2:33" x14ac:dyDescent="0.2">
      <c r="B245" t="s">
        <v>354</v>
      </c>
      <c r="C245" s="5" t="s">
        <v>96</v>
      </c>
      <c r="D245" s="22">
        <f>$D237</f>
        <v>1415000000</v>
      </c>
      <c r="E245" s="22">
        <f>$E237</f>
        <v>1686000000</v>
      </c>
      <c r="F245" s="22">
        <f>$F237</f>
        <v>1814000000</v>
      </c>
      <c r="G245" s="23">
        <f t="shared" si="179"/>
        <v>20</v>
      </c>
      <c r="H245" s="4">
        <v>480000000</v>
      </c>
      <c r="J245" s="20">
        <f t="shared" si="174"/>
        <v>480000000</v>
      </c>
      <c r="K245" s="20">
        <f t="shared" si="176"/>
        <v>519000000</v>
      </c>
      <c r="L245" s="20">
        <f t="shared" si="180"/>
        <v>533000000</v>
      </c>
      <c r="M245" s="20">
        <f t="shared" si="181"/>
        <v>535000000</v>
      </c>
      <c r="N245" s="20">
        <f t="shared" si="182"/>
        <v>520000000</v>
      </c>
      <c r="O245" s="20">
        <f t="shared" si="183"/>
        <v>554000000</v>
      </c>
      <c r="P245" s="20">
        <f t="shared" si="184"/>
        <v>554000000</v>
      </c>
      <c r="Q245" s="20">
        <f>H238</f>
        <v>528000000</v>
      </c>
      <c r="R245" s="20">
        <f>H237</f>
        <v>472000000</v>
      </c>
      <c r="S245" s="20">
        <f>$F237/4</f>
        <v>453500000</v>
      </c>
      <c r="T245" s="20">
        <f>$F237/4</f>
        <v>453500000</v>
      </c>
      <c r="U245" s="20">
        <f>$F237/4</f>
        <v>453500000</v>
      </c>
      <c r="V245" s="20">
        <f>$F237/4</f>
        <v>453500000</v>
      </c>
      <c r="W245" s="20">
        <f>$E237/4</f>
        <v>421500000</v>
      </c>
      <c r="X245" s="20">
        <f>$E237/4</f>
        <v>421500000</v>
      </c>
      <c r="Y245" s="20">
        <f>$E237/4</f>
        <v>421500000</v>
      </c>
      <c r="Z245" s="20">
        <f>$E237/4</f>
        <v>421500000</v>
      </c>
      <c r="AA245" s="20">
        <f>$D237/4</f>
        <v>353750000</v>
      </c>
      <c r="AB245" s="20">
        <f>$D237/4</f>
        <v>353750000</v>
      </c>
      <c r="AC245" s="20">
        <f>$D237/4</f>
        <v>353750000</v>
      </c>
      <c r="AE245" s="21">
        <f t="shared" si="177"/>
        <v>462812500</v>
      </c>
      <c r="AF245" s="21">
        <f t="shared" si="178"/>
        <v>5184625000</v>
      </c>
      <c r="AG245" s="21">
        <f t="shared" si="175"/>
        <v>17187500</v>
      </c>
    </row>
    <row r="246" spans="2:33" x14ac:dyDescent="0.2">
      <c r="B246" t="s">
        <v>354</v>
      </c>
      <c r="C246" s="5" t="s">
        <v>95</v>
      </c>
      <c r="D246" s="22">
        <f>$D237</f>
        <v>1415000000</v>
      </c>
      <c r="E246" s="22">
        <f>$E237</f>
        <v>1686000000</v>
      </c>
      <c r="F246" s="22">
        <f>$F237</f>
        <v>1814000000</v>
      </c>
      <c r="G246" s="23">
        <f t="shared" si="179"/>
        <v>20</v>
      </c>
      <c r="H246" s="4">
        <v>551000000</v>
      </c>
      <c r="J246" s="20">
        <f t="shared" si="174"/>
        <v>551000000</v>
      </c>
      <c r="K246" s="20">
        <f t="shared" si="176"/>
        <v>480000000</v>
      </c>
      <c r="L246" s="20">
        <f t="shared" si="180"/>
        <v>519000000</v>
      </c>
      <c r="M246" s="20">
        <f t="shared" si="181"/>
        <v>533000000</v>
      </c>
      <c r="N246" s="20">
        <f t="shared" si="182"/>
        <v>535000000</v>
      </c>
      <c r="O246" s="20">
        <f t="shared" si="183"/>
        <v>520000000</v>
      </c>
      <c r="P246" s="20">
        <f t="shared" si="184"/>
        <v>554000000</v>
      </c>
      <c r="Q246" s="20">
        <f>H239</f>
        <v>554000000</v>
      </c>
      <c r="R246" s="20">
        <f>H238</f>
        <v>528000000</v>
      </c>
      <c r="S246" s="20">
        <f>H237</f>
        <v>472000000</v>
      </c>
      <c r="T246" s="20">
        <f>$F237/4</f>
        <v>453500000</v>
      </c>
      <c r="U246" s="20">
        <f>$F237/4</f>
        <v>453500000</v>
      </c>
      <c r="V246" s="20">
        <f>$F237/4</f>
        <v>453500000</v>
      </c>
      <c r="W246" s="20">
        <f>$F237/4</f>
        <v>453500000</v>
      </c>
      <c r="X246" s="20">
        <f>$E237/4</f>
        <v>421500000</v>
      </c>
      <c r="Y246" s="20">
        <f>$E237/4</f>
        <v>421500000</v>
      </c>
      <c r="Z246" s="20">
        <f>$E237/4</f>
        <v>421500000</v>
      </c>
      <c r="AA246" s="20">
        <f>$E237/4</f>
        <v>421500000</v>
      </c>
      <c r="AB246" s="20">
        <f>$D237/4</f>
        <v>353750000</v>
      </c>
      <c r="AC246" s="20">
        <f>$D237/4</f>
        <v>353750000</v>
      </c>
      <c r="AE246" s="21">
        <f t="shared" si="177"/>
        <v>472675000</v>
      </c>
      <c r="AF246" s="21">
        <f t="shared" si="178"/>
        <v>5272812500</v>
      </c>
      <c r="AG246" s="21">
        <f t="shared" si="175"/>
        <v>78325000</v>
      </c>
    </row>
    <row r="247" spans="2:33" x14ac:dyDescent="0.2">
      <c r="B247" t="s">
        <v>354</v>
      </c>
      <c r="C247" s="5" t="s">
        <v>94</v>
      </c>
      <c r="D247" s="22">
        <f>$D237</f>
        <v>1415000000</v>
      </c>
      <c r="E247" s="22">
        <f>$E237</f>
        <v>1686000000</v>
      </c>
      <c r="F247" s="22">
        <f>$F237</f>
        <v>1814000000</v>
      </c>
      <c r="G247" s="23">
        <f t="shared" si="179"/>
        <v>20</v>
      </c>
      <c r="H247" s="4">
        <v>555000000</v>
      </c>
      <c r="J247" s="20">
        <f t="shared" si="174"/>
        <v>555000000</v>
      </c>
      <c r="K247" s="20">
        <f t="shared" si="176"/>
        <v>551000000</v>
      </c>
      <c r="L247" s="20">
        <f t="shared" si="180"/>
        <v>480000000</v>
      </c>
      <c r="M247" s="20">
        <f t="shared" si="181"/>
        <v>519000000</v>
      </c>
      <c r="N247" s="20">
        <f t="shared" si="182"/>
        <v>533000000</v>
      </c>
      <c r="O247" s="20">
        <f t="shared" si="183"/>
        <v>535000000</v>
      </c>
      <c r="P247" s="20">
        <f t="shared" si="184"/>
        <v>520000000</v>
      </c>
      <c r="Q247" s="20">
        <f>H240</f>
        <v>554000000</v>
      </c>
      <c r="R247" s="20">
        <f>H239</f>
        <v>554000000</v>
      </c>
      <c r="S247" s="20">
        <f>H238</f>
        <v>528000000</v>
      </c>
      <c r="T247" s="20">
        <f>H237</f>
        <v>472000000</v>
      </c>
      <c r="U247" s="20">
        <f>$F237/4</f>
        <v>453500000</v>
      </c>
      <c r="V247" s="20">
        <f>$F237/4</f>
        <v>453500000</v>
      </c>
      <c r="W247" s="20">
        <f>$F237/4</f>
        <v>453500000</v>
      </c>
      <c r="X247" s="20">
        <f>$F237/4</f>
        <v>453500000</v>
      </c>
      <c r="Y247" s="20">
        <f>$E237/4</f>
        <v>421500000</v>
      </c>
      <c r="Z247" s="20">
        <f>$E237/4</f>
        <v>421500000</v>
      </c>
      <c r="AA247" s="20">
        <f>$E237/4</f>
        <v>421500000</v>
      </c>
      <c r="AB247" s="20">
        <f>$E237/4</f>
        <v>421500000</v>
      </c>
      <c r="AC247" s="20">
        <f>$D237/4</f>
        <v>353750000</v>
      </c>
      <c r="AE247" s="21">
        <f t="shared" si="177"/>
        <v>482737500</v>
      </c>
      <c r="AF247" s="21">
        <f t="shared" si="178"/>
        <v>5355137500</v>
      </c>
      <c r="AG247" s="21">
        <f t="shared" si="175"/>
        <v>72262500</v>
      </c>
    </row>
    <row r="248" spans="2:33" x14ac:dyDescent="0.2">
      <c r="B248" t="s">
        <v>354</v>
      </c>
      <c r="C248" s="5" t="s">
        <v>93</v>
      </c>
      <c r="D248" s="22">
        <f>$D237</f>
        <v>1415000000</v>
      </c>
      <c r="E248" s="22">
        <f>$E237</f>
        <v>1686000000</v>
      </c>
      <c r="F248" s="22">
        <f>$F237</f>
        <v>1814000000</v>
      </c>
      <c r="G248" s="23">
        <f t="shared" si="179"/>
        <v>20</v>
      </c>
      <c r="H248" s="4">
        <v>562000000</v>
      </c>
      <c r="J248" s="20">
        <f t="shared" si="174"/>
        <v>562000000</v>
      </c>
      <c r="K248" s="20">
        <f t="shared" si="176"/>
        <v>555000000</v>
      </c>
      <c r="L248" s="20">
        <f t="shared" si="180"/>
        <v>551000000</v>
      </c>
      <c r="M248" s="20">
        <f t="shared" si="181"/>
        <v>480000000</v>
      </c>
      <c r="N248" s="20">
        <f t="shared" si="182"/>
        <v>519000000</v>
      </c>
      <c r="O248" s="20">
        <f t="shared" si="183"/>
        <v>533000000</v>
      </c>
      <c r="P248" s="20">
        <f t="shared" si="184"/>
        <v>535000000</v>
      </c>
      <c r="Q248" s="20">
        <f>H241</f>
        <v>520000000</v>
      </c>
      <c r="R248" s="20">
        <f>H240</f>
        <v>554000000</v>
      </c>
      <c r="S248" s="20">
        <f>H239</f>
        <v>554000000</v>
      </c>
      <c r="T248" s="20">
        <f>H238</f>
        <v>528000000</v>
      </c>
      <c r="U248" s="20">
        <f>H237</f>
        <v>472000000</v>
      </c>
      <c r="V248" s="20">
        <f>$F237/4</f>
        <v>453500000</v>
      </c>
      <c r="W248" s="20">
        <f>$F237/4</f>
        <v>453500000</v>
      </c>
      <c r="X248" s="20">
        <f>$F237/4</f>
        <v>453500000</v>
      </c>
      <c r="Y248" s="20">
        <f>$F237/4</f>
        <v>453500000</v>
      </c>
      <c r="Z248" s="20">
        <f>$E237/4</f>
        <v>421500000</v>
      </c>
      <c r="AA248" s="20">
        <f>$E237/4</f>
        <v>421500000</v>
      </c>
      <c r="AB248" s="20">
        <f>$E237/4</f>
        <v>421500000</v>
      </c>
      <c r="AC248" s="20">
        <f>$E237/4</f>
        <v>421500000</v>
      </c>
      <c r="AE248" s="21">
        <f t="shared" si="177"/>
        <v>493150000</v>
      </c>
      <c r="AF248" s="21">
        <f t="shared" si="178"/>
        <v>5434400000</v>
      </c>
      <c r="AG248" s="21">
        <f t="shared" si="175"/>
        <v>68850000</v>
      </c>
    </row>
    <row r="251" spans="2:33" x14ac:dyDescent="0.2">
      <c r="C251" t="s">
        <v>386</v>
      </c>
    </row>
    <row r="252" spans="2:33" x14ac:dyDescent="0.2">
      <c r="C252" s="6" t="s">
        <v>107</v>
      </c>
      <c r="D252" s="6" t="s">
        <v>438</v>
      </c>
      <c r="E252" s="6" t="s">
        <v>439</v>
      </c>
      <c r="F252" s="6" t="s">
        <v>440</v>
      </c>
      <c r="G252" s="6" t="s">
        <v>441</v>
      </c>
      <c r="H252" s="6" t="s">
        <v>442</v>
      </c>
      <c r="I252" s="15"/>
      <c r="J252" s="6" t="s">
        <v>443</v>
      </c>
      <c r="K252" s="6" t="s">
        <v>444</v>
      </c>
      <c r="L252" s="6" t="s">
        <v>445</v>
      </c>
      <c r="M252" s="6" t="s">
        <v>446</v>
      </c>
      <c r="N252" s="6" t="s">
        <v>447</v>
      </c>
      <c r="O252" s="6" t="s">
        <v>448</v>
      </c>
      <c r="P252" s="6" t="s">
        <v>449</v>
      </c>
      <c r="Q252" s="6" t="s">
        <v>450</v>
      </c>
      <c r="R252" s="6" t="s">
        <v>451</v>
      </c>
      <c r="S252" s="6" t="s">
        <v>452</v>
      </c>
      <c r="T252" s="6" t="s">
        <v>453</v>
      </c>
      <c r="U252" s="6" t="s">
        <v>454</v>
      </c>
      <c r="V252" s="6" t="s">
        <v>455</v>
      </c>
      <c r="W252" s="6" t="s">
        <v>456</v>
      </c>
      <c r="X252" s="6" t="s">
        <v>457</v>
      </c>
      <c r="Y252" s="6" t="s">
        <v>458</v>
      </c>
      <c r="Z252" s="6" t="s">
        <v>459</v>
      </c>
      <c r="AA252" s="6" t="s">
        <v>460</v>
      </c>
      <c r="AB252" s="6" t="s">
        <v>461</v>
      </c>
      <c r="AC252" s="6" t="s">
        <v>462</v>
      </c>
      <c r="AD252" s="15"/>
      <c r="AE252" s="6" t="s">
        <v>106</v>
      </c>
      <c r="AF252" s="6" t="s">
        <v>105</v>
      </c>
      <c r="AG252" s="6" t="s">
        <v>463</v>
      </c>
    </row>
    <row r="253" spans="2:33" x14ac:dyDescent="0.2">
      <c r="C253" s="16" t="s">
        <v>464</v>
      </c>
      <c r="J253" s="17">
        <v>20</v>
      </c>
      <c r="K253" s="17">
        <v>19</v>
      </c>
      <c r="L253" s="17">
        <v>18</v>
      </c>
      <c r="M253" s="17">
        <v>17</v>
      </c>
      <c r="N253" s="17">
        <v>16</v>
      </c>
      <c r="O253" s="17">
        <v>15</v>
      </c>
      <c r="P253" s="17">
        <v>14</v>
      </c>
      <c r="Q253" s="17">
        <v>13</v>
      </c>
      <c r="R253" s="17">
        <v>12</v>
      </c>
      <c r="S253" s="17">
        <v>11</v>
      </c>
      <c r="T253" s="17">
        <v>10</v>
      </c>
      <c r="U253" s="17">
        <v>9</v>
      </c>
      <c r="V253" s="17">
        <v>8</v>
      </c>
      <c r="W253" s="17">
        <v>7</v>
      </c>
      <c r="X253" s="17">
        <v>6</v>
      </c>
      <c r="Y253" s="17">
        <v>5</v>
      </c>
      <c r="Z253" s="17">
        <v>4</v>
      </c>
      <c r="AA253" s="17">
        <v>3</v>
      </c>
      <c r="AB253" s="17">
        <v>2</v>
      </c>
      <c r="AC253" s="17">
        <v>1</v>
      </c>
    </row>
    <row r="254" spans="2:33" x14ac:dyDescent="0.2">
      <c r="B254" t="s">
        <v>386</v>
      </c>
      <c r="C254" s="5" t="s">
        <v>104</v>
      </c>
      <c r="D254" s="4">
        <v>27573000000</v>
      </c>
      <c r="E254" s="4">
        <v>31562000000</v>
      </c>
      <c r="F254" s="4">
        <v>39500000000</v>
      </c>
      <c r="G254" s="19">
        <v>20</v>
      </c>
      <c r="H254" s="4">
        <v>11468000000</v>
      </c>
      <c r="J254" s="20">
        <f t="shared" ref="J254:J265" si="185">H254</f>
        <v>11468000000</v>
      </c>
      <c r="K254" s="20">
        <f>$F254/4</f>
        <v>9875000000</v>
      </c>
      <c r="L254" s="20">
        <f>$F254/4</f>
        <v>9875000000</v>
      </c>
      <c r="M254" s="20">
        <f>$F254/4</f>
        <v>9875000000</v>
      </c>
      <c r="N254" s="20">
        <f>$F254/4</f>
        <v>9875000000</v>
      </c>
      <c r="O254" s="20">
        <f>$E254/4</f>
        <v>7890500000</v>
      </c>
      <c r="P254" s="20">
        <f>$E254/4</f>
        <v>7890500000</v>
      </c>
      <c r="Q254" s="20">
        <f>$E254/4</f>
        <v>7890500000</v>
      </c>
      <c r="R254" s="20">
        <f>$E254/4</f>
        <v>7890500000</v>
      </c>
      <c r="S254" s="20">
        <f>$D254/4</f>
        <v>6893250000</v>
      </c>
      <c r="T254" s="20">
        <f>$D254/4</f>
        <v>6893250000</v>
      </c>
      <c r="U254" s="20">
        <f>$D254/4</f>
        <v>6893250000</v>
      </c>
      <c r="V254" s="20">
        <f>$D254/4</f>
        <v>6893250000</v>
      </c>
      <c r="W254" s="20">
        <v>0</v>
      </c>
      <c r="X254" s="20">
        <v>0</v>
      </c>
      <c r="Y254" s="20">
        <v>0</v>
      </c>
      <c r="Z254" s="20">
        <v>0</v>
      </c>
      <c r="AA254" s="20">
        <v>0</v>
      </c>
      <c r="AB254" s="20">
        <v>0</v>
      </c>
      <c r="AC254" s="20">
        <v>0</v>
      </c>
      <c r="AE254" s="21">
        <f>SUM(J254:AC254)/$G254</f>
        <v>5505150000</v>
      </c>
      <c r="AF254" s="21">
        <f>SUMPRODUCT($J$253:$AC$253,J254:AC254)/$G254</f>
        <v>80432025000</v>
      </c>
      <c r="AG254" s="21">
        <f t="shared" ref="AG254:AG265" si="186">H254-AE254</f>
        <v>5962850000</v>
      </c>
    </row>
    <row r="255" spans="2:33" x14ac:dyDescent="0.2">
      <c r="B255" t="s">
        <v>386</v>
      </c>
      <c r="C255" s="5" t="s">
        <v>103</v>
      </c>
      <c r="D255" s="22">
        <f>$D254</f>
        <v>27573000000</v>
      </c>
      <c r="E255" s="22">
        <f>$E254</f>
        <v>31562000000</v>
      </c>
      <c r="F255" s="22">
        <f>$F254</f>
        <v>39500000000</v>
      </c>
      <c r="G255" s="23">
        <f>$G$254</f>
        <v>20</v>
      </c>
      <c r="H255" s="4">
        <v>10588000000</v>
      </c>
      <c r="J255" s="20">
        <f t="shared" si="185"/>
        <v>10588000000</v>
      </c>
      <c r="K255" s="20">
        <f t="shared" ref="K255:K265" si="187">H254</f>
        <v>11468000000</v>
      </c>
      <c r="L255" s="20">
        <f>$F254/4</f>
        <v>9875000000</v>
      </c>
      <c r="M255" s="20">
        <f>$F254/4</f>
        <v>9875000000</v>
      </c>
      <c r="N255" s="20">
        <f>$F254/4</f>
        <v>9875000000</v>
      </c>
      <c r="O255" s="20">
        <f>$F254/4</f>
        <v>9875000000</v>
      </c>
      <c r="P255" s="20">
        <f>$E254/4</f>
        <v>7890500000</v>
      </c>
      <c r="Q255" s="20">
        <f>$E254/4</f>
        <v>7890500000</v>
      </c>
      <c r="R255" s="20">
        <f>$E254/4</f>
        <v>7890500000</v>
      </c>
      <c r="S255" s="20">
        <f>$E254/4</f>
        <v>7890500000</v>
      </c>
      <c r="T255" s="20">
        <f>$D254/4</f>
        <v>6893250000</v>
      </c>
      <c r="U255" s="20">
        <f>$D254/4</f>
        <v>6893250000</v>
      </c>
      <c r="V255" s="20">
        <f>$D254/4</f>
        <v>6893250000</v>
      </c>
      <c r="W255" s="20">
        <f>$D254/4</f>
        <v>6893250000</v>
      </c>
      <c r="X255" s="20">
        <v>0</v>
      </c>
      <c r="Y255" s="20">
        <v>0</v>
      </c>
      <c r="Z255" s="20">
        <v>0</v>
      </c>
      <c r="AA255" s="20">
        <v>0</v>
      </c>
      <c r="AB255" s="20">
        <v>0</v>
      </c>
      <c r="AC255" s="20">
        <v>0</v>
      </c>
      <c r="AE255" s="21">
        <f t="shared" ref="AE255:AE265" si="188">SUM(J255:AC255)/$G255</f>
        <v>6034550000</v>
      </c>
      <c r="AF255" s="21">
        <f t="shared" ref="AF255:AF265" si="189">SUMPRODUCT($J$253:$AC$253,J255:AC255)/$G255</f>
        <v>85514875000</v>
      </c>
      <c r="AG255" s="21">
        <f t="shared" si="186"/>
        <v>4553450000</v>
      </c>
    </row>
    <row r="256" spans="2:33" x14ac:dyDescent="0.2">
      <c r="B256" t="s">
        <v>386</v>
      </c>
      <c r="C256" s="5" t="s">
        <v>102</v>
      </c>
      <c r="D256" s="22">
        <f>$D254</f>
        <v>27573000000</v>
      </c>
      <c r="E256" s="22">
        <f>$E254</f>
        <v>31562000000</v>
      </c>
      <c r="F256" s="22">
        <f>$F254</f>
        <v>39500000000</v>
      </c>
      <c r="G256" s="23">
        <f t="shared" ref="G256:G265" si="190">$G$254</f>
        <v>20</v>
      </c>
      <c r="H256" s="4">
        <v>11258000000</v>
      </c>
      <c r="J256" s="20">
        <f t="shared" si="185"/>
        <v>11258000000</v>
      </c>
      <c r="K256" s="20">
        <f t="shared" si="187"/>
        <v>10588000000</v>
      </c>
      <c r="L256" s="20">
        <f t="shared" ref="L256:L265" si="191">H254</f>
        <v>11468000000</v>
      </c>
      <c r="M256" s="20">
        <f>$F254/4</f>
        <v>9875000000</v>
      </c>
      <c r="N256" s="20">
        <f>$F254/4</f>
        <v>9875000000</v>
      </c>
      <c r="O256" s="20">
        <f>$F254/4</f>
        <v>9875000000</v>
      </c>
      <c r="P256" s="20">
        <f>$F254/4</f>
        <v>9875000000</v>
      </c>
      <c r="Q256" s="20">
        <f>$E254/4</f>
        <v>7890500000</v>
      </c>
      <c r="R256" s="20">
        <f>$E254/4</f>
        <v>7890500000</v>
      </c>
      <c r="S256" s="20">
        <f>$E254/4</f>
        <v>7890500000</v>
      </c>
      <c r="T256" s="20">
        <f>$E254/4</f>
        <v>7890500000</v>
      </c>
      <c r="U256" s="20">
        <f>$D254/4</f>
        <v>6893250000</v>
      </c>
      <c r="V256" s="20">
        <f>$D254/4</f>
        <v>6893250000</v>
      </c>
      <c r="W256" s="20">
        <f>$D254/4</f>
        <v>6893250000</v>
      </c>
      <c r="X256" s="20">
        <f>$D254/4</f>
        <v>6893250000</v>
      </c>
      <c r="Y256" s="20">
        <v>0</v>
      </c>
      <c r="Z256" s="20">
        <v>0</v>
      </c>
      <c r="AA256" s="20">
        <v>0</v>
      </c>
      <c r="AB256" s="20">
        <v>0</v>
      </c>
      <c r="AC256" s="20">
        <v>0</v>
      </c>
      <c r="AE256" s="21">
        <f t="shared" si="188"/>
        <v>6597450000</v>
      </c>
      <c r="AF256" s="21">
        <f t="shared" si="189"/>
        <v>90738325000</v>
      </c>
      <c r="AG256" s="21">
        <f t="shared" si="186"/>
        <v>4660550000</v>
      </c>
    </row>
    <row r="257" spans="2:33" x14ac:dyDescent="0.2">
      <c r="B257" t="s">
        <v>386</v>
      </c>
      <c r="C257" s="5" t="s">
        <v>101</v>
      </c>
      <c r="D257" s="22">
        <f>$D254</f>
        <v>27573000000</v>
      </c>
      <c r="E257" s="22">
        <f>$E254</f>
        <v>31562000000</v>
      </c>
      <c r="F257" s="22">
        <f>$F254</f>
        <v>39500000000</v>
      </c>
      <c r="G257" s="23">
        <f t="shared" si="190"/>
        <v>20</v>
      </c>
      <c r="H257" s="4">
        <v>12113000000</v>
      </c>
      <c r="J257" s="20">
        <f t="shared" si="185"/>
        <v>12113000000</v>
      </c>
      <c r="K257" s="20">
        <f t="shared" si="187"/>
        <v>11258000000</v>
      </c>
      <c r="L257" s="20">
        <f t="shared" si="191"/>
        <v>10588000000</v>
      </c>
      <c r="M257" s="20">
        <f t="shared" ref="M257:M265" si="192">H254</f>
        <v>11468000000</v>
      </c>
      <c r="N257" s="20">
        <f>$F254/4</f>
        <v>9875000000</v>
      </c>
      <c r="O257" s="20">
        <f>$F254/4</f>
        <v>9875000000</v>
      </c>
      <c r="P257" s="20">
        <f>$F254/4</f>
        <v>9875000000</v>
      </c>
      <c r="Q257" s="20">
        <f>$F254/4</f>
        <v>9875000000</v>
      </c>
      <c r="R257" s="20">
        <f>$E254/4</f>
        <v>7890500000</v>
      </c>
      <c r="S257" s="20">
        <f>$E254/4</f>
        <v>7890500000</v>
      </c>
      <c r="T257" s="20">
        <f>$E254/4</f>
        <v>7890500000</v>
      </c>
      <c r="U257" s="20">
        <f>$E254/4</f>
        <v>7890500000</v>
      </c>
      <c r="V257" s="20">
        <f>$D254/4</f>
        <v>6893250000</v>
      </c>
      <c r="W257" s="20">
        <f>$D254/4</f>
        <v>6893250000</v>
      </c>
      <c r="X257" s="20">
        <f>$D254/4</f>
        <v>6893250000</v>
      </c>
      <c r="Y257" s="20">
        <f>$D254/4</f>
        <v>6893250000</v>
      </c>
      <c r="Z257" s="20">
        <v>0</v>
      </c>
      <c r="AA257" s="20">
        <v>0</v>
      </c>
      <c r="AB257" s="20">
        <v>0</v>
      </c>
      <c r="AC257" s="20">
        <v>0</v>
      </c>
      <c r="AE257" s="21">
        <f t="shared" si="188"/>
        <v>7203100000</v>
      </c>
      <c r="AF257" s="21">
        <f t="shared" si="189"/>
        <v>96253875000</v>
      </c>
      <c r="AG257" s="21">
        <f t="shared" si="186"/>
        <v>4909900000</v>
      </c>
    </row>
    <row r="258" spans="2:33" x14ac:dyDescent="0.2">
      <c r="B258" t="s">
        <v>386</v>
      </c>
      <c r="C258" s="5" t="s">
        <v>100</v>
      </c>
      <c r="D258" s="22">
        <f>$D254</f>
        <v>27573000000</v>
      </c>
      <c r="E258" s="22">
        <f>$E254</f>
        <v>31562000000</v>
      </c>
      <c r="F258" s="22">
        <f>$F254</f>
        <v>39500000000</v>
      </c>
      <c r="G258" s="23">
        <f t="shared" si="190"/>
        <v>20</v>
      </c>
      <c r="H258" s="4">
        <v>11903000000</v>
      </c>
      <c r="J258" s="20">
        <f t="shared" si="185"/>
        <v>11903000000</v>
      </c>
      <c r="K258" s="20">
        <f t="shared" si="187"/>
        <v>12113000000</v>
      </c>
      <c r="L258" s="20">
        <f t="shared" si="191"/>
        <v>11258000000</v>
      </c>
      <c r="M258" s="20">
        <f t="shared" si="192"/>
        <v>10588000000</v>
      </c>
      <c r="N258" s="20">
        <f t="shared" ref="N258:N265" si="193">H254</f>
        <v>11468000000</v>
      </c>
      <c r="O258" s="20">
        <f>$F254/4</f>
        <v>9875000000</v>
      </c>
      <c r="P258" s="20">
        <f>$F254/4</f>
        <v>9875000000</v>
      </c>
      <c r="Q258" s="20">
        <f>$F254/4</f>
        <v>9875000000</v>
      </c>
      <c r="R258" s="20">
        <f>$F254/4</f>
        <v>9875000000</v>
      </c>
      <c r="S258" s="20">
        <f>$E254/4</f>
        <v>7890500000</v>
      </c>
      <c r="T258" s="20">
        <f>$E254/4</f>
        <v>7890500000</v>
      </c>
      <c r="U258" s="20">
        <f>$E254/4</f>
        <v>7890500000</v>
      </c>
      <c r="V258" s="20">
        <f>$E254/4</f>
        <v>7890500000</v>
      </c>
      <c r="W258" s="20">
        <f>$D254/4</f>
        <v>6893250000</v>
      </c>
      <c r="X258" s="20">
        <f>$D254/4</f>
        <v>6893250000</v>
      </c>
      <c r="Y258" s="20">
        <f>$D254/4</f>
        <v>6893250000</v>
      </c>
      <c r="Z258" s="20">
        <f>$D254/4</f>
        <v>6893250000</v>
      </c>
      <c r="AA258" s="20">
        <v>0</v>
      </c>
      <c r="AB258" s="20">
        <v>0</v>
      </c>
      <c r="AC258" s="20">
        <v>0</v>
      </c>
      <c r="AE258" s="21">
        <f t="shared" si="188"/>
        <v>7798250000</v>
      </c>
      <c r="AF258" s="21">
        <f t="shared" si="189"/>
        <v>100953775000</v>
      </c>
      <c r="AG258" s="21">
        <f t="shared" si="186"/>
        <v>4104750000</v>
      </c>
    </row>
    <row r="259" spans="2:33" x14ac:dyDescent="0.2">
      <c r="B259" t="s">
        <v>386</v>
      </c>
      <c r="C259" s="5" t="s">
        <v>99</v>
      </c>
      <c r="D259" s="22">
        <f>$D254</f>
        <v>27573000000</v>
      </c>
      <c r="E259" s="22">
        <f>$E254</f>
        <v>31562000000</v>
      </c>
      <c r="F259" s="22">
        <f>$F254</f>
        <v>39500000000</v>
      </c>
      <c r="G259" s="23">
        <f t="shared" si="190"/>
        <v>20</v>
      </c>
      <c r="H259" s="4">
        <v>11860000000</v>
      </c>
      <c r="J259" s="20">
        <f t="shared" si="185"/>
        <v>11860000000</v>
      </c>
      <c r="K259" s="20">
        <f t="shared" si="187"/>
        <v>11903000000</v>
      </c>
      <c r="L259" s="20">
        <f t="shared" si="191"/>
        <v>12113000000</v>
      </c>
      <c r="M259" s="20">
        <f t="shared" si="192"/>
        <v>11258000000</v>
      </c>
      <c r="N259" s="20">
        <f t="shared" si="193"/>
        <v>10588000000</v>
      </c>
      <c r="O259" s="20">
        <f t="shared" ref="O259:O265" si="194">H254</f>
        <v>11468000000</v>
      </c>
      <c r="P259" s="20">
        <f>$F254/4</f>
        <v>9875000000</v>
      </c>
      <c r="Q259" s="20">
        <f>$F254/4</f>
        <v>9875000000</v>
      </c>
      <c r="R259" s="20">
        <f>$F254/4</f>
        <v>9875000000</v>
      </c>
      <c r="S259" s="20">
        <f>$F254/4</f>
        <v>9875000000</v>
      </c>
      <c r="T259" s="20">
        <f>$E254/4</f>
        <v>7890500000</v>
      </c>
      <c r="U259" s="20">
        <f>$E254/4</f>
        <v>7890500000</v>
      </c>
      <c r="V259" s="20">
        <f>$E254/4</f>
        <v>7890500000</v>
      </c>
      <c r="W259" s="20">
        <f>$E254/4</f>
        <v>7890500000</v>
      </c>
      <c r="X259" s="20">
        <f>$D254/4</f>
        <v>6893250000</v>
      </c>
      <c r="Y259" s="20">
        <f>$D254/4</f>
        <v>6893250000</v>
      </c>
      <c r="Z259" s="20">
        <f>$D254/4</f>
        <v>6893250000</v>
      </c>
      <c r="AA259" s="20">
        <f>$D254/4</f>
        <v>6893250000</v>
      </c>
      <c r="AB259" s="20">
        <v>0</v>
      </c>
      <c r="AC259" s="20">
        <v>0</v>
      </c>
      <c r="AE259" s="21">
        <f t="shared" si="188"/>
        <v>8391250000</v>
      </c>
      <c r="AF259" s="21">
        <f t="shared" si="189"/>
        <v>105015525000</v>
      </c>
      <c r="AG259" s="21">
        <f t="shared" si="186"/>
        <v>3468750000</v>
      </c>
    </row>
    <row r="260" spans="2:33" x14ac:dyDescent="0.2">
      <c r="B260" t="s">
        <v>386</v>
      </c>
      <c r="C260" s="5" t="s">
        <v>98</v>
      </c>
      <c r="D260" s="22">
        <f>$D254</f>
        <v>27573000000</v>
      </c>
      <c r="E260" s="22">
        <f>$E254</f>
        <v>31562000000</v>
      </c>
      <c r="F260" s="22">
        <f>$F254</f>
        <v>39500000000</v>
      </c>
      <c r="G260" s="23">
        <f t="shared" si="190"/>
        <v>20</v>
      </c>
      <c r="H260" s="4">
        <v>12447000000</v>
      </c>
      <c r="J260" s="20">
        <f t="shared" si="185"/>
        <v>12447000000</v>
      </c>
      <c r="K260" s="20">
        <f t="shared" si="187"/>
        <v>11860000000</v>
      </c>
      <c r="L260" s="20">
        <f t="shared" si="191"/>
        <v>11903000000</v>
      </c>
      <c r="M260" s="20">
        <f t="shared" si="192"/>
        <v>12113000000</v>
      </c>
      <c r="N260" s="20">
        <f t="shared" si="193"/>
        <v>11258000000</v>
      </c>
      <c r="O260" s="20">
        <f t="shared" si="194"/>
        <v>10588000000</v>
      </c>
      <c r="P260" s="20">
        <f t="shared" ref="P260:P265" si="195">H254</f>
        <v>11468000000</v>
      </c>
      <c r="Q260" s="20">
        <f>$F254/4</f>
        <v>9875000000</v>
      </c>
      <c r="R260" s="20">
        <f>$F254/4</f>
        <v>9875000000</v>
      </c>
      <c r="S260" s="20">
        <f>$F254/4</f>
        <v>9875000000</v>
      </c>
      <c r="T260" s="20">
        <f>$F254/4</f>
        <v>9875000000</v>
      </c>
      <c r="U260" s="20">
        <f>$E254/4</f>
        <v>7890500000</v>
      </c>
      <c r="V260" s="20">
        <f>$E254/4</f>
        <v>7890500000</v>
      </c>
      <c r="W260" s="20">
        <f>$E254/4</f>
        <v>7890500000</v>
      </c>
      <c r="X260" s="20">
        <f>$E254/4</f>
        <v>7890500000</v>
      </c>
      <c r="Y260" s="20">
        <f>$D254/4</f>
        <v>6893250000</v>
      </c>
      <c r="Z260" s="20">
        <f>$D254/4</f>
        <v>6893250000</v>
      </c>
      <c r="AA260" s="20">
        <f>$D254/4</f>
        <v>6893250000</v>
      </c>
      <c r="AB260" s="20">
        <f>$D254/4</f>
        <v>6893250000</v>
      </c>
      <c r="AC260" s="20">
        <v>0</v>
      </c>
      <c r="AE260" s="21">
        <f t="shared" si="188"/>
        <v>9013600000</v>
      </c>
      <c r="AF260" s="21">
        <f t="shared" si="189"/>
        <v>109071275000</v>
      </c>
      <c r="AG260" s="21">
        <f t="shared" si="186"/>
        <v>3433400000</v>
      </c>
    </row>
    <row r="261" spans="2:33" x14ac:dyDescent="0.2">
      <c r="B261" t="s">
        <v>386</v>
      </c>
      <c r="C261" s="5" t="s">
        <v>97</v>
      </c>
      <c r="D261" s="22">
        <f>$D254</f>
        <v>27573000000</v>
      </c>
      <c r="E261" s="22">
        <f>$E254</f>
        <v>31562000000</v>
      </c>
      <c r="F261" s="22">
        <f>$F254</f>
        <v>39500000000</v>
      </c>
      <c r="G261" s="23">
        <f t="shared" si="190"/>
        <v>20</v>
      </c>
      <c r="H261" s="4">
        <v>13116000000</v>
      </c>
      <c r="J261" s="20">
        <f t="shared" si="185"/>
        <v>13116000000</v>
      </c>
      <c r="K261" s="20">
        <f t="shared" si="187"/>
        <v>12447000000</v>
      </c>
      <c r="L261" s="20">
        <f t="shared" si="191"/>
        <v>11860000000</v>
      </c>
      <c r="M261" s="20">
        <f t="shared" si="192"/>
        <v>11903000000</v>
      </c>
      <c r="N261" s="20">
        <f t="shared" si="193"/>
        <v>12113000000</v>
      </c>
      <c r="O261" s="20">
        <f t="shared" si="194"/>
        <v>11258000000</v>
      </c>
      <c r="P261" s="20">
        <f t="shared" si="195"/>
        <v>10588000000</v>
      </c>
      <c r="Q261" s="20">
        <f>H254</f>
        <v>11468000000</v>
      </c>
      <c r="R261" s="20">
        <f>$F254/4</f>
        <v>9875000000</v>
      </c>
      <c r="S261" s="20">
        <f>$F254/4</f>
        <v>9875000000</v>
      </c>
      <c r="T261" s="20">
        <f>$F254/4</f>
        <v>9875000000</v>
      </c>
      <c r="U261" s="20">
        <f>$F254/4</f>
        <v>9875000000</v>
      </c>
      <c r="V261" s="20">
        <f>$E254/4</f>
        <v>7890500000</v>
      </c>
      <c r="W261" s="20">
        <f>$E254/4</f>
        <v>7890500000</v>
      </c>
      <c r="X261" s="20">
        <f>$E254/4</f>
        <v>7890500000</v>
      </c>
      <c r="Y261" s="20">
        <f>$E254/4</f>
        <v>7890500000</v>
      </c>
      <c r="Z261" s="20">
        <f>$D254/4</f>
        <v>6893250000</v>
      </c>
      <c r="AA261" s="20">
        <f>$D254/4</f>
        <v>6893250000</v>
      </c>
      <c r="AB261" s="20">
        <f>$D254/4</f>
        <v>6893250000</v>
      </c>
      <c r="AC261" s="20">
        <f>$D254/4</f>
        <v>6893250000</v>
      </c>
      <c r="AE261" s="21">
        <f t="shared" si="188"/>
        <v>9669400000</v>
      </c>
      <c r="AF261" s="21">
        <f t="shared" si="189"/>
        <v>113173675000</v>
      </c>
      <c r="AG261" s="21">
        <f t="shared" si="186"/>
        <v>3446600000</v>
      </c>
    </row>
    <row r="262" spans="2:33" x14ac:dyDescent="0.2">
      <c r="B262" t="s">
        <v>386</v>
      </c>
      <c r="C262" s="5" t="s">
        <v>96</v>
      </c>
      <c r="D262" s="22">
        <f>$D254</f>
        <v>27573000000</v>
      </c>
      <c r="E262" s="22">
        <f>$E254</f>
        <v>31562000000</v>
      </c>
      <c r="F262" s="22">
        <f>$F254</f>
        <v>39500000000</v>
      </c>
      <c r="G262" s="23">
        <f t="shared" si="190"/>
        <v>20</v>
      </c>
      <c r="H262" s="4">
        <v>13556000000</v>
      </c>
      <c r="J262" s="20">
        <f t="shared" si="185"/>
        <v>13556000000</v>
      </c>
      <c r="K262" s="20">
        <f t="shared" si="187"/>
        <v>13116000000</v>
      </c>
      <c r="L262" s="20">
        <f t="shared" si="191"/>
        <v>12447000000</v>
      </c>
      <c r="M262" s="20">
        <f t="shared" si="192"/>
        <v>11860000000</v>
      </c>
      <c r="N262" s="20">
        <f t="shared" si="193"/>
        <v>11903000000</v>
      </c>
      <c r="O262" s="20">
        <f t="shared" si="194"/>
        <v>12113000000</v>
      </c>
      <c r="P262" s="20">
        <f t="shared" si="195"/>
        <v>11258000000</v>
      </c>
      <c r="Q262" s="20">
        <f>H255</f>
        <v>10588000000</v>
      </c>
      <c r="R262" s="20">
        <f>H254</f>
        <v>11468000000</v>
      </c>
      <c r="S262" s="20">
        <f>$F254/4</f>
        <v>9875000000</v>
      </c>
      <c r="T262" s="20">
        <f>$F254/4</f>
        <v>9875000000</v>
      </c>
      <c r="U262" s="20">
        <f>$F254/4</f>
        <v>9875000000</v>
      </c>
      <c r="V262" s="20">
        <f>$F254/4</f>
        <v>9875000000</v>
      </c>
      <c r="W262" s="20">
        <f>$E254/4</f>
        <v>7890500000</v>
      </c>
      <c r="X262" s="20">
        <f>$E254/4</f>
        <v>7890500000</v>
      </c>
      <c r="Y262" s="20">
        <f>$E254/4</f>
        <v>7890500000</v>
      </c>
      <c r="Z262" s="20">
        <f>$E254/4</f>
        <v>7890500000</v>
      </c>
      <c r="AA262" s="20">
        <f>$D254/4</f>
        <v>6893250000</v>
      </c>
      <c r="AB262" s="20">
        <f>$D254/4</f>
        <v>6893250000</v>
      </c>
      <c r="AC262" s="20">
        <f>$D254/4</f>
        <v>6893250000</v>
      </c>
      <c r="AE262" s="21">
        <f t="shared" si="188"/>
        <v>10002537500</v>
      </c>
      <c r="AF262" s="21">
        <f t="shared" si="189"/>
        <v>117060275000</v>
      </c>
      <c r="AG262" s="21">
        <f t="shared" si="186"/>
        <v>3553462500</v>
      </c>
    </row>
    <row r="263" spans="2:33" x14ac:dyDescent="0.2">
      <c r="B263" t="s">
        <v>386</v>
      </c>
      <c r="C263" s="5" t="s">
        <v>95</v>
      </c>
      <c r="D263" s="22">
        <f>$D254</f>
        <v>27573000000</v>
      </c>
      <c r="E263" s="22">
        <f>$E254</f>
        <v>31562000000</v>
      </c>
      <c r="F263" s="22">
        <f>$F254</f>
        <v>39500000000</v>
      </c>
      <c r="G263" s="23">
        <f t="shared" si="190"/>
        <v>20</v>
      </c>
      <c r="H263" s="4">
        <v>13808000000</v>
      </c>
      <c r="J263" s="20">
        <f t="shared" si="185"/>
        <v>13808000000</v>
      </c>
      <c r="K263" s="20">
        <f t="shared" si="187"/>
        <v>13556000000</v>
      </c>
      <c r="L263" s="20">
        <f t="shared" si="191"/>
        <v>13116000000</v>
      </c>
      <c r="M263" s="20">
        <f t="shared" si="192"/>
        <v>12447000000</v>
      </c>
      <c r="N263" s="20">
        <f t="shared" si="193"/>
        <v>11860000000</v>
      </c>
      <c r="O263" s="20">
        <f t="shared" si="194"/>
        <v>11903000000</v>
      </c>
      <c r="P263" s="20">
        <f t="shared" si="195"/>
        <v>12113000000</v>
      </c>
      <c r="Q263" s="20">
        <f>H256</f>
        <v>11258000000</v>
      </c>
      <c r="R263" s="20">
        <f>H255</f>
        <v>10588000000</v>
      </c>
      <c r="S263" s="20">
        <f>H254</f>
        <v>11468000000</v>
      </c>
      <c r="T263" s="20">
        <f>$F254/4</f>
        <v>9875000000</v>
      </c>
      <c r="U263" s="20">
        <f>$F254/4</f>
        <v>9875000000</v>
      </c>
      <c r="V263" s="20">
        <f>$F254/4</f>
        <v>9875000000</v>
      </c>
      <c r="W263" s="20">
        <f>$F254/4</f>
        <v>9875000000</v>
      </c>
      <c r="X263" s="20">
        <f>$E254/4</f>
        <v>7890500000</v>
      </c>
      <c r="Y263" s="20">
        <f>$E254/4</f>
        <v>7890500000</v>
      </c>
      <c r="Z263" s="20">
        <f>$E254/4</f>
        <v>7890500000</v>
      </c>
      <c r="AA263" s="20">
        <f>$E254/4</f>
        <v>7890500000</v>
      </c>
      <c r="AB263" s="20">
        <f>$D254/4</f>
        <v>6893250000</v>
      </c>
      <c r="AC263" s="20">
        <f>$D254/4</f>
        <v>6893250000</v>
      </c>
      <c r="AE263" s="21">
        <f t="shared" si="188"/>
        <v>10348275000</v>
      </c>
      <c r="AF263" s="21">
        <f t="shared" si="189"/>
        <v>120865737500</v>
      </c>
      <c r="AG263" s="21">
        <f t="shared" si="186"/>
        <v>3459725000</v>
      </c>
    </row>
    <row r="264" spans="2:33" x14ac:dyDescent="0.2">
      <c r="B264" t="s">
        <v>386</v>
      </c>
      <c r="C264" s="5" t="s">
        <v>94</v>
      </c>
      <c r="D264" s="22">
        <f>$D254</f>
        <v>27573000000</v>
      </c>
      <c r="E264" s="22">
        <f>$E254</f>
        <v>31562000000</v>
      </c>
      <c r="F264" s="22">
        <f>$F254</f>
        <v>39500000000</v>
      </c>
      <c r="G264" s="23">
        <f t="shared" si="190"/>
        <v>20</v>
      </c>
      <c r="H264" s="4">
        <v>15151000000</v>
      </c>
      <c r="J264" s="20">
        <f t="shared" si="185"/>
        <v>15151000000</v>
      </c>
      <c r="K264" s="20">
        <f t="shared" si="187"/>
        <v>13808000000</v>
      </c>
      <c r="L264" s="20">
        <f t="shared" si="191"/>
        <v>13556000000</v>
      </c>
      <c r="M264" s="20">
        <f t="shared" si="192"/>
        <v>13116000000</v>
      </c>
      <c r="N264" s="20">
        <f t="shared" si="193"/>
        <v>12447000000</v>
      </c>
      <c r="O264" s="20">
        <f t="shared" si="194"/>
        <v>11860000000</v>
      </c>
      <c r="P264" s="20">
        <f t="shared" si="195"/>
        <v>11903000000</v>
      </c>
      <c r="Q264" s="20">
        <f>H257</f>
        <v>12113000000</v>
      </c>
      <c r="R264" s="20">
        <f>H256</f>
        <v>11258000000</v>
      </c>
      <c r="S264" s="20">
        <f>H255</f>
        <v>10588000000</v>
      </c>
      <c r="T264" s="20">
        <f>H254</f>
        <v>11468000000</v>
      </c>
      <c r="U264" s="20">
        <f>$F254/4</f>
        <v>9875000000</v>
      </c>
      <c r="V264" s="20">
        <f>$F254/4</f>
        <v>9875000000</v>
      </c>
      <c r="W264" s="20">
        <f>$F254/4</f>
        <v>9875000000</v>
      </c>
      <c r="X264" s="20">
        <f>$F254/4</f>
        <v>9875000000</v>
      </c>
      <c r="Y264" s="20">
        <f>$E254/4</f>
        <v>7890500000</v>
      </c>
      <c r="Z264" s="20">
        <f>$E254/4</f>
        <v>7890500000</v>
      </c>
      <c r="AA264" s="20">
        <f>$E254/4</f>
        <v>7890500000</v>
      </c>
      <c r="AB264" s="20">
        <f>$E254/4</f>
        <v>7890500000</v>
      </c>
      <c r="AC264" s="20">
        <f>$D254/4</f>
        <v>6893250000</v>
      </c>
      <c r="AE264" s="21">
        <f t="shared" si="188"/>
        <v>10761162500</v>
      </c>
      <c r="AF264" s="21">
        <f t="shared" si="189"/>
        <v>125668462500</v>
      </c>
      <c r="AG264" s="21">
        <f t="shared" si="186"/>
        <v>4389837500</v>
      </c>
    </row>
    <row r="265" spans="2:33" x14ac:dyDescent="0.2">
      <c r="B265" t="s">
        <v>386</v>
      </c>
      <c r="C265" s="5" t="s">
        <v>93</v>
      </c>
      <c r="D265" s="22">
        <f>$D254</f>
        <v>27573000000</v>
      </c>
      <c r="E265" s="22">
        <f>$E254</f>
        <v>31562000000</v>
      </c>
      <c r="F265" s="22">
        <f>$F254</f>
        <v>39500000000</v>
      </c>
      <c r="G265" s="23">
        <f t="shared" si="190"/>
        <v>20</v>
      </c>
      <c r="H265" s="4">
        <v>18572000000</v>
      </c>
      <c r="J265" s="20">
        <f t="shared" si="185"/>
        <v>18572000000</v>
      </c>
      <c r="K265" s="20">
        <f t="shared" si="187"/>
        <v>15151000000</v>
      </c>
      <c r="L265" s="20">
        <f t="shared" si="191"/>
        <v>13808000000</v>
      </c>
      <c r="M265" s="20">
        <f t="shared" si="192"/>
        <v>13556000000</v>
      </c>
      <c r="N265" s="20">
        <f t="shared" si="193"/>
        <v>13116000000</v>
      </c>
      <c r="O265" s="20">
        <f t="shared" si="194"/>
        <v>12447000000</v>
      </c>
      <c r="P265" s="20">
        <f t="shared" si="195"/>
        <v>11860000000</v>
      </c>
      <c r="Q265" s="20">
        <f>H258</f>
        <v>11903000000</v>
      </c>
      <c r="R265" s="20">
        <f>H257</f>
        <v>12113000000</v>
      </c>
      <c r="S265" s="20">
        <f>H256</f>
        <v>11258000000</v>
      </c>
      <c r="T265" s="20">
        <f>H255</f>
        <v>10588000000</v>
      </c>
      <c r="U265" s="20">
        <f>H254</f>
        <v>11468000000</v>
      </c>
      <c r="V265" s="20">
        <f>$F254/4</f>
        <v>9875000000</v>
      </c>
      <c r="W265" s="20">
        <f>$F254/4</f>
        <v>9875000000</v>
      </c>
      <c r="X265" s="20">
        <f>$F254/4</f>
        <v>9875000000</v>
      </c>
      <c r="Y265" s="20">
        <f>$F254/4</f>
        <v>9875000000</v>
      </c>
      <c r="Z265" s="20">
        <f>$E254/4</f>
        <v>7890500000</v>
      </c>
      <c r="AA265" s="20">
        <f>$E254/4</f>
        <v>7890500000</v>
      </c>
      <c r="AB265" s="20">
        <f>$E254/4</f>
        <v>7890500000</v>
      </c>
      <c r="AC265" s="20">
        <f>$E254/4</f>
        <v>7890500000</v>
      </c>
      <c r="AE265" s="21">
        <f t="shared" si="188"/>
        <v>11345100000</v>
      </c>
      <c r="AF265" s="21">
        <f t="shared" si="189"/>
        <v>133479300000</v>
      </c>
      <c r="AG265" s="21">
        <f t="shared" si="186"/>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2026-04-12T19:51:33Z</dcterms:modified>
</cp:coreProperties>
</file>